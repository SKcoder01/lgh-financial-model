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tephenWrkbook-C12\Desktop\excel_claude_financial model\"/>
    </mc:Choice>
  </mc:AlternateContent>
  <xr:revisionPtr revIDLastSave="0" documentId="8_{9287FE7C-29DD-4738-9B11-B3AA6D8B4A7A}" xr6:coauthVersionLast="47" xr6:coauthVersionMax="47" xr10:uidLastSave="{00000000-0000-0000-0000-000000000000}"/>
  <bookViews>
    <workbookView xWindow="-96" yWindow="-96" windowWidth="17472" windowHeight="10992" tabRatio="953" firstSheet="13" activeTab="9" xr2:uid="{00000000-000D-0000-FFFF-FFFF00000000}"/>
  </bookViews>
  <sheets>
    <sheet name="registry_o" sheetId="1" r:id="rId1"/>
    <sheet name="lgh_inputs" sheetId="3" r:id="rId2"/>
    <sheet name="lgh_bs" sheetId="4" r:id="rId3"/>
    <sheet name="lgh_returns" sheetId="5" r:id="rId4"/>
    <sheet name="lgh_oc" sheetId="6" r:id="rId5"/>
    <sheet name="lgh_ci" sheetId="7" r:id="rId6"/>
    <sheet name="lgh_cuda" sheetId="8" r:id="rId7"/>
    <sheet name="lgh_equity" sheetId="9" r:id="rId8"/>
    <sheet name="lgh_pref_equity" sheetId="10" r:id="rId9"/>
    <sheet name="lgh_debt" sheetId="11" r:id="rId10"/>
    <sheet name="lgh_other_liabs" sheetId="12" r:id="rId11"/>
    <sheet name="lgh_other_assets" sheetId="13" r:id="rId12"/>
    <sheet name="lgh_manco" sheetId="14" r:id="rId13"/>
    <sheet name="bermuda_cs2" sheetId="15" r:id="rId14"/>
    <sheet name="elbow_cs2" sheetId="16" r:id="rId15"/>
    <sheet name="austin_cs2" sheetId="17" r:id="rId16"/>
    <sheet name="turks_cs2" sheetId="18" r:id="rId17"/>
    <sheet name="frith_cs2" sheetId="19" r:id="rId18"/>
    <sheet name="sat_cs2" sheetId="20" r:id="rId19"/>
    <sheet name="c12_inputs" sheetId="21" r:id="rId20"/>
    <sheet name="c12_oc" sheetId="22" r:id="rId21"/>
    <sheet name="c12_hm" sheetId="23" r:id="rId22"/>
    <sheet name="c12_d&amp;s" sheetId="24" r:id="rId23"/>
    <sheet name="c12_bi&amp;f" sheetId="25" r:id="rId24"/>
  </sheets>
  <definedNames>
    <definedName name="DepartmentNum">'c12_inputs'!$C$3</definedName>
    <definedName name="_xlnm.Print_Area" localSheetId="0">registry_o!$L$48:$M$106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6" i="25" l="1"/>
  <c r="B106" i="25"/>
  <c r="A106" i="25"/>
  <c r="C105" i="25"/>
  <c r="B105" i="25"/>
  <c r="A105" i="25"/>
  <c r="C104" i="25"/>
  <c r="B104" i="25"/>
  <c r="A104" i="25"/>
  <c r="C103" i="25"/>
  <c r="B103" i="25"/>
  <c r="A103" i="25"/>
  <c r="C102" i="25"/>
  <c r="B102" i="25"/>
  <c r="A102" i="25"/>
  <c r="C101" i="25"/>
  <c r="B101" i="25"/>
  <c r="A101" i="25"/>
  <c r="C100" i="25"/>
  <c r="B100" i="25"/>
  <c r="A100" i="25"/>
  <c r="A99" i="25" a="1"/>
  <c r="A99" i="25"/>
  <c r="F95" i="25"/>
  <c r="E95" i="25"/>
  <c r="M93" i="25"/>
  <c r="L93" i="25"/>
  <c r="K93" i="25"/>
  <c r="N92" i="25"/>
  <c r="M92" i="25"/>
  <c r="L92" i="25"/>
  <c r="K92" i="25"/>
  <c r="A92" i="25"/>
  <c r="N91" i="25"/>
  <c r="M91" i="25"/>
  <c r="L91" i="25"/>
  <c r="K91" i="25"/>
  <c r="A91" i="25"/>
  <c r="N90" i="25"/>
  <c r="M90" i="25"/>
  <c r="L90" i="25"/>
  <c r="K90" i="25"/>
  <c r="A90" i="25"/>
  <c r="N89" i="25"/>
  <c r="M89" i="25"/>
  <c r="L89" i="25"/>
  <c r="K89" i="25"/>
  <c r="H89" i="25"/>
  <c r="G89" i="25"/>
  <c r="A89" i="25"/>
  <c r="N88" i="25"/>
  <c r="M88" i="25"/>
  <c r="L88" i="25"/>
  <c r="K88" i="25"/>
  <c r="G88" i="25"/>
  <c r="A88" i="25"/>
  <c r="N87" i="25"/>
  <c r="N95" i="25" s="1"/>
  <c r="M87" i="25"/>
  <c r="M95" i="25" s="1"/>
  <c r="L87" i="25"/>
  <c r="L95" i="25" s="1"/>
  <c r="K87" i="25"/>
  <c r="A87" i="25"/>
  <c r="N84" i="25"/>
  <c r="M84" i="25"/>
  <c r="L84" i="25"/>
  <c r="K84" i="25"/>
  <c r="J84" i="25"/>
  <c r="I84" i="25"/>
  <c r="H84" i="25"/>
  <c r="G84" i="25"/>
  <c r="F84" i="25"/>
  <c r="E84" i="25"/>
  <c r="A83" i="25"/>
  <c r="A82" i="25"/>
  <c r="P81" i="25"/>
  <c r="Q81" i="25" s="1"/>
  <c r="R81" i="25" s="1"/>
  <c r="A81" i="25"/>
  <c r="O80" i="25"/>
  <c r="P80" i="25" s="1"/>
  <c r="Q80" i="25" s="1"/>
  <c r="R80" i="25" s="1"/>
  <c r="A80" i="25"/>
  <c r="O79" i="25"/>
  <c r="P79" i="25" s="1"/>
  <c r="Q79" i="25" s="1"/>
  <c r="R79" i="25" s="1"/>
  <c r="A79" i="25"/>
  <c r="O78" i="25"/>
  <c r="P78" i="25" s="1"/>
  <c r="A78" i="25"/>
  <c r="O77" i="25"/>
  <c r="A77" i="25"/>
  <c r="N74" i="25"/>
  <c r="M74" i="25"/>
  <c r="L74" i="25"/>
  <c r="K74" i="25"/>
  <c r="F74" i="25"/>
  <c r="E74" i="25"/>
  <c r="O73" i="25"/>
  <c r="P73" i="25" s="1"/>
  <c r="Q73" i="25" s="1"/>
  <c r="R73" i="25" s="1"/>
  <c r="G73" i="25"/>
  <c r="O72" i="25"/>
  <c r="G72" i="25"/>
  <c r="O71" i="25"/>
  <c r="G71" i="25"/>
  <c r="O70" i="25"/>
  <c r="G70" i="25"/>
  <c r="O69" i="25"/>
  <c r="I69" i="25"/>
  <c r="O68" i="25"/>
  <c r="H68" i="25"/>
  <c r="O67" i="25"/>
  <c r="G67" i="25"/>
  <c r="R46" i="25"/>
  <c r="Q46" i="25"/>
  <c r="P46" i="25"/>
  <c r="O46" i="25"/>
  <c r="N46" i="25"/>
  <c r="M46" i="25"/>
  <c r="L46" i="25"/>
  <c r="K46" i="25"/>
  <c r="J46" i="25"/>
  <c r="I46" i="25"/>
  <c r="H46" i="25"/>
  <c r="G46" i="25"/>
  <c r="F46" i="25"/>
  <c r="E46" i="25"/>
  <c r="D46" i="25"/>
  <c r="C46" i="25"/>
  <c r="B46" i="25"/>
  <c r="N45" i="25"/>
  <c r="M45" i="25"/>
  <c r="L45" i="25"/>
  <c r="K45" i="25"/>
  <c r="J45" i="25"/>
  <c r="I45" i="25"/>
  <c r="H45" i="25"/>
  <c r="G45" i="25"/>
  <c r="F45" i="25"/>
  <c r="E45" i="25"/>
  <c r="D45" i="25"/>
  <c r="C45" i="25"/>
  <c r="B45" i="25"/>
  <c r="R44" i="25"/>
  <c r="Q44" i="25"/>
  <c r="P44" i="25"/>
  <c r="O44" i="25"/>
  <c r="N44" i="25"/>
  <c r="M44" i="25"/>
  <c r="L44" i="25"/>
  <c r="K44" i="25"/>
  <c r="J44" i="25"/>
  <c r="I44" i="25"/>
  <c r="H44" i="25"/>
  <c r="G44" i="25"/>
  <c r="F44" i="25"/>
  <c r="E44" i="25"/>
  <c r="D44" i="25"/>
  <c r="C44" i="25"/>
  <c r="B44" i="25"/>
  <c r="F43" i="25"/>
  <c r="E43" i="25"/>
  <c r="D43" i="25"/>
  <c r="C43" i="25"/>
  <c r="B43" i="25"/>
  <c r="F42" i="25"/>
  <c r="E42" i="25"/>
  <c r="D42" i="25"/>
  <c r="C42" i="25"/>
  <c r="B42" i="25"/>
  <c r="R41" i="25"/>
  <c r="N41" i="25"/>
  <c r="M41" i="25"/>
  <c r="L41" i="25"/>
  <c r="K41" i="25"/>
  <c r="J41" i="25"/>
  <c r="I41" i="25"/>
  <c r="H41" i="25"/>
  <c r="G41" i="25"/>
  <c r="F41" i="25"/>
  <c r="F47" i="25" s="1"/>
  <c r="F53" i="25" s="1"/>
  <c r="E41" i="25"/>
  <c r="E47" i="25" s="1"/>
  <c r="E53" i="25" s="1"/>
  <c r="D41" i="25"/>
  <c r="D47" i="25" s="1"/>
  <c r="C41" i="25"/>
  <c r="C47" i="25" s="1"/>
  <c r="B41" i="25"/>
  <c r="B47" i="25" s="1"/>
  <c r="R37" i="25"/>
  <c r="Q37" i="25"/>
  <c r="P37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B37" i="25"/>
  <c r="R31" i="25"/>
  <c r="Q31" i="25"/>
  <c r="P31" i="25"/>
  <c r="O31" i="25"/>
  <c r="N31" i="25"/>
  <c r="M31" i="25"/>
  <c r="L31" i="25"/>
  <c r="K31" i="25"/>
  <c r="J25" i="25"/>
  <c r="I25" i="25"/>
  <c r="H25" i="25"/>
  <c r="G25" i="25"/>
  <c r="F25" i="25"/>
  <c r="E25" i="25"/>
  <c r="D25" i="25"/>
  <c r="C25" i="25"/>
  <c r="B25" i="25"/>
  <c r="J24" i="25"/>
  <c r="I24" i="25"/>
  <c r="H24" i="25"/>
  <c r="G24" i="25"/>
  <c r="F24" i="25"/>
  <c r="E24" i="25"/>
  <c r="D24" i="25"/>
  <c r="C24" i="25"/>
  <c r="B24" i="25"/>
  <c r="L23" i="25"/>
  <c r="M23" i="25" s="1"/>
  <c r="N23" i="25" s="1"/>
  <c r="O23" i="25" s="1"/>
  <c r="P23" i="25" s="1"/>
  <c r="O21" i="25"/>
  <c r="N20" i="25"/>
  <c r="M20" i="25"/>
  <c r="L20" i="25"/>
  <c r="K20" i="25"/>
  <c r="N19" i="25"/>
  <c r="M19" i="25"/>
  <c r="L19" i="25"/>
  <c r="K19" i="25"/>
  <c r="G15" i="25"/>
  <c r="H15" i="25" s="1"/>
  <c r="I15" i="25" s="1"/>
  <c r="J15" i="25" s="1"/>
  <c r="K15" i="25" s="1"/>
  <c r="L15" i="25" s="1"/>
  <c r="M15" i="25" s="1"/>
  <c r="N15" i="25" s="1"/>
  <c r="O15" i="25" s="1"/>
  <c r="P15" i="25" s="1"/>
  <c r="Q15" i="25" s="1"/>
  <c r="R15" i="25" s="1"/>
  <c r="R13" i="25"/>
  <c r="Q13" i="25"/>
  <c r="P13" i="25"/>
  <c r="O13" i="25"/>
  <c r="N13" i="25"/>
  <c r="M13" i="25"/>
  <c r="L13" i="25"/>
  <c r="K13" i="25"/>
  <c r="J13" i="25"/>
  <c r="J32" i="25" s="1"/>
  <c r="I13" i="25"/>
  <c r="I32" i="25" s="1"/>
  <c r="H13" i="25"/>
  <c r="H32" i="25" s="1"/>
  <c r="G13" i="25"/>
  <c r="G32" i="25" s="1"/>
  <c r="F13" i="25"/>
  <c r="F32" i="25" s="1"/>
  <c r="E13" i="25"/>
  <c r="E32" i="25" s="1"/>
  <c r="D13" i="25"/>
  <c r="D32" i="25" s="1"/>
  <c r="C13" i="25"/>
  <c r="C32" i="25" s="1"/>
  <c r="B13" i="25"/>
  <c r="B32" i="25" s="1"/>
  <c r="A1" i="25" a="1"/>
  <c r="A1" i="25" s="1"/>
  <c r="C169" i="24"/>
  <c r="B169" i="24"/>
  <c r="A169" i="24"/>
  <c r="C168" i="24"/>
  <c r="B168" i="24"/>
  <c r="A168" i="24"/>
  <c r="C167" i="24"/>
  <c r="B167" i="24"/>
  <c r="A167" i="24"/>
  <c r="C166" i="24"/>
  <c r="B166" i="24"/>
  <c r="A166" i="24"/>
  <c r="C165" i="24"/>
  <c r="B165" i="24"/>
  <c r="A165" i="24"/>
  <c r="C164" i="24"/>
  <c r="B164" i="24"/>
  <c r="A164" i="24"/>
  <c r="C163" i="24"/>
  <c r="B163" i="24"/>
  <c r="A163" i="24"/>
  <c r="C162" i="24"/>
  <c r="B162" i="24"/>
  <c r="A162" i="24"/>
  <c r="C161" i="24"/>
  <c r="B161" i="24"/>
  <c r="A161" i="24"/>
  <c r="C160" i="24"/>
  <c r="B160" i="24"/>
  <c r="A160" i="24"/>
  <c r="F156" i="24"/>
  <c r="E156" i="24"/>
  <c r="O155" i="24"/>
  <c r="K155" i="24"/>
  <c r="R154" i="24"/>
  <c r="Q154" i="24"/>
  <c r="P154" i="24"/>
  <c r="O154" i="24"/>
  <c r="N154" i="24"/>
  <c r="M154" i="24"/>
  <c r="K154" i="24"/>
  <c r="A154" i="24"/>
  <c r="J153" i="24"/>
  <c r="I153" i="24"/>
  <c r="H153" i="24"/>
  <c r="G153" i="24"/>
  <c r="A153" i="24"/>
  <c r="A152" i="24"/>
  <c r="A151" i="24"/>
  <c r="A150" i="24"/>
  <c r="A149" i="24"/>
  <c r="A148" i="24"/>
  <c r="A147" i="24"/>
  <c r="A146" i="24"/>
  <c r="A145" i="24"/>
  <c r="N143" i="24"/>
  <c r="M143" i="24"/>
  <c r="M155" i="24" s="1"/>
  <c r="L143" i="24"/>
  <c r="L155" i="24" s="1"/>
  <c r="K143" i="24"/>
  <c r="J143" i="24"/>
  <c r="F143" i="24"/>
  <c r="F155" i="24" s="1"/>
  <c r="E143" i="24"/>
  <c r="E155" i="24" s="1"/>
  <c r="P142" i="24"/>
  <c r="R142" i="24" s="1"/>
  <c r="O142" i="24"/>
  <c r="Q142" i="24" s="1"/>
  <c r="I142" i="24"/>
  <c r="I143" i="24" s="1"/>
  <c r="I155" i="24" s="1"/>
  <c r="H142" i="24"/>
  <c r="H143" i="24" s="1"/>
  <c r="H155" i="24" s="1"/>
  <c r="G142" i="24"/>
  <c r="G143" i="24" s="1"/>
  <c r="G155" i="24" s="1"/>
  <c r="A142" i="24"/>
  <c r="O141" i="24"/>
  <c r="P141" i="24" s="1"/>
  <c r="Q141" i="24" s="1"/>
  <c r="R141" i="24" s="1"/>
  <c r="A141" i="24"/>
  <c r="O140" i="24"/>
  <c r="P140" i="24" s="1"/>
  <c r="Q140" i="24" s="1"/>
  <c r="R140" i="24" s="1"/>
  <c r="A140" i="24"/>
  <c r="O139" i="24"/>
  <c r="P139" i="24" s="1"/>
  <c r="Q139" i="24" s="1"/>
  <c r="R139" i="24" s="1"/>
  <c r="A139" i="24"/>
  <c r="O138" i="24"/>
  <c r="P138" i="24" s="1"/>
  <c r="Q138" i="24" s="1"/>
  <c r="R138" i="24" s="1"/>
  <c r="A138" i="24"/>
  <c r="O137" i="24"/>
  <c r="P137" i="24" s="1"/>
  <c r="Q137" i="24" s="1"/>
  <c r="R137" i="24" s="1"/>
  <c r="A137" i="24"/>
  <c r="O136" i="24"/>
  <c r="P136" i="24" s="1"/>
  <c r="Q136" i="24" s="1"/>
  <c r="R136" i="24" s="1"/>
  <c r="A136" i="24"/>
  <c r="O135" i="24"/>
  <c r="P135" i="24" s="1"/>
  <c r="Q135" i="24" s="1"/>
  <c r="R135" i="24" s="1"/>
  <c r="A135" i="24"/>
  <c r="O134" i="24"/>
  <c r="P134" i="24" s="1"/>
  <c r="Q134" i="24" s="1"/>
  <c r="R134" i="24" s="1"/>
  <c r="A134" i="24"/>
  <c r="O133" i="24"/>
  <c r="A133" i="24"/>
  <c r="F131" i="24"/>
  <c r="E131" i="24"/>
  <c r="L130" i="24"/>
  <c r="L154" i="24" s="1"/>
  <c r="J130" i="24"/>
  <c r="J154" i="24" s="1"/>
  <c r="I130" i="24"/>
  <c r="I154" i="24" s="1"/>
  <c r="H130" i="24"/>
  <c r="H154" i="24" s="1"/>
  <c r="G130" i="24"/>
  <c r="G154" i="24" s="1"/>
  <c r="N129" i="24"/>
  <c r="M129" i="24"/>
  <c r="M153" i="24" s="1"/>
  <c r="L129" i="24"/>
  <c r="L153" i="24" s="1"/>
  <c r="K129" i="24"/>
  <c r="K153" i="24" s="1"/>
  <c r="C129" i="24"/>
  <c r="K128" i="24"/>
  <c r="G128" i="24"/>
  <c r="C128" i="24"/>
  <c r="K127" i="24"/>
  <c r="G127" i="24"/>
  <c r="C127" i="24"/>
  <c r="K126" i="24"/>
  <c r="G126" i="24"/>
  <c r="C126" i="24"/>
  <c r="K125" i="24"/>
  <c r="G125" i="24"/>
  <c r="C125" i="24"/>
  <c r="K124" i="24"/>
  <c r="G124" i="24"/>
  <c r="C124" i="24"/>
  <c r="K123" i="24"/>
  <c r="G123" i="24"/>
  <c r="C123" i="24"/>
  <c r="K122" i="24"/>
  <c r="G122" i="24"/>
  <c r="C122" i="24"/>
  <c r="K121" i="24"/>
  <c r="G121" i="24"/>
  <c r="C121" i="24"/>
  <c r="A119" i="24" a="1"/>
  <c r="A119" i="24" s="1"/>
  <c r="F110" i="24"/>
  <c r="E110" i="24"/>
  <c r="D110" i="24"/>
  <c r="C110" i="24"/>
  <c r="B110" i="24"/>
  <c r="R99" i="24"/>
  <c r="Q99" i="24"/>
  <c r="P99" i="24"/>
  <c r="O99" i="24"/>
  <c r="N99" i="24"/>
  <c r="M99" i="24"/>
  <c r="L99" i="24"/>
  <c r="K99" i="24"/>
  <c r="J99" i="24"/>
  <c r="I99" i="24"/>
  <c r="H99" i="24"/>
  <c r="G99" i="24"/>
  <c r="F99" i="24"/>
  <c r="E99" i="24"/>
  <c r="D99" i="24"/>
  <c r="C99" i="24"/>
  <c r="B99" i="24"/>
  <c r="N98" i="24"/>
  <c r="M98" i="24"/>
  <c r="L98" i="24"/>
  <c r="K98" i="24"/>
  <c r="J98" i="24"/>
  <c r="I98" i="24"/>
  <c r="H98" i="24"/>
  <c r="G98" i="24"/>
  <c r="F98" i="24"/>
  <c r="E98" i="24"/>
  <c r="D98" i="24"/>
  <c r="C98" i="24"/>
  <c r="B98" i="24"/>
  <c r="R97" i="24"/>
  <c r="Q97" i="24"/>
  <c r="P97" i="24"/>
  <c r="O97" i="24"/>
  <c r="N97" i="24"/>
  <c r="M97" i="24"/>
  <c r="L97" i="24"/>
  <c r="K97" i="24"/>
  <c r="J97" i="24"/>
  <c r="I97" i="24"/>
  <c r="H97" i="24"/>
  <c r="G97" i="24"/>
  <c r="F97" i="24"/>
  <c r="E97" i="24"/>
  <c r="D97" i="24"/>
  <c r="C97" i="24"/>
  <c r="B97" i="24"/>
  <c r="F96" i="24"/>
  <c r="E96" i="24"/>
  <c r="D96" i="24"/>
  <c r="C96" i="24"/>
  <c r="B96" i="24"/>
  <c r="F95" i="24"/>
  <c r="E95" i="24"/>
  <c r="D95" i="24"/>
  <c r="C95" i="24"/>
  <c r="B95" i="24"/>
  <c r="R94" i="24"/>
  <c r="N94" i="24"/>
  <c r="M94" i="24"/>
  <c r="L94" i="24"/>
  <c r="K94" i="24"/>
  <c r="J94" i="24"/>
  <c r="I94" i="24"/>
  <c r="H94" i="24"/>
  <c r="G94" i="24"/>
  <c r="F94" i="24"/>
  <c r="F100" i="24" s="1"/>
  <c r="F107" i="24" s="1"/>
  <c r="E94" i="24"/>
  <c r="E100" i="24" s="1"/>
  <c r="E107" i="24" s="1"/>
  <c r="D94" i="24"/>
  <c r="D100" i="24" s="1"/>
  <c r="D107" i="24" s="1"/>
  <c r="C94" i="24"/>
  <c r="C100" i="24" s="1"/>
  <c r="C107" i="24" s="1"/>
  <c r="B94" i="24"/>
  <c r="B100" i="24" s="1"/>
  <c r="B107" i="24" s="1"/>
  <c r="F90" i="24"/>
  <c r="E90" i="24"/>
  <c r="D90" i="24"/>
  <c r="D91" i="24" s="1"/>
  <c r="D111" i="24" s="1"/>
  <c r="C90" i="24"/>
  <c r="C91" i="24" s="1"/>
  <c r="C111" i="24" s="1"/>
  <c r="B90" i="24"/>
  <c r="B91" i="24" s="1"/>
  <c r="B111" i="24" s="1"/>
  <c r="F89" i="24"/>
  <c r="F91" i="24" s="1"/>
  <c r="F111" i="24" s="1"/>
  <c r="C88" i="1" s="1"/>
  <c r="E89" i="24"/>
  <c r="E91" i="24" s="1"/>
  <c r="E111" i="24" s="1"/>
  <c r="D89" i="24"/>
  <c r="C89" i="24"/>
  <c r="B89" i="24"/>
  <c r="R86" i="24"/>
  <c r="Q86" i="24"/>
  <c r="P86" i="24"/>
  <c r="O86" i="24"/>
  <c r="N86" i="24"/>
  <c r="M86" i="24"/>
  <c r="L86" i="24"/>
  <c r="K86" i="24"/>
  <c r="J86" i="24"/>
  <c r="I86" i="24"/>
  <c r="H86" i="24"/>
  <c r="G86" i="24"/>
  <c r="F86" i="24"/>
  <c r="E86" i="24"/>
  <c r="D86" i="24"/>
  <c r="C86" i="24"/>
  <c r="B86" i="24"/>
  <c r="R73" i="24"/>
  <c r="Q73" i="24"/>
  <c r="P73" i="24"/>
  <c r="O73" i="24"/>
  <c r="N73" i="24"/>
  <c r="M73" i="24"/>
  <c r="L73" i="24"/>
  <c r="K73" i="24"/>
  <c r="R72" i="24"/>
  <c r="Q72" i="24"/>
  <c r="P72" i="24"/>
  <c r="O72" i="24"/>
  <c r="N72" i="24"/>
  <c r="M72" i="24"/>
  <c r="L72" i="24"/>
  <c r="K72" i="24"/>
  <c r="R61" i="24"/>
  <c r="R67" i="24" s="1"/>
  <c r="Q61" i="24"/>
  <c r="Q67" i="24" s="1"/>
  <c r="E61" i="24"/>
  <c r="E67" i="24" s="1"/>
  <c r="E68" i="24" s="1"/>
  <c r="E75" i="24" s="1"/>
  <c r="D61" i="24"/>
  <c r="D67" i="24" s="1"/>
  <c r="D68" i="24" s="1"/>
  <c r="D75" i="24" s="1"/>
  <c r="C61" i="24"/>
  <c r="C67" i="24" s="1"/>
  <c r="C68" i="24" s="1"/>
  <c r="C75" i="24" s="1"/>
  <c r="B61" i="24"/>
  <c r="B67" i="24" s="1"/>
  <c r="B68" i="24" s="1"/>
  <c r="B75" i="24" s="1"/>
  <c r="P59" i="24"/>
  <c r="P61" i="24" s="1"/>
  <c r="P67" i="24" s="1"/>
  <c r="O59" i="24"/>
  <c r="O61" i="24" s="1"/>
  <c r="O67" i="24" s="1"/>
  <c r="K57" i="24"/>
  <c r="L57" i="24" s="1"/>
  <c r="M57" i="24" s="1"/>
  <c r="N57" i="24" s="1"/>
  <c r="J57" i="24"/>
  <c r="I57" i="24"/>
  <c r="H57" i="24"/>
  <c r="M55" i="24"/>
  <c r="N55" i="24" s="1"/>
  <c r="L55" i="24"/>
  <c r="N53" i="24"/>
  <c r="M53" i="24"/>
  <c r="L53" i="24"/>
  <c r="K53" i="24"/>
  <c r="J53" i="24"/>
  <c r="I53" i="24"/>
  <c r="H53" i="24"/>
  <c r="G53" i="24"/>
  <c r="N52" i="24"/>
  <c r="M52" i="24"/>
  <c r="L52" i="24"/>
  <c r="K52" i="24"/>
  <c r="J52" i="24"/>
  <c r="J63" i="24" s="1"/>
  <c r="I52" i="24"/>
  <c r="I63" i="24" s="1"/>
  <c r="H52" i="24"/>
  <c r="H63" i="24" s="1"/>
  <c r="G52" i="24"/>
  <c r="G63" i="24" s="1"/>
  <c r="G65" i="24" s="1"/>
  <c r="G90" i="24" s="1"/>
  <c r="F52" i="24"/>
  <c r="F61" i="24" s="1"/>
  <c r="F67" i="24" s="1"/>
  <c r="F68" i="24" s="1"/>
  <c r="F75" i="24" s="1"/>
  <c r="N51" i="24"/>
  <c r="N61" i="24" s="1"/>
  <c r="N67" i="24" s="1"/>
  <c r="N68" i="24" s="1"/>
  <c r="N75" i="24" s="1"/>
  <c r="J14" i="22" s="1"/>
  <c r="M51" i="24"/>
  <c r="M61" i="24" s="1"/>
  <c r="M67" i="24" s="1"/>
  <c r="M68" i="24" s="1"/>
  <c r="M75" i="24" s="1"/>
  <c r="I14" i="22" s="1"/>
  <c r="L51" i="24"/>
  <c r="L61" i="24" s="1"/>
  <c r="L67" i="24" s="1"/>
  <c r="L68" i="24" s="1"/>
  <c r="L75" i="24" s="1"/>
  <c r="H14" i="22" s="1"/>
  <c r="K51" i="24"/>
  <c r="K61" i="24" s="1"/>
  <c r="K67" i="24" s="1"/>
  <c r="K68" i="24" s="1"/>
  <c r="K75" i="24" s="1"/>
  <c r="G14" i="22" s="1"/>
  <c r="J51" i="24"/>
  <c r="J61" i="24" s="1"/>
  <c r="J67" i="24" s="1"/>
  <c r="J68" i="24" s="1"/>
  <c r="J75" i="24" s="1"/>
  <c r="F14" i="22" s="1"/>
  <c r="I51" i="24"/>
  <c r="I61" i="24" s="1"/>
  <c r="I67" i="24" s="1"/>
  <c r="I68" i="24" s="1"/>
  <c r="I75" i="24" s="1"/>
  <c r="E14" i="22" s="1"/>
  <c r="H51" i="24"/>
  <c r="H61" i="24" s="1"/>
  <c r="H67" i="24" s="1"/>
  <c r="H68" i="24" s="1"/>
  <c r="H75" i="24" s="1"/>
  <c r="D14" i="22" s="1"/>
  <c r="G51" i="24"/>
  <c r="G61" i="24" s="1"/>
  <c r="G67" i="24" s="1"/>
  <c r="G68" i="24" s="1"/>
  <c r="G75" i="24" s="1"/>
  <c r="C14" i="22" s="1"/>
  <c r="Q43" i="24"/>
  <c r="P43" i="24"/>
  <c r="O43" i="24"/>
  <c r="N43" i="24"/>
  <c r="M43" i="24"/>
  <c r="L43" i="24"/>
  <c r="J43" i="24"/>
  <c r="I43" i="24"/>
  <c r="H43" i="24"/>
  <c r="G43" i="24"/>
  <c r="G45" i="24" s="1"/>
  <c r="R41" i="24"/>
  <c r="R47" i="24" s="1"/>
  <c r="Q41" i="24"/>
  <c r="Q47" i="24" s="1"/>
  <c r="N41" i="24"/>
  <c r="N47" i="24" s="1"/>
  <c r="N48" i="24" s="1"/>
  <c r="M41" i="24"/>
  <c r="M47" i="24" s="1"/>
  <c r="M48" i="24" s="1"/>
  <c r="L41" i="24"/>
  <c r="L47" i="24" s="1"/>
  <c r="L48" i="24" s="1"/>
  <c r="K41" i="24"/>
  <c r="K47" i="24" s="1"/>
  <c r="K48" i="24" s="1"/>
  <c r="J41" i="24"/>
  <c r="J47" i="24" s="1"/>
  <c r="J48" i="24" s="1"/>
  <c r="I41" i="24"/>
  <c r="I47" i="24" s="1"/>
  <c r="I48" i="24" s="1"/>
  <c r="H41" i="24"/>
  <c r="H47" i="24" s="1"/>
  <c r="H48" i="24" s="1"/>
  <c r="G41" i="24"/>
  <c r="G47" i="24" s="1"/>
  <c r="G48" i="24" s="1"/>
  <c r="F41" i="24"/>
  <c r="F47" i="24" s="1"/>
  <c r="F48" i="24" s="1"/>
  <c r="E41" i="24"/>
  <c r="E47" i="24" s="1"/>
  <c r="E48" i="24" s="1"/>
  <c r="D41" i="24"/>
  <c r="D47" i="24" s="1"/>
  <c r="D48" i="24" s="1"/>
  <c r="C41" i="24"/>
  <c r="C47" i="24" s="1"/>
  <c r="C48" i="24" s="1"/>
  <c r="B41" i="24"/>
  <c r="B47" i="24" s="1"/>
  <c r="B48" i="24" s="1"/>
  <c r="P39" i="24"/>
  <c r="P41" i="24" s="1"/>
  <c r="P47" i="24" s="1"/>
  <c r="O39" i="24"/>
  <c r="O41" i="24" s="1"/>
  <c r="O47" i="24" s="1"/>
  <c r="K29" i="24"/>
  <c r="P26" i="24"/>
  <c r="O26" i="24"/>
  <c r="L26" i="24"/>
  <c r="H26" i="24"/>
  <c r="G26" i="24"/>
  <c r="G28" i="24" s="1"/>
  <c r="R24" i="24"/>
  <c r="R30" i="24" s="1"/>
  <c r="H24" i="24"/>
  <c r="H30" i="24" s="1"/>
  <c r="H31" i="24" s="1"/>
  <c r="G24" i="24"/>
  <c r="G30" i="24" s="1"/>
  <c r="G31" i="24" s="1"/>
  <c r="F24" i="24"/>
  <c r="F30" i="24" s="1"/>
  <c r="F31" i="24" s="1"/>
  <c r="E24" i="24"/>
  <c r="E30" i="24" s="1"/>
  <c r="E31" i="24" s="1"/>
  <c r="D24" i="24"/>
  <c r="D30" i="24" s="1"/>
  <c r="D31" i="24" s="1"/>
  <c r="C24" i="24"/>
  <c r="C30" i="24" s="1"/>
  <c r="C31" i="24" s="1"/>
  <c r="B24" i="24"/>
  <c r="B30" i="24" s="1"/>
  <c r="B31" i="24" s="1"/>
  <c r="N22" i="24"/>
  <c r="O16" i="24"/>
  <c r="P16" i="24" s="1"/>
  <c r="Q16" i="24" s="1"/>
  <c r="R29" i="24" s="1"/>
  <c r="R31" i="24" s="1"/>
  <c r="Q14" i="24"/>
  <c r="Q24" i="24" s="1"/>
  <c r="Q30" i="24" s="1"/>
  <c r="Q31" i="24" s="1"/>
  <c r="P14" i="24"/>
  <c r="P24" i="24" s="1"/>
  <c r="P30" i="24" s="1"/>
  <c r="O14" i="24"/>
  <c r="N14" i="24"/>
  <c r="M14" i="24"/>
  <c r="L14" i="24"/>
  <c r="K14" i="24"/>
  <c r="J14" i="24"/>
  <c r="I14" i="24"/>
  <c r="J13" i="24"/>
  <c r="J24" i="24" s="1"/>
  <c r="J30" i="24" s="1"/>
  <c r="J31" i="24" s="1"/>
  <c r="I13" i="24"/>
  <c r="N11" i="24"/>
  <c r="M11" i="24"/>
  <c r="L11" i="24"/>
  <c r="K11" i="24"/>
  <c r="I7" i="24"/>
  <c r="I24" i="24" s="1"/>
  <c r="I30" i="24" s="1"/>
  <c r="I31" i="24" s="1"/>
  <c r="A1" i="24" a="1"/>
  <c r="A1" i="24" s="1"/>
  <c r="C136" i="23"/>
  <c r="B136" i="23"/>
  <c r="A136" i="23"/>
  <c r="C135" i="23"/>
  <c r="B135" i="23"/>
  <c r="A135" i="23"/>
  <c r="C134" i="23"/>
  <c r="B134" i="23"/>
  <c r="A134" i="23"/>
  <c r="C133" i="23"/>
  <c r="B133" i="23"/>
  <c r="A133" i="23"/>
  <c r="C132" i="23"/>
  <c r="B132" i="23"/>
  <c r="A132" i="23"/>
  <c r="C131" i="23"/>
  <c r="B131" i="23"/>
  <c r="A131" i="23"/>
  <c r="C130" i="23"/>
  <c r="B130" i="23"/>
  <c r="A130" i="23"/>
  <c r="C129" i="23"/>
  <c r="B129" i="23"/>
  <c r="A129" i="23"/>
  <c r="C128" i="23"/>
  <c r="B128" i="23"/>
  <c r="A128" i="23"/>
  <c r="D124" i="23"/>
  <c r="C124" i="23"/>
  <c r="B124" i="23"/>
  <c r="O123" i="23"/>
  <c r="K123" i="23"/>
  <c r="F123" i="23"/>
  <c r="E123" i="23"/>
  <c r="K122" i="23"/>
  <c r="F122" i="23"/>
  <c r="E122" i="23"/>
  <c r="K121" i="23"/>
  <c r="H121" i="23"/>
  <c r="G121" i="23"/>
  <c r="F121" i="23"/>
  <c r="E121" i="23"/>
  <c r="F120" i="23"/>
  <c r="E120" i="23"/>
  <c r="F119" i="23"/>
  <c r="E119" i="23"/>
  <c r="F118" i="23"/>
  <c r="E118" i="23"/>
  <c r="F117" i="23"/>
  <c r="E117" i="23"/>
  <c r="F116" i="23"/>
  <c r="E116" i="23"/>
  <c r="F115" i="23"/>
  <c r="F124" i="23" s="1"/>
  <c r="F68" i="23" s="1"/>
  <c r="E115" i="23"/>
  <c r="E124" i="23" s="1"/>
  <c r="E68" i="23" s="1"/>
  <c r="K112" i="23"/>
  <c r="J112" i="23"/>
  <c r="F112" i="23"/>
  <c r="E112" i="23"/>
  <c r="I111" i="23"/>
  <c r="I123" i="23" s="1"/>
  <c r="H111" i="23"/>
  <c r="H123" i="23" s="1"/>
  <c r="G111" i="23"/>
  <c r="G123" i="23" s="1"/>
  <c r="A111" i="23"/>
  <c r="I110" i="23"/>
  <c r="I112" i="23" s="1"/>
  <c r="H110" i="23"/>
  <c r="H112" i="23" s="1"/>
  <c r="G110" i="23"/>
  <c r="G112" i="23" s="1"/>
  <c r="A110" i="23"/>
  <c r="A122" i="23" s="1"/>
  <c r="L109" i="23"/>
  <c r="A109" i="23"/>
  <c r="A121" i="23" s="1"/>
  <c r="O108" i="23"/>
  <c r="P108" i="23" s="1"/>
  <c r="Q108" i="23" s="1"/>
  <c r="R108" i="23" s="1"/>
  <c r="A108" i="23"/>
  <c r="A120" i="23" s="1"/>
  <c r="O107" i="23"/>
  <c r="P107" i="23" s="1"/>
  <c r="Q107" i="23" s="1"/>
  <c r="R107" i="23" s="1"/>
  <c r="A107" i="23"/>
  <c r="A119" i="23" s="1"/>
  <c r="O106" i="23"/>
  <c r="P106" i="23" s="1"/>
  <c r="Q106" i="23" s="1"/>
  <c r="R106" i="23" s="1"/>
  <c r="A106" i="23"/>
  <c r="A118" i="23" s="1"/>
  <c r="O105" i="23"/>
  <c r="P105" i="23" s="1"/>
  <c r="Q105" i="23" s="1"/>
  <c r="R105" i="23" s="1"/>
  <c r="A105" i="23"/>
  <c r="A117" i="23" s="1"/>
  <c r="O104" i="23"/>
  <c r="P104" i="23" s="1"/>
  <c r="Q104" i="23" s="1"/>
  <c r="R104" i="23" s="1"/>
  <c r="A104" i="23"/>
  <c r="A116" i="23" s="1"/>
  <c r="O103" i="23"/>
  <c r="A103" i="23"/>
  <c r="A115" i="23" s="1"/>
  <c r="F100" i="23"/>
  <c r="E100" i="23"/>
  <c r="N99" i="23"/>
  <c r="O99" i="23" s="1"/>
  <c r="P99" i="23" s="1"/>
  <c r="M99" i="23"/>
  <c r="M123" i="23" s="1"/>
  <c r="L99" i="23"/>
  <c r="L123" i="23" s="1"/>
  <c r="N98" i="23"/>
  <c r="M98" i="23"/>
  <c r="M122" i="23" s="1"/>
  <c r="L98" i="23"/>
  <c r="L122" i="23" s="1"/>
  <c r="J98" i="23"/>
  <c r="J122" i="23" s="1"/>
  <c r="I98" i="23"/>
  <c r="I122" i="23" s="1"/>
  <c r="H98" i="23"/>
  <c r="H122" i="23" s="1"/>
  <c r="G98" i="23"/>
  <c r="G122" i="23" s="1"/>
  <c r="Z97" i="23"/>
  <c r="J97" i="23"/>
  <c r="J121" i="23" s="1"/>
  <c r="I97" i="23"/>
  <c r="I121" i="23" s="1"/>
  <c r="C97" i="23"/>
  <c r="Z96" i="23"/>
  <c r="K96" i="23"/>
  <c r="G96" i="23"/>
  <c r="C96" i="23"/>
  <c r="Z95" i="23"/>
  <c r="K95" i="23"/>
  <c r="G95" i="23"/>
  <c r="C95" i="23"/>
  <c r="Z94" i="23"/>
  <c r="K94" i="23"/>
  <c r="G94" i="23"/>
  <c r="C94" i="23"/>
  <c r="Z93" i="23"/>
  <c r="Z99" i="23" s="1"/>
  <c r="Z101" i="23" s="1"/>
  <c r="K93" i="23"/>
  <c r="G93" i="23"/>
  <c r="C93" i="23"/>
  <c r="K92" i="23"/>
  <c r="G92" i="23"/>
  <c r="C92" i="23"/>
  <c r="P91" i="23"/>
  <c r="K91" i="23"/>
  <c r="J91" i="23"/>
  <c r="I91" i="23"/>
  <c r="H91" i="23"/>
  <c r="G91" i="23"/>
  <c r="C91" i="23"/>
  <c r="N90" i="23"/>
  <c r="M90" i="23"/>
  <c r="L90" i="23"/>
  <c r="K90" i="23"/>
  <c r="J90" i="23"/>
  <c r="I90" i="23"/>
  <c r="H90" i="23"/>
  <c r="G90" i="23"/>
  <c r="R89" i="23"/>
  <c r="Q89" i="23"/>
  <c r="P89" i="23"/>
  <c r="O89" i="23"/>
  <c r="N89" i="23"/>
  <c r="M89" i="23"/>
  <c r="L89" i="23"/>
  <c r="K89" i="23"/>
  <c r="J89" i="23"/>
  <c r="I89" i="23"/>
  <c r="H89" i="23"/>
  <c r="G89" i="23"/>
  <c r="F89" i="23"/>
  <c r="E89" i="23"/>
  <c r="D89" i="23"/>
  <c r="F82" i="23"/>
  <c r="E82" i="23"/>
  <c r="D82" i="23"/>
  <c r="C82" i="23"/>
  <c r="B82" i="23"/>
  <c r="B78" i="23"/>
  <c r="R72" i="23"/>
  <c r="Q72" i="23"/>
  <c r="P72" i="23"/>
  <c r="O72" i="23"/>
  <c r="N72" i="23"/>
  <c r="M72" i="23"/>
  <c r="L72" i="23"/>
  <c r="K72" i="23"/>
  <c r="J72" i="23"/>
  <c r="I72" i="23"/>
  <c r="H72" i="23"/>
  <c r="G72" i="23"/>
  <c r="F72" i="23"/>
  <c r="E72" i="23"/>
  <c r="D72" i="23"/>
  <c r="C72" i="23"/>
  <c r="B72" i="23"/>
  <c r="F71" i="23"/>
  <c r="E71" i="23"/>
  <c r="D71" i="23"/>
  <c r="C71" i="23"/>
  <c r="B71" i="23"/>
  <c r="R70" i="23"/>
  <c r="Q70" i="23"/>
  <c r="P70" i="23"/>
  <c r="O70" i="23"/>
  <c r="N70" i="23"/>
  <c r="M70" i="23"/>
  <c r="L70" i="23"/>
  <c r="K70" i="23"/>
  <c r="J70" i="23"/>
  <c r="I70" i="23"/>
  <c r="H70" i="23"/>
  <c r="G70" i="23"/>
  <c r="F70" i="23"/>
  <c r="E70" i="23"/>
  <c r="D70" i="23"/>
  <c r="C70" i="23"/>
  <c r="B70" i="23"/>
  <c r="F69" i="23"/>
  <c r="E69" i="23"/>
  <c r="D69" i="23"/>
  <c r="C69" i="23"/>
  <c r="B69" i="23"/>
  <c r="D68" i="23"/>
  <c r="C68" i="23"/>
  <c r="B68" i="23"/>
  <c r="F67" i="23"/>
  <c r="F73" i="23" s="1"/>
  <c r="F79" i="23" s="1"/>
  <c r="E67" i="23"/>
  <c r="E73" i="23" s="1"/>
  <c r="E79" i="23" s="1"/>
  <c r="D67" i="23"/>
  <c r="D73" i="23" s="1"/>
  <c r="D79" i="23" s="1"/>
  <c r="C67" i="23"/>
  <c r="C73" i="23" s="1"/>
  <c r="C79" i="23" s="1"/>
  <c r="B67" i="23"/>
  <c r="B73" i="23" s="1"/>
  <c r="B79" i="23" s="1"/>
  <c r="B75" i="23" s="1"/>
  <c r="F62" i="23"/>
  <c r="E62" i="23"/>
  <c r="D62" i="23"/>
  <c r="C62" i="23"/>
  <c r="B62" i="23"/>
  <c r="F61" i="23"/>
  <c r="E61" i="23"/>
  <c r="D61" i="23"/>
  <c r="C61" i="23"/>
  <c r="B61" i="23"/>
  <c r="R55" i="23"/>
  <c r="Q55" i="23"/>
  <c r="P55" i="23"/>
  <c r="O55" i="23"/>
  <c r="N55" i="23"/>
  <c r="M55" i="23"/>
  <c r="L55" i="23"/>
  <c r="K55" i="23"/>
  <c r="G48" i="23"/>
  <c r="R46" i="23"/>
  <c r="Q46" i="23"/>
  <c r="P46" i="23"/>
  <c r="O46" i="23"/>
  <c r="N46" i="23"/>
  <c r="M46" i="23"/>
  <c r="L46" i="23"/>
  <c r="R44" i="23"/>
  <c r="R50" i="23" s="1"/>
  <c r="R51" i="23" s="1"/>
  <c r="Q44" i="23"/>
  <c r="Q50" i="23" s="1"/>
  <c r="Q51" i="23" s="1"/>
  <c r="P44" i="23"/>
  <c r="P50" i="23" s="1"/>
  <c r="P51" i="23" s="1"/>
  <c r="O44" i="23"/>
  <c r="O50" i="23" s="1"/>
  <c r="O51" i="23" s="1"/>
  <c r="N44" i="23"/>
  <c r="N50" i="23" s="1"/>
  <c r="N51" i="23" s="1"/>
  <c r="M44" i="23"/>
  <c r="M50" i="23" s="1"/>
  <c r="M51" i="23" s="1"/>
  <c r="L44" i="23"/>
  <c r="L50" i="23" s="1"/>
  <c r="L51" i="23" s="1"/>
  <c r="K44" i="23"/>
  <c r="K50" i="23" s="1"/>
  <c r="K51" i="23" s="1"/>
  <c r="F44" i="23"/>
  <c r="F50" i="23" s="1"/>
  <c r="F51" i="23" s="1"/>
  <c r="E44" i="23"/>
  <c r="E50" i="23" s="1"/>
  <c r="E51" i="23" s="1"/>
  <c r="D44" i="23"/>
  <c r="D50" i="23" s="1"/>
  <c r="D51" i="23" s="1"/>
  <c r="C44" i="23"/>
  <c r="C50" i="23" s="1"/>
  <c r="C51" i="23" s="1"/>
  <c r="B44" i="23"/>
  <c r="B50" i="23" s="1"/>
  <c r="B51" i="23" s="1"/>
  <c r="J40" i="23"/>
  <c r="I40" i="23"/>
  <c r="H40" i="23"/>
  <c r="G40" i="23"/>
  <c r="J39" i="23"/>
  <c r="J44" i="23" s="1"/>
  <c r="J50" i="23" s="1"/>
  <c r="J51" i="23" s="1"/>
  <c r="I39" i="23"/>
  <c r="I44" i="23" s="1"/>
  <c r="I50" i="23" s="1"/>
  <c r="I51" i="23" s="1"/>
  <c r="H39" i="23"/>
  <c r="H44" i="23" s="1"/>
  <c r="H50" i="23" s="1"/>
  <c r="H51" i="23" s="1"/>
  <c r="G39" i="23"/>
  <c r="G44" i="23" s="1"/>
  <c r="G50" i="23" s="1"/>
  <c r="G51" i="23" s="1"/>
  <c r="K35" i="23"/>
  <c r="K36" i="23" s="1"/>
  <c r="G35" i="23"/>
  <c r="G36" i="23" s="1"/>
  <c r="F35" i="23"/>
  <c r="F36" i="23" s="1"/>
  <c r="E35" i="23"/>
  <c r="E36" i="23" s="1"/>
  <c r="D35" i="23"/>
  <c r="D36" i="23" s="1"/>
  <c r="C35" i="23"/>
  <c r="C36" i="23" s="1"/>
  <c r="B35" i="23"/>
  <c r="B36" i="23" s="1"/>
  <c r="R32" i="23"/>
  <c r="Q32" i="23"/>
  <c r="P32" i="23"/>
  <c r="O32" i="23"/>
  <c r="N32" i="23"/>
  <c r="M32" i="23"/>
  <c r="L32" i="23"/>
  <c r="K32" i="23"/>
  <c r="J32" i="23"/>
  <c r="I32" i="23"/>
  <c r="H32" i="23"/>
  <c r="G32" i="23"/>
  <c r="F32" i="23"/>
  <c r="E32" i="23"/>
  <c r="D32" i="23"/>
  <c r="C32" i="23"/>
  <c r="B32" i="23"/>
  <c r="F15" i="23"/>
  <c r="F21" i="23" s="1"/>
  <c r="F22" i="23" s="1"/>
  <c r="F56" i="23" s="1"/>
  <c r="E15" i="23"/>
  <c r="E21" i="23" s="1"/>
  <c r="E22" i="23" s="1"/>
  <c r="E56" i="23" s="1"/>
  <c r="D15" i="23"/>
  <c r="D21" i="23" s="1"/>
  <c r="D22" i="23" s="1"/>
  <c r="D56" i="23" s="1"/>
  <c r="C15" i="23"/>
  <c r="C21" i="23" s="1"/>
  <c r="C22" i="23" s="1"/>
  <c r="C56" i="23" s="1"/>
  <c r="B15" i="23"/>
  <c r="B21" i="23" s="1"/>
  <c r="B22" i="23" s="1"/>
  <c r="R10" i="23"/>
  <c r="R9" i="23"/>
  <c r="J8" i="23"/>
  <c r="I8" i="23"/>
  <c r="H8" i="23"/>
  <c r="G8" i="23"/>
  <c r="G17" i="23" s="1"/>
  <c r="G19" i="23" s="1"/>
  <c r="N7" i="23"/>
  <c r="O7" i="23" s="1"/>
  <c r="P7" i="23" s="1"/>
  <c r="Q7" i="23" s="1"/>
  <c r="R7" i="23" s="1"/>
  <c r="M7" i="23"/>
  <c r="L7" i="23"/>
  <c r="K7" i="23"/>
  <c r="J7" i="23"/>
  <c r="J15" i="23" s="1"/>
  <c r="I7" i="23"/>
  <c r="I15" i="23" s="1"/>
  <c r="H7" i="23"/>
  <c r="H15" i="23" s="1"/>
  <c r="G7" i="23"/>
  <c r="G15" i="23" s="1"/>
  <c r="G21" i="23" s="1"/>
  <c r="G22" i="23" s="1"/>
  <c r="G56" i="23" s="1"/>
  <c r="J6" i="23"/>
  <c r="K6" i="23" s="1"/>
  <c r="I6" i="23"/>
  <c r="H6" i="23"/>
  <c r="G6" i="23"/>
  <c r="N5" i="23"/>
  <c r="O5" i="23" s="1"/>
  <c r="M5" i="23"/>
  <c r="L5" i="23"/>
  <c r="K5" i="23"/>
  <c r="J5" i="23"/>
  <c r="I5" i="23"/>
  <c r="H5" i="23"/>
  <c r="G5" i="23"/>
  <c r="F5" i="23"/>
  <c r="A1" i="23" a="1"/>
  <c r="A1" i="23"/>
  <c r="M163" i="22"/>
  <c r="L163" i="22"/>
  <c r="K163" i="22"/>
  <c r="J163" i="22"/>
  <c r="I163" i="22"/>
  <c r="H163" i="22"/>
  <c r="G163" i="22"/>
  <c r="F163" i="22"/>
  <c r="E163" i="22"/>
  <c r="D163" i="22"/>
  <c r="C163" i="22"/>
  <c r="B163" i="22"/>
  <c r="M155" i="22"/>
  <c r="L155" i="22"/>
  <c r="K155" i="22"/>
  <c r="J155" i="22"/>
  <c r="I155" i="22"/>
  <c r="H155" i="22"/>
  <c r="G155" i="22"/>
  <c r="F155" i="22"/>
  <c r="E155" i="22"/>
  <c r="D155" i="22"/>
  <c r="C155" i="22"/>
  <c r="B155" i="22"/>
  <c r="F143" i="22"/>
  <c r="F145" i="22" s="1"/>
  <c r="C136" i="22"/>
  <c r="B136" i="22"/>
  <c r="C135" i="22"/>
  <c r="B135" i="22"/>
  <c r="C134" i="22"/>
  <c r="B134" i="22"/>
  <c r="C133" i="22"/>
  <c r="B133" i="22"/>
  <c r="C132" i="22"/>
  <c r="B132" i="22"/>
  <c r="C131" i="22"/>
  <c r="B131" i="22"/>
  <c r="C130" i="22"/>
  <c r="B130" i="22"/>
  <c r="C129" i="22"/>
  <c r="B129" i="22"/>
  <c r="J112" i="22"/>
  <c r="I112" i="22"/>
  <c r="H112" i="22"/>
  <c r="F112" i="22"/>
  <c r="J111" i="22"/>
  <c r="I111" i="22"/>
  <c r="H111" i="22"/>
  <c r="F111" i="22"/>
  <c r="E111" i="22"/>
  <c r="D111" i="22"/>
  <c r="C111" i="22"/>
  <c r="J110" i="22"/>
  <c r="I110" i="22"/>
  <c r="H110" i="22"/>
  <c r="F110" i="22"/>
  <c r="E110" i="22"/>
  <c r="D110" i="22"/>
  <c r="C110" i="22"/>
  <c r="C108" i="22"/>
  <c r="F107" i="22"/>
  <c r="E107" i="22"/>
  <c r="D107" i="22"/>
  <c r="C107" i="22"/>
  <c r="C106" i="22"/>
  <c r="E105" i="22"/>
  <c r="D105" i="22"/>
  <c r="C105" i="22"/>
  <c r="I103" i="22"/>
  <c r="H103" i="22"/>
  <c r="G103" i="22"/>
  <c r="F103" i="22"/>
  <c r="K102" i="22"/>
  <c r="L102" i="22" s="1"/>
  <c r="M102" i="22" s="1"/>
  <c r="N102" i="22" s="1"/>
  <c r="E102" i="22"/>
  <c r="D102" i="22"/>
  <c r="C102" i="22"/>
  <c r="K101" i="22"/>
  <c r="L101" i="22" s="1"/>
  <c r="M101" i="22" s="1"/>
  <c r="N101" i="22" s="1"/>
  <c r="K100" i="22"/>
  <c r="L100" i="22" s="1"/>
  <c r="M100" i="22" s="1"/>
  <c r="N100" i="22" s="1"/>
  <c r="J99" i="22"/>
  <c r="K99" i="22" s="1"/>
  <c r="L99" i="22" s="1"/>
  <c r="M99" i="22" s="1"/>
  <c r="N99" i="22" s="1"/>
  <c r="K98" i="22"/>
  <c r="L98" i="22" s="1"/>
  <c r="M98" i="22" s="1"/>
  <c r="N98" i="22" s="1"/>
  <c r="J97" i="22"/>
  <c r="K97" i="22" s="1"/>
  <c r="L97" i="22" s="1"/>
  <c r="M97" i="22" s="1"/>
  <c r="N97" i="22" s="1"/>
  <c r="J96" i="22"/>
  <c r="K95" i="22"/>
  <c r="K92" i="22"/>
  <c r="G92" i="22"/>
  <c r="G112" i="22" s="1"/>
  <c r="A92" i="22"/>
  <c r="K91" i="22"/>
  <c r="G91" i="22"/>
  <c r="G111" i="22" s="1"/>
  <c r="A91" i="22"/>
  <c r="K90" i="22"/>
  <c r="G90" i="22"/>
  <c r="G110" i="22" s="1"/>
  <c r="A90" i="22"/>
  <c r="G89" i="22"/>
  <c r="C89" i="22"/>
  <c r="A89" i="22"/>
  <c r="G88" i="22"/>
  <c r="D88" i="22"/>
  <c r="A88" i="22"/>
  <c r="G87" i="22"/>
  <c r="A87" i="22"/>
  <c r="G86" i="22"/>
  <c r="D86" i="22"/>
  <c r="A86" i="22"/>
  <c r="G85" i="22"/>
  <c r="F85" i="22"/>
  <c r="A85" i="22"/>
  <c r="N84" i="22"/>
  <c r="M84" i="22"/>
  <c r="L84" i="22"/>
  <c r="K84" i="22"/>
  <c r="J84" i="22"/>
  <c r="I84" i="22"/>
  <c r="H84" i="22"/>
  <c r="G84" i="22"/>
  <c r="F84" i="22"/>
  <c r="E84" i="22"/>
  <c r="D84" i="22"/>
  <c r="C84" i="22"/>
  <c r="N83" i="22"/>
  <c r="M83" i="22"/>
  <c r="L83" i="22"/>
  <c r="K83" i="22"/>
  <c r="J83" i="22"/>
  <c r="I83" i="22"/>
  <c r="H83" i="22"/>
  <c r="G83" i="22"/>
  <c r="F83" i="22"/>
  <c r="E83" i="22"/>
  <c r="D83" i="22"/>
  <c r="C83" i="22"/>
  <c r="H79" i="22"/>
  <c r="G79" i="22"/>
  <c r="F79" i="22"/>
  <c r="D79" i="22"/>
  <c r="B79" i="22"/>
  <c r="I78" i="22"/>
  <c r="J78" i="22" s="1"/>
  <c r="C78" i="22"/>
  <c r="E78" i="22" s="1"/>
  <c r="I77" i="22"/>
  <c r="J77" i="22" s="1"/>
  <c r="C77" i="22"/>
  <c r="E77" i="22" s="1"/>
  <c r="I76" i="22"/>
  <c r="J76" i="22" s="1"/>
  <c r="C76" i="22"/>
  <c r="E76" i="22" s="1"/>
  <c r="I75" i="22"/>
  <c r="J75" i="22" s="1"/>
  <c r="C75" i="22"/>
  <c r="E75" i="22" s="1"/>
  <c r="N74" i="22"/>
  <c r="I74" i="22"/>
  <c r="J74" i="22" s="1"/>
  <c r="C74" i="22"/>
  <c r="E74" i="22" s="1"/>
  <c r="I73" i="22"/>
  <c r="J73" i="22" s="1"/>
  <c r="C73" i="22"/>
  <c r="E73" i="22" s="1"/>
  <c r="I72" i="22"/>
  <c r="J72" i="22" s="1"/>
  <c r="C72" i="22"/>
  <c r="E72" i="22" s="1"/>
  <c r="I71" i="22"/>
  <c r="J71" i="22" s="1"/>
  <c r="C71" i="22"/>
  <c r="N52" i="22"/>
  <c r="N53" i="22" s="1"/>
  <c r="M52" i="22"/>
  <c r="M53" i="22" s="1"/>
  <c r="L52" i="22"/>
  <c r="L53" i="22" s="1"/>
  <c r="K52" i="22"/>
  <c r="K53" i="22" s="1"/>
  <c r="J52" i="22"/>
  <c r="F52" i="22"/>
  <c r="H43" i="22"/>
  <c r="G43" i="22"/>
  <c r="F43" i="22"/>
  <c r="E43" i="22"/>
  <c r="D43" i="22"/>
  <c r="C43" i="22"/>
  <c r="N38" i="22"/>
  <c r="M38" i="22"/>
  <c r="L38" i="22"/>
  <c r="K38" i="22"/>
  <c r="J38" i="22"/>
  <c r="I38" i="22"/>
  <c r="H38" i="22"/>
  <c r="G38" i="22"/>
  <c r="J31" i="22"/>
  <c r="I31" i="22"/>
  <c r="M71" i="23" s="1"/>
  <c r="H31" i="22"/>
  <c r="L71" i="23" s="1"/>
  <c r="G31" i="22"/>
  <c r="K71" i="23" s="1"/>
  <c r="F31" i="22"/>
  <c r="J71" i="23" s="1"/>
  <c r="E31" i="22"/>
  <c r="I71" i="23" s="1"/>
  <c r="D31" i="22"/>
  <c r="H71" i="23" s="1"/>
  <c r="C31" i="22"/>
  <c r="G71" i="23" s="1"/>
  <c r="N29" i="22"/>
  <c r="R67" i="23" s="1"/>
  <c r="J29" i="22"/>
  <c r="I29" i="22"/>
  <c r="M67" i="23" s="1"/>
  <c r="H29" i="22"/>
  <c r="L67" i="23" s="1"/>
  <c r="G29" i="22"/>
  <c r="K67" i="23" s="1"/>
  <c r="F29" i="22"/>
  <c r="J67" i="23" s="1"/>
  <c r="E29" i="22"/>
  <c r="I67" i="23" s="1"/>
  <c r="D29" i="22"/>
  <c r="H67" i="23" s="1"/>
  <c r="C29" i="22"/>
  <c r="G67" i="23" s="1"/>
  <c r="N19" i="22"/>
  <c r="M19" i="22"/>
  <c r="L19" i="22"/>
  <c r="K19" i="22"/>
  <c r="J19" i="22"/>
  <c r="I19" i="22"/>
  <c r="H19" i="22"/>
  <c r="G19" i="22"/>
  <c r="F19" i="22"/>
  <c r="E19" i="22"/>
  <c r="D19" i="22"/>
  <c r="C19" i="22"/>
  <c r="N18" i="22"/>
  <c r="N20" i="22" s="1"/>
  <c r="M18" i="22"/>
  <c r="M20" i="22" s="1"/>
  <c r="L18" i="22"/>
  <c r="L20" i="22" s="1"/>
  <c r="K18" i="22"/>
  <c r="K20" i="22" s="1"/>
  <c r="J18" i="22"/>
  <c r="J20" i="22" s="1"/>
  <c r="I18" i="22"/>
  <c r="I20" i="22" s="1"/>
  <c r="H18" i="22"/>
  <c r="H20" i="22" s="1"/>
  <c r="G18" i="22"/>
  <c r="G20" i="22" s="1"/>
  <c r="F18" i="22"/>
  <c r="F20" i="22" s="1"/>
  <c r="E18" i="22"/>
  <c r="E20" i="22" s="1"/>
  <c r="D18" i="22"/>
  <c r="D20" i="22" s="1"/>
  <c r="C18" i="22"/>
  <c r="C20" i="22" s="1"/>
  <c r="A1" i="22" a="1"/>
  <c r="A1" i="22" s="1"/>
  <c r="C77" i="20"/>
  <c r="D77" i="20" s="1"/>
  <c r="C73" i="20"/>
  <c r="C72" i="20"/>
  <c r="N71" i="20"/>
  <c r="M71" i="20"/>
  <c r="L71" i="20"/>
  <c r="K71" i="20"/>
  <c r="J71" i="20"/>
  <c r="I71" i="20"/>
  <c r="H71" i="20"/>
  <c r="G71" i="20"/>
  <c r="F71" i="20"/>
  <c r="E71" i="20"/>
  <c r="D71" i="20"/>
  <c r="J54" i="20"/>
  <c r="J58" i="20" s="1"/>
  <c r="I54" i="20"/>
  <c r="I58" i="20" s="1"/>
  <c r="H54" i="20"/>
  <c r="H58" i="20" s="1"/>
  <c r="G54" i="20"/>
  <c r="G58" i="20" s="1"/>
  <c r="F54" i="20"/>
  <c r="F58" i="20" s="1"/>
  <c r="E54" i="20"/>
  <c r="E58" i="20" s="1"/>
  <c r="D54" i="20"/>
  <c r="D58" i="20" s="1"/>
  <c r="C54" i="20"/>
  <c r="C58" i="20" s="1"/>
  <c r="B54" i="20"/>
  <c r="B58" i="20" s="1"/>
  <c r="Q36" i="20"/>
  <c r="C33" i="20"/>
  <c r="D33" i="20" s="1"/>
  <c r="C30" i="20"/>
  <c r="D30" i="20" s="1"/>
  <c r="E30" i="20" s="1"/>
  <c r="F30" i="20" s="1"/>
  <c r="G30" i="20" s="1"/>
  <c r="H30" i="20" s="1"/>
  <c r="I30" i="20" s="1"/>
  <c r="J30" i="20" s="1"/>
  <c r="K30" i="20" s="1"/>
  <c r="L30" i="20" s="1"/>
  <c r="M30" i="20" s="1"/>
  <c r="N30" i="20" s="1"/>
  <c r="P28" i="20"/>
  <c r="N24" i="20"/>
  <c r="M24" i="20"/>
  <c r="K24" i="20"/>
  <c r="J24" i="20"/>
  <c r="I24" i="20"/>
  <c r="H24" i="20"/>
  <c r="G24" i="20"/>
  <c r="F24" i="20"/>
  <c r="E24" i="20"/>
  <c r="D24" i="20"/>
  <c r="C24" i="20"/>
  <c r="B24" i="20"/>
  <c r="D39" i="6" s="1"/>
  <c r="Q18" i="20"/>
  <c r="Q20" i="20" s="1"/>
  <c r="Q28" i="20" s="1"/>
  <c r="N17" i="20"/>
  <c r="P47" i="6" s="1"/>
  <c r="M17" i="20"/>
  <c r="O47" i="6" s="1"/>
  <c r="L17" i="20"/>
  <c r="N47" i="6" s="1"/>
  <c r="J17" i="20"/>
  <c r="L47" i="6" s="1"/>
  <c r="I17" i="20"/>
  <c r="K47" i="6" s="1"/>
  <c r="H17" i="20"/>
  <c r="J47" i="6" s="1"/>
  <c r="G17" i="20"/>
  <c r="I47" i="6" s="1"/>
  <c r="F17" i="20"/>
  <c r="H47" i="6" s="1"/>
  <c r="E17" i="20"/>
  <c r="G47" i="6" s="1"/>
  <c r="D17" i="20"/>
  <c r="F47" i="6" s="1"/>
  <c r="C17" i="20"/>
  <c r="E47" i="6" s="1"/>
  <c r="B17" i="20"/>
  <c r="D47" i="6" s="1"/>
  <c r="K13" i="20"/>
  <c r="K17" i="20" s="1"/>
  <c r="M47" i="6" s="1"/>
  <c r="G8" i="20"/>
  <c r="G9" i="20" s="1"/>
  <c r="N6" i="20"/>
  <c r="N8" i="20" s="1"/>
  <c r="M6" i="20"/>
  <c r="M8" i="20" s="1"/>
  <c r="L6" i="20"/>
  <c r="L8" i="20" s="1"/>
  <c r="K6" i="20"/>
  <c r="K8" i="20" s="1"/>
  <c r="J6" i="20"/>
  <c r="J8" i="20" s="1"/>
  <c r="I6" i="20"/>
  <c r="I8" i="20" s="1"/>
  <c r="F6" i="20"/>
  <c r="F8" i="20" s="1"/>
  <c r="E6" i="20"/>
  <c r="E8" i="20" s="1"/>
  <c r="D6" i="20"/>
  <c r="D8" i="20" s="1"/>
  <c r="C6" i="20"/>
  <c r="C8" i="20" s="1"/>
  <c r="B6" i="20"/>
  <c r="B8" i="20" s="1"/>
  <c r="F68" i="19"/>
  <c r="G68" i="19" s="1"/>
  <c r="C68" i="19"/>
  <c r="F64" i="19"/>
  <c r="F63" i="19"/>
  <c r="Q62" i="19"/>
  <c r="P62" i="19"/>
  <c r="O62" i="19"/>
  <c r="N62" i="19"/>
  <c r="M62" i="19"/>
  <c r="L62" i="19"/>
  <c r="K62" i="19"/>
  <c r="J62" i="19"/>
  <c r="I62" i="19"/>
  <c r="H62" i="19"/>
  <c r="G62" i="19"/>
  <c r="N60" i="19"/>
  <c r="M60" i="19"/>
  <c r="L60" i="19"/>
  <c r="K60" i="19"/>
  <c r="J60" i="19"/>
  <c r="N52" i="19"/>
  <c r="N53" i="19" s="1"/>
  <c r="M52" i="19"/>
  <c r="M53" i="19" s="1"/>
  <c r="L52" i="19"/>
  <c r="L53" i="19" s="1"/>
  <c r="K52" i="19"/>
  <c r="C52" i="19"/>
  <c r="G44" i="19"/>
  <c r="C42" i="19"/>
  <c r="C54" i="19" s="1"/>
  <c r="C58" i="19" s="1"/>
  <c r="N41" i="19"/>
  <c r="M41" i="19"/>
  <c r="L41" i="19"/>
  <c r="K41" i="19"/>
  <c r="J41" i="19"/>
  <c r="I41" i="19"/>
  <c r="H41" i="19"/>
  <c r="G41" i="19"/>
  <c r="F41" i="19"/>
  <c r="E41" i="19"/>
  <c r="D41" i="19"/>
  <c r="E38" i="19"/>
  <c r="E42" i="19" s="1"/>
  <c r="D38" i="19"/>
  <c r="D42" i="19" s="1"/>
  <c r="I36" i="19"/>
  <c r="J36" i="19" s="1"/>
  <c r="J35" i="19"/>
  <c r="F34" i="19"/>
  <c r="J33" i="19"/>
  <c r="C30" i="19"/>
  <c r="D30" i="19" s="1"/>
  <c r="E30" i="19" s="1"/>
  <c r="F30" i="19" s="1"/>
  <c r="G30" i="19" s="1"/>
  <c r="H30" i="19" s="1"/>
  <c r="I30" i="19" s="1"/>
  <c r="J30" i="19" s="1"/>
  <c r="K30" i="19" s="1"/>
  <c r="L30" i="19" s="1"/>
  <c r="M30" i="19" s="1"/>
  <c r="N30" i="19" s="1"/>
  <c r="N24" i="19"/>
  <c r="M24" i="19"/>
  <c r="L24" i="19"/>
  <c r="K24" i="19"/>
  <c r="J24" i="19"/>
  <c r="I24" i="19"/>
  <c r="H24" i="19"/>
  <c r="G24" i="19"/>
  <c r="F24" i="19"/>
  <c r="E24" i="19"/>
  <c r="D24" i="19"/>
  <c r="C24" i="19"/>
  <c r="N17" i="19"/>
  <c r="N26" i="19" s="1"/>
  <c r="M17" i="19"/>
  <c r="M26" i="19" s="1"/>
  <c r="L17" i="19"/>
  <c r="L26" i="19" s="1"/>
  <c r="K17" i="19"/>
  <c r="K26" i="19" s="1"/>
  <c r="I17" i="19"/>
  <c r="I26" i="19" s="1"/>
  <c r="H17" i="19"/>
  <c r="H26" i="19" s="1"/>
  <c r="G17" i="19"/>
  <c r="G26" i="19" s="1"/>
  <c r="F17" i="19"/>
  <c r="F26" i="19" s="1"/>
  <c r="E17" i="19"/>
  <c r="E26" i="19" s="1"/>
  <c r="D17" i="19"/>
  <c r="D26" i="19" s="1"/>
  <c r="C17" i="19"/>
  <c r="C26" i="19" s="1"/>
  <c r="N6" i="19"/>
  <c r="N8" i="19" s="1"/>
  <c r="M6" i="19"/>
  <c r="M8" i="19" s="1"/>
  <c r="L6" i="19"/>
  <c r="L8" i="19" s="1"/>
  <c r="K6" i="19"/>
  <c r="K8" i="19" s="1"/>
  <c r="J6" i="19"/>
  <c r="J8" i="19" s="1"/>
  <c r="I6" i="19"/>
  <c r="I8" i="19" s="1"/>
  <c r="F6" i="19"/>
  <c r="F8" i="19" s="1"/>
  <c r="E6" i="19"/>
  <c r="E8" i="19" s="1"/>
  <c r="D6" i="19"/>
  <c r="D8" i="19" s="1"/>
  <c r="C6" i="19"/>
  <c r="C8" i="19" s="1"/>
  <c r="C9" i="19" s="1"/>
  <c r="H5" i="19"/>
  <c r="H6" i="19" s="1"/>
  <c r="H8" i="19" s="1"/>
  <c r="G5" i="19"/>
  <c r="G6" i="19" s="1"/>
  <c r="G8" i="19" s="1"/>
  <c r="F103" i="18"/>
  <c r="I99" i="18"/>
  <c r="F98" i="18"/>
  <c r="F100" i="18" s="1"/>
  <c r="J92" i="18"/>
  <c r="I92" i="18"/>
  <c r="H92" i="18"/>
  <c r="G92" i="18"/>
  <c r="F92" i="18"/>
  <c r="E88" i="18"/>
  <c r="E92" i="18" s="1"/>
  <c r="D88" i="18"/>
  <c r="D92" i="18" s="1"/>
  <c r="C88" i="18"/>
  <c r="C92" i="18" s="1"/>
  <c r="B88" i="18"/>
  <c r="B92" i="18" s="1"/>
  <c r="J84" i="18"/>
  <c r="J89" i="18" s="1"/>
  <c r="I84" i="18"/>
  <c r="I89" i="18" s="1"/>
  <c r="H84" i="18"/>
  <c r="H89" i="18" s="1"/>
  <c r="G84" i="18"/>
  <c r="G89" i="18" s="1"/>
  <c r="F84" i="18"/>
  <c r="E84" i="18"/>
  <c r="E89" i="18" s="1"/>
  <c r="D84" i="18"/>
  <c r="D89" i="18" s="1"/>
  <c r="C84" i="18"/>
  <c r="C89" i="18" s="1"/>
  <c r="B84" i="18"/>
  <c r="B89" i="18" s="1"/>
  <c r="N83" i="18"/>
  <c r="M83" i="18"/>
  <c r="L83" i="18"/>
  <c r="K83" i="18"/>
  <c r="J83" i="18"/>
  <c r="I83" i="18"/>
  <c r="H83" i="18"/>
  <c r="G83" i="18"/>
  <c r="F83" i="18"/>
  <c r="E83" i="18"/>
  <c r="D83" i="18"/>
  <c r="C83" i="18"/>
  <c r="B83" i="18"/>
  <c r="N82" i="18"/>
  <c r="M82" i="18"/>
  <c r="L82" i="18"/>
  <c r="K82" i="18"/>
  <c r="J82" i="18"/>
  <c r="I82" i="18"/>
  <c r="H82" i="18"/>
  <c r="G82" i="18"/>
  <c r="F82" i="18"/>
  <c r="E82" i="18"/>
  <c r="D82" i="18"/>
  <c r="C82" i="18"/>
  <c r="B82" i="18"/>
  <c r="J75" i="18"/>
  <c r="I75" i="18"/>
  <c r="H75" i="18"/>
  <c r="G75" i="18"/>
  <c r="F75" i="18"/>
  <c r="C66" i="18"/>
  <c r="B66" i="18"/>
  <c r="G65" i="18"/>
  <c r="H65" i="18" s="1"/>
  <c r="I65" i="18" s="1"/>
  <c r="J65" i="18" s="1"/>
  <c r="K65" i="18" s="1"/>
  <c r="L65" i="18" s="1"/>
  <c r="M65" i="18" s="1"/>
  <c r="N65" i="18" s="1"/>
  <c r="D64" i="18"/>
  <c r="N55" i="18"/>
  <c r="N56" i="18" s="1"/>
  <c r="N17" i="18" s="1"/>
  <c r="M55" i="18"/>
  <c r="M56" i="18" s="1"/>
  <c r="L55" i="18"/>
  <c r="L56" i="18" s="1"/>
  <c r="K55" i="18"/>
  <c r="K56" i="18" s="1"/>
  <c r="K17" i="18" s="1"/>
  <c r="J55" i="18"/>
  <c r="I55" i="18"/>
  <c r="H55" i="18"/>
  <c r="G55" i="18"/>
  <c r="F55" i="18"/>
  <c r="E55" i="18"/>
  <c r="D55" i="18"/>
  <c r="C55" i="18"/>
  <c r="N50" i="18"/>
  <c r="M50" i="18"/>
  <c r="L50" i="18"/>
  <c r="K50" i="18"/>
  <c r="J50" i="18"/>
  <c r="I50" i="18"/>
  <c r="H50" i="18"/>
  <c r="G50" i="18"/>
  <c r="F50" i="18"/>
  <c r="E50" i="18"/>
  <c r="D50" i="18"/>
  <c r="C50" i="18"/>
  <c r="B50" i="18"/>
  <c r="N42" i="18"/>
  <c r="M42" i="18"/>
  <c r="L42" i="18"/>
  <c r="K42" i="18"/>
  <c r="K41" i="18"/>
  <c r="L41" i="18" s="1"/>
  <c r="M41" i="18" s="1"/>
  <c r="C41" i="18"/>
  <c r="N36" i="18"/>
  <c r="K36" i="18"/>
  <c r="N35" i="18"/>
  <c r="M35" i="18"/>
  <c r="C33" i="18"/>
  <c r="D33" i="18" s="1"/>
  <c r="E33" i="18" s="1"/>
  <c r="F33" i="18" s="1"/>
  <c r="G33" i="18" s="1"/>
  <c r="H33" i="18" s="1"/>
  <c r="I33" i="18" s="1"/>
  <c r="J33" i="18" s="1"/>
  <c r="K33" i="18" s="1"/>
  <c r="L33" i="18" s="1"/>
  <c r="M33" i="18" s="1"/>
  <c r="N33" i="18" s="1"/>
  <c r="N27" i="18"/>
  <c r="M27" i="18"/>
  <c r="L27" i="18"/>
  <c r="J27" i="18"/>
  <c r="I27" i="18"/>
  <c r="H27" i="18"/>
  <c r="G27" i="18"/>
  <c r="F27" i="18"/>
  <c r="E27" i="18"/>
  <c r="D27" i="18"/>
  <c r="C27" i="18"/>
  <c r="B27" i="18"/>
  <c r="L15" i="18"/>
  <c r="L20" i="18" s="1"/>
  <c r="K15" i="18"/>
  <c r="K20" i="18" s="1"/>
  <c r="J15" i="18"/>
  <c r="J20" i="18" s="1"/>
  <c r="I15" i="18"/>
  <c r="I20" i="18" s="1"/>
  <c r="H15" i="18"/>
  <c r="H20" i="18" s="1"/>
  <c r="G15" i="18"/>
  <c r="G20" i="18" s="1"/>
  <c r="F15" i="18"/>
  <c r="F20" i="18" s="1"/>
  <c r="E15" i="18"/>
  <c r="E20" i="18" s="1"/>
  <c r="D15" i="18"/>
  <c r="D20" i="18" s="1"/>
  <c r="C15" i="18"/>
  <c r="C20" i="18" s="1"/>
  <c r="B15" i="18"/>
  <c r="B20" i="18" s="1"/>
  <c r="J8" i="18"/>
  <c r="J10" i="18" s="1"/>
  <c r="I8" i="18"/>
  <c r="I10" i="18" s="1"/>
  <c r="H8" i="18"/>
  <c r="H10" i="18" s="1"/>
  <c r="G8" i="18"/>
  <c r="G10" i="18" s="1"/>
  <c r="F8" i="18"/>
  <c r="F10" i="18" s="1"/>
  <c r="E8" i="18"/>
  <c r="E10" i="18" s="1"/>
  <c r="D8" i="18"/>
  <c r="D10" i="18" s="1"/>
  <c r="C8" i="18"/>
  <c r="C10" i="18" s="1"/>
  <c r="B8" i="18"/>
  <c r="B10" i="18" s="1"/>
  <c r="B11" i="18" s="1"/>
  <c r="C11" i="18" s="1"/>
  <c r="D11" i="18" s="1"/>
  <c r="E11" i="18" s="1"/>
  <c r="F11" i="18" s="1"/>
  <c r="G11" i="18" s="1"/>
  <c r="H11" i="18" s="1"/>
  <c r="I11" i="18" s="1"/>
  <c r="J11" i="18" s="1"/>
  <c r="N6" i="18"/>
  <c r="N8" i="18" s="1"/>
  <c r="M6" i="18"/>
  <c r="M8" i="18" s="1"/>
  <c r="L6" i="18"/>
  <c r="L8" i="18" s="1"/>
  <c r="L10" i="18" s="1"/>
  <c r="K6" i="18"/>
  <c r="K8" i="18" s="1"/>
  <c r="M76" i="16"/>
  <c r="L76" i="16"/>
  <c r="K76" i="16"/>
  <c r="J76" i="16"/>
  <c r="J78" i="16" s="1"/>
  <c r="J37" i="16" s="1"/>
  <c r="I76" i="16"/>
  <c r="I78" i="16" s="1"/>
  <c r="I37" i="16" s="1"/>
  <c r="H76" i="16"/>
  <c r="H78" i="16" s="1"/>
  <c r="H37" i="16" s="1"/>
  <c r="G76" i="16"/>
  <c r="G78" i="16" s="1"/>
  <c r="G37" i="16" s="1"/>
  <c r="F76" i="16"/>
  <c r="F78" i="16" s="1"/>
  <c r="F37" i="16" s="1"/>
  <c r="E76" i="16"/>
  <c r="E78" i="16" s="1"/>
  <c r="E37" i="16" s="1"/>
  <c r="D76" i="16"/>
  <c r="D78" i="16" s="1"/>
  <c r="D37" i="16" s="1"/>
  <c r="C76" i="16"/>
  <c r="C78" i="16" s="1"/>
  <c r="C37" i="16" s="1"/>
  <c r="J73" i="16"/>
  <c r="I73" i="16"/>
  <c r="H73" i="16"/>
  <c r="G73" i="16"/>
  <c r="F73" i="16"/>
  <c r="E73" i="16"/>
  <c r="D73" i="16"/>
  <c r="C73" i="16"/>
  <c r="K69" i="16"/>
  <c r="N66" i="16"/>
  <c r="M66" i="16"/>
  <c r="L66" i="16"/>
  <c r="K66" i="16"/>
  <c r="J66" i="16"/>
  <c r="I66" i="16"/>
  <c r="H66" i="16"/>
  <c r="G66" i="16"/>
  <c r="F66" i="16"/>
  <c r="E66" i="16"/>
  <c r="D66" i="16"/>
  <c r="C66" i="16"/>
  <c r="N65" i="16"/>
  <c r="M65" i="16"/>
  <c r="L65" i="16"/>
  <c r="K65" i="16"/>
  <c r="J65" i="16"/>
  <c r="I65" i="16"/>
  <c r="H65" i="16"/>
  <c r="G65" i="16"/>
  <c r="F65" i="16"/>
  <c r="E65" i="16"/>
  <c r="D65" i="16"/>
  <c r="C65" i="16"/>
  <c r="M51" i="16"/>
  <c r="L51" i="16"/>
  <c r="K51" i="16"/>
  <c r="J51" i="16"/>
  <c r="I51" i="16"/>
  <c r="H51" i="16"/>
  <c r="G51" i="16"/>
  <c r="F51" i="16"/>
  <c r="E51" i="16"/>
  <c r="D51" i="16"/>
  <c r="C51" i="16"/>
  <c r="N44" i="16"/>
  <c r="M44" i="16"/>
  <c r="L44" i="16"/>
  <c r="K44" i="16"/>
  <c r="J44" i="16"/>
  <c r="I44" i="16"/>
  <c r="H44" i="16"/>
  <c r="G44" i="16"/>
  <c r="F44" i="16"/>
  <c r="E44" i="16"/>
  <c r="D44" i="16"/>
  <c r="C44" i="16"/>
  <c r="N37" i="16"/>
  <c r="M33" i="16"/>
  <c r="L33" i="16"/>
  <c r="K33" i="16"/>
  <c r="J33" i="16"/>
  <c r="J40" i="16" s="1"/>
  <c r="J45" i="16" s="1"/>
  <c r="I33" i="16"/>
  <c r="I40" i="16" s="1"/>
  <c r="I45" i="16" s="1"/>
  <c r="H33" i="16"/>
  <c r="H40" i="16" s="1"/>
  <c r="H45" i="16" s="1"/>
  <c r="G33" i="16"/>
  <c r="G40" i="16" s="1"/>
  <c r="G45" i="16" s="1"/>
  <c r="F33" i="16"/>
  <c r="F40" i="16" s="1"/>
  <c r="F45" i="16" s="1"/>
  <c r="E33" i="16"/>
  <c r="E40" i="16" s="1"/>
  <c r="E45" i="16" s="1"/>
  <c r="D33" i="16"/>
  <c r="D40" i="16" s="1"/>
  <c r="D45" i="16" s="1"/>
  <c r="C33" i="16"/>
  <c r="C40" i="16" s="1"/>
  <c r="C45" i="16" s="1"/>
  <c r="C30" i="16"/>
  <c r="D30" i="16" s="1"/>
  <c r="E30" i="16" s="1"/>
  <c r="F30" i="16" s="1"/>
  <c r="G30" i="16" s="1"/>
  <c r="H30" i="16" s="1"/>
  <c r="I30" i="16" s="1"/>
  <c r="J30" i="16" s="1"/>
  <c r="K30" i="16" s="1"/>
  <c r="L30" i="16" s="1"/>
  <c r="M30" i="16" s="1"/>
  <c r="N30" i="16" s="1"/>
  <c r="N24" i="16"/>
  <c r="M24" i="16"/>
  <c r="L24" i="16"/>
  <c r="K24" i="16"/>
  <c r="J24" i="16"/>
  <c r="I24" i="16"/>
  <c r="G24" i="16"/>
  <c r="F24" i="16"/>
  <c r="E24" i="16"/>
  <c r="D24" i="16"/>
  <c r="C24" i="16"/>
  <c r="H22" i="16"/>
  <c r="H24" i="16" s="1"/>
  <c r="I44" i="1" s="1"/>
  <c r="H20" i="16"/>
  <c r="N18" i="16"/>
  <c r="N26" i="16" s="1"/>
  <c r="M18" i="16"/>
  <c r="M26" i="16" s="1"/>
  <c r="L18" i="16"/>
  <c r="L26" i="16" s="1"/>
  <c r="K18" i="16"/>
  <c r="K26" i="16" s="1"/>
  <c r="J18" i="16"/>
  <c r="J26" i="16" s="1"/>
  <c r="I18" i="16"/>
  <c r="I26" i="16" s="1"/>
  <c r="H18" i="16"/>
  <c r="H26" i="16" s="1"/>
  <c r="G18" i="16"/>
  <c r="G26" i="16" s="1"/>
  <c r="E18" i="16"/>
  <c r="E26" i="16" s="1"/>
  <c r="D18" i="16"/>
  <c r="D26" i="16" s="1"/>
  <c r="C18" i="16"/>
  <c r="C26" i="16" s="1"/>
  <c r="F15" i="16"/>
  <c r="F18" i="16" s="1"/>
  <c r="N8" i="16"/>
  <c r="N10" i="16" s="1"/>
  <c r="M8" i="16"/>
  <c r="M10" i="16" s="1"/>
  <c r="L8" i="16"/>
  <c r="L10" i="16" s="1"/>
  <c r="K8" i="16"/>
  <c r="K10" i="16" s="1"/>
  <c r="J8" i="16"/>
  <c r="J10" i="16" s="1"/>
  <c r="I8" i="16"/>
  <c r="I10" i="16" s="1"/>
  <c r="H8" i="16"/>
  <c r="H10" i="16" s="1"/>
  <c r="G8" i="16"/>
  <c r="G10" i="16" s="1"/>
  <c r="F8" i="16"/>
  <c r="F10" i="16" s="1"/>
  <c r="E8" i="16"/>
  <c r="E10" i="16" s="1"/>
  <c r="D8" i="16"/>
  <c r="D10" i="16" s="1"/>
  <c r="C8" i="16"/>
  <c r="C10" i="16" s="1"/>
  <c r="C11" i="16" s="1"/>
  <c r="D11" i="16" s="1"/>
  <c r="E11" i="16" s="1"/>
  <c r="F11" i="16" s="1"/>
  <c r="G11" i="16" s="1"/>
  <c r="H11" i="16" s="1"/>
  <c r="I11" i="16" s="1"/>
  <c r="J11" i="16" s="1"/>
  <c r="K11" i="16" s="1"/>
  <c r="L11" i="16" s="1"/>
  <c r="M11" i="16" s="1"/>
  <c r="N11" i="16" s="1"/>
  <c r="C102" i="15"/>
  <c r="C101" i="15"/>
  <c r="C100" i="15"/>
  <c r="C99" i="15"/>
  <c r="D95" i="15"/>
  <c r="B92" i="15"/>
  <c r="H91" i="15"/>
  <c r="H90" i="15"/>
  <c r="C90" i="15"/>
  <c r="H89" i="15"/>
  <c r="D89" i="15"/>
  <c r="M88" i="15"/>
  <c r="L88" i="15"/>
  <c r="K88" i="15"/>
  <c r="J88" i="15"/>
  <c r="H88" i="15"/>
  <c r="C88" i="15"/>
  <c r="D88" i="15" s="1"/>
  <c r="B83" i="15"/>
  <c r="C80" i="15"/>
  <c r="D80" i="15" s="1"/>
  <c r="D78" i="15"/>
  <c r="C77" i="15"/>
  <c r="C79" i="15" s="1"/>
  <c r="H76" i="15"/>
  <c r="D76" i="15"/>
  <c r="D82" i="15" s="1"/>
  <c r="F61" i="15"/>
  <c r="E61" i="15"/>
  <c r="D61" i="15"/>
  <c r="C61" i="15"/>
  <c r="G60" i="15"/>
  <c r="G59" i="15"/>
  <c r="N58" i="15"/>
  <c r="M58" i="15"/>
  <c r="M63" i="15" s="1"/>
  <c r="L58" i="15"/>
  <c r="L63" i="15" s="1"/>
  <c r="K58" i="15"/>
  <c r="K63" i="15" s="1"/>
  <c r="J58" i="15"/>
  <c r="J63" i="15" s="1"/>
  <c r="I58" i="15"/>
  <c r="H58" i="15"/>
  <c r="G58" i="15"/>
  <c r="N56" i="15"/>
  <c r="N63" i="15" s="1"/>
  <c r="D55" i="15"/>
  <c r="C54" i="15"/>
  <c r="J51" i="15"/>
  <c r="K51" i="15" s="1"/>
  <c r="L51" i="15" s="1"/>
  <c r="M51" i="15" s="1"/>
  <c r="N51" i="15" s="1"/>
  <c r="I51" i="15"/>
  <c r="K50" i="15"/>
  <c r="L50" i="15" s="1"/>
  <c r="M50" i="15" s="1"/>
  <c r="N50" i="15" s="1"/>
  <c r="G50" i="15"/>
  <c r="C50" i="15"/>
  <c r="C52" i="15" s="1"/>
  <c r="F49" i="15"/>
  <c r="F50" i="15" s="1"/>
  <c r="E49" i="15"/>
  <c r="E50" i="15" s="1"/>
  <c r="D49" i="15"/>
  <c r="D50" i="15" s="1"/>
  <c r="F46" i="15"/>
  <c r="G45" i="15"/>
  <c r="H45" i="15" s="1"/>
  <c r="I45" i="15" s="1"/>
  <c r="J45" i="15" s="1"/>
  <c r="K45" i="15" s="1"/>
  <c r="L45" i="15" s="1"/>
  <c r="M45" i="15" s="1"/>
  <c r="N45" i="15" s="1"/>
  <c r="G44" i="15"/>
  <c r="E44" i="15"/>
  <c r="D44" i="15"/>
  <c r="E43" i="15"/>
  <c r="M40" i="15"/>
  <c r="M41" i="15" s="1"/>
  <c r="L40" i="15"/>
  <c r="L41" i="15" s="1"/>
  <c r="K40" i="15"/>
  <c r="K41" i="15" s="1"/>
  <c r="F39" i="15"/>
  <c r="E39" i="15"/>
  <c r="D39" i="15"/>
  <c r="C39" i="15"/>
  <c r="J38" i="15"/>
  <c r="I38" i="15"/>
  <c r="H38" i="15"/>
  <c r="G38" i="15"/>
  <c r="F38" i="15"/>
  <c r="E38" i="15"/>
  <c r="D38" i="15"/>
  <c r="C38" i="15"/>
  <c r="F37" i="15"/>
  <c r="E37" i="15"/>
  <c r="D37" i="15"/>
  <c r="C37" i="15"/>
  <c r="C32" i="15"/>
  <c r="D32" i="15" s="1"/>
  <c r="N25" i="15"/>
  <c r="M25" i="15"/>
  <c r="L25" i="15"/>
  <c r="K25" i="15"/>
  <c r="H25" i="15"/>
  <c r="G25" i="15"/>
  <c r="F25" i="15"/>
  <c r="D25" i="15"/>
  <c r="C25" i="15"/>
  <c r="E20" i="15"/>
  <c r="E25" i="15" s="1"/>
  <c r="F7" i="1" s="1"/>
  <c r="N16" i="15"/>
  <c r="L16" i="15"/>
  <c r="K16" i="15"/>
  <c r="J16" i="15"/>
  <c r="I16" i="15"/>
  <c r="H16" i="15"/>
  <c r="G16" i="15"/>
  <c r="F16" i="15"/>
  <c r="C16" i="15"/>
  <c r="J12" i="15"/>
  <c r="J17" i="15" s="1"/>
  <c r="I12" i="15"/>
  <c r="I17" i="15" s="1"/>
  <c r="H12" i="15"/>
  <c r="H17" i="15" s="1"/>
  <c r="G12" i="15"/>
  <c r="G17" i="15" s="1"/>
  <c r="F12" i="15"/>
  <c r="F17" i="15" s="1"/>
  <c r="E12" i="15"/>
  <c r="E17" i="15" s="1"/>
  <c r="D12" i="15"/>
  <c r="D17" i="15" s="1"/>
  <c r="C12" i="15"/>
  <c r="C17" i="15" s="1"/>
  <c r="N5" i="15"/>
  <c r="M5" i="15"/>
  <c r="M8" i="15" s="1"/>
  <c r="L5" i="15"/>
  <c r="L8" i="15" s="1"/>
  <c r="K5" i="15"/>
  <c r="K8" i="15" s="1"/>
  <c r="J5" i="15"/>
  <c r="I5" i="15"/>
  <c r="H5" i="15"/>
  <c r="G5" i="15"/>
  <c r="F5" i="15"/>
  <c r="E5" i="15"/>
  <c r="D5" i="15"/>
  <c r="C5" i="15"/>
  <c r="N4" i="15"/>
  <c r="J4" i="15"/>
  <c r="I4" i="15"/>
  <c r="H4" i="15"/>
  <c r="G4" i="15"/>
  <c r="F4" i="15"/>
  <c r="E4" i="15"/>
  <c r="D4" i="15"/>
  <c r="C4" i="15"/>
  <c r="N3" i="15"/>
  <c r="O44" i="15" s="1"/>
  <c r="O45" i="15" s="1"/>
  <c r="J44" i="15" s="1"/>
  <c r="L3" i="15"/>
  <c r="K3" i="15"/>
  <c r="J3" i="15"/>
  <c r="M14" i="14"/>
  <c r="N14" i="14" s="1"/>
  <c r="K13" i="14"/>
  <c r="L13" i="14" s="1"/>
  <c r="M13" i="14" s="1"/>
  <c r="N13" i="14" s="1"/>
  <c r="O13" i="14" s="1"/>
  <c r="N12" i="14"/>
  <c r="O12" i="14" s="1"/>
  <c r="H12" i="14"/>
  <c r="I12" i="14" s="1"/>
  <c r="J12" i="14" s="1"/>
  <c r="K12" i="14" s="1"/>
  <c r="L12" i="14" s="1"/>
  <c r="D11" i="14"/>
  <c r="O2" i="14"/>
  <c r="N2" i="14"/>
  <c r="M2" i="14"/>
  <c r="L2" i="14"/>
  <c r="K2" i="14"/>
  <c r="J2" i="14"/>
  <c r="I2" i="14"/>
  <c r="H2" i="14"/>
  <c r="G2" i="14"/>
  <c r="F2" i="14"/>
  <c r="E2" i="14"/>
  <c r="D2" i="14"/>
  <c r="O1" i="14"/>
  <c r="N1" i="14"/>
  <c r="M1" i="14"/>
  <c r="L1" i="14"/>
  <c r="K1" i="14"/>
  <c r="J1" i="14"/>
  <c r="I1" i="14"/>
  <c r="H1" i="14"/>
  <c r="G1" i="14"/>
  <c r="F1" i="14"/>
  <c r="E1" i="14"/>
  <c r="D1" i="14"/>
  <c r="N44" i="13"/>
  <c r="M44" i="13"/>
  <c r="F44" i="13"/>
  <c r="E44" i="13"/>
  <c r="C44" i="13"/>
  <c r="C42" i="13"/>
  <c r="D42" i="13" s="1"/>
  <c r="A42" i="13"/>
  <c r="C41" i="13"/>
  <c r="A41" i="13"/>
  <c r="C39" i="13"/>
  <c r="D39" i="13" s="1"/>
  <c r="E39" i="13" s="1"/>
  <c r="K35" i="13"/>
  <c r="J35" i="13"/>
  <c r="I35" i="13"/>
  <c r="H35" i="13"/>
  <c r="G35" i="13"/>
  <c r="F35" i="13"/>
  <c r="E35" i="13"/>
  <c r="D35" i="13"/>
  <c r="C35" i="13"/>
  <c r="L34" i="13"/>
  <c r="N32" i="13"/>
  <c r="M32" i="13"/>
  <c r="K32" i="13"/>
  <c r="J32" i="13"/>
  <c r="I32" i="13"/>
  <c r="H32" i="13"/>
  <c r="G32" i="13"/>
  <c r="F32" i="13"/>
  <c r="E32" i="13"/>
  <c r="D32" i="13"/>
  <c r="C32" i="13"/>
  <c r="L31" i="13"/>
  <c r="L32" i="13" s="1"/>
  <c r="A22" i="13"/>
  <c r="A21" i="13"/>
  <c r="A20" i="13"/>
  <c r="A19" i="13"/>
  <c r="N16" i="13"/>
  <c r="M16" i="13"/>
  <c r="K16" i="13"/>
  <c r="J16" i="13"/>
  <c r="I16" i="13"/>
  <c r="H16" i="13"/>
  <c r="G16" i="13"/>
  <c r="F16" i="13"/>
  <c r="D16" i="13"/>
  <c r="C16" i="13"/>
  <c r="L13" i="13"/>
  <c r="L16" i="13" s="1"/>
  <c r="E11" i="13"/>
  <c r="E16" i="13" s="1"/>
  <c r="N8" i="13"/>
  <c r="N37" i="13" s="1"/>
  <c r="G58" i="5" s="1"/>
  <c r="M8" i="13"/>
  <c r="M37" i="13" s="1"/>
  <c r="F58" i="5" s="1"/>
  <c r="L8" i="13"/>
  <c r="L37" i="13" s="1"/>
  <c r="E58" i="5" s="1"/>
  <c r="K8" i="13"/>
  <c r="J8" i="13"/>
  <c r="I8" i="13"/>
  <c r="H8" i="13"/>
  <c r="G8" i="13"/>
  <c r="F8" i="13"/>
  <c r="E8" i="13"/>
  <c r="D8" i="13"/>
  <c r="C8" i="13"/>
  <c r="N3" i="13"/>
  <c r="M3" i="13"/>
  <c r="L3" i="13"/>
  <c r="K3" i="13"/>
  <c r="J3" i="13"/>
  <c r="I3" i="13"/>
  <c r="H3" i="13"/>
  <c r="G3" i="13"/>
  <c r="F3" i="13"/>
  <c r="E3" i="13"/>
  <c r="D3" i="13"/>
  <c r="C3" i="13"/>
  <c r="N2" i="13"/>
  <c r="M2" i="13"/>
  <c r="L2" i="13"/>
  <c r="K2" i="13"/>
  <c r="J2" i="13"/>
  <c r="I2" i="13"/>
  <c r="H2" i="13"/>
  <c r="G2" i="13"/>
  <c r="F2" i="13"/>
  <c r="E2" i="13"/>
  <c r="D2" i="13"/>
  <c r="C2" i="13"/>
  <c r="AE33" i="12"/>
  <c r="AC33" i="12"/>
  <c r="AA33" i="12"/>
  <c r="U33" i="12"/>
  <c r="M33" i="12"/>
  <c r="K33" i="12"/>
  <c r="I33" i="12"/>
  <c r="N28" i="12"/>
  <c r="V22" i="12"/>
  <c r="X22" i="12" s="1"/>
  <c r="Z22" i="12" s="1"/>
  <c r="AB22" i="12" s="1"/>
  <c r="AD22" i="12" s="1"/>
  <c r="H22" i="12"/>
  <c r="J22" i="12" s="1"/>
  <c r="L22" i="12" s="1"/>
  <c r="N22" i="12" s="1"/>
  <c r="P22" i="12" s="1"/>
  <c r="R22" i="12" s="1"/>
  <c r="T22" i="12" s="1"/>
  <c r="T21" i="12"/>
  <c r="V21" i="12" s="1"/>
  <c r="X21" i="12" s="1"/>
  <c r="Z21" i="12" s="1"/>
  <c r="AB21" i="12" s="1"/>
  <c r="AD21" i="12" s="1"/>
  <c r="H21" i="12"/>
  <c r="J21" i="12" s="1"/>
  <c r="L21" i="12" s="1"/>
  <c r="N21" i="12" s="1"/>
  <c r="P21" i="12" s="1"/>
  <c r="R21" i="12" s="1"/>
  <c r="R20" i="12"/>
  <c r="T20" i="12" s="1"/>
  <c r="V20" i="12" s="1"/>
  <c r="X20" i="12" s="1"/>
  <c r="Z20" i="12" s="1"/>
  <c r="AB20" i="12" s="1"/>
  <c r="AD20" i="12" s="1"/>
  <c r="H20" i="12"/>
  <c r="J20" i="12" s="1"/>
  <c r="L20" i="12" s="1"/>
  <c r="N20" i="12" s="1"/>
  <c r="P20" i="12" s="1"/>
  <c r="H19" i="12"/>
  <c r="N18" i="12"/>
  <c r="P18" i="12" s="1"/>
  <c r="R18" i="12" s="1"/>
  <c r="T18" i="12" s="1"/>
  <c r="V18" i="12" s="1"/>
  <c r="H18" i="12"/>
  <c r="J18" i="12" s="1"/>
  <c r="L18" i="12" s="1"/>
  <c r="R17" i="12"/>
  <c r="H17" i="12"/>
  <c r="J17" i="12" s="1"/>
  <c r="L17" i="12" s="1"/>
  <c r="N17" i="12" s="1"/>
  <c r="P17" i="12" s="1"/>
  <c r="H16" i="12"/>
  <c r="J16" i="12" s="1"/>
  <c r="L16" i="12" s="1"/>
  <c r="N16" i="12" s="1"/>
  <c r="P16" i="12" s="1"/>
  <c r="R16" i="12" s="1"/>
  <c r="H15" i="12"/>
  <c r="J15" i="12" s="1"/>
  <c r="L15" i="12" s="1"/>
  <c r="N15" i="12" s="1"/>
  <c r="P14" i="12"/>
  <c r="R14" i="12" s="1"/>
  <c r="T14" i="12" s="1"/>
  <c r="V14" i="12" s="1"/>
  <c r="C7" i="12"/>
  <c r="AD4" i="12"/>
  <c r="AE4" i="12" s="1"/>
  <c r="AB4" i="12"/>
  <c r="AC4" i="12" s="1"/>
  <c r="Z4" i="12"/>
  <c r="AA4" i="12" s="1"/>
  <c r="X4" i="12"/>
  <c r="Y4" i="12" s="1"/>
  <c r="V4" i="12"/>
  <c r="W4" i="12" s="1"/>
  <c r="T4" i="12"/>
  <c r="U4" i="12" s="1"/>
  <c r="R4" i="12"/>
  <c r="S4" i="12" s="1"/>
  <c r="P4" i="12"/>
  <c r="Q4" i="12" s="1"/>
  <c r="N4" i="12"/>
  <c r="O4" i="12" s="1"/>
  <c r="L4" i="12"/>
  <c r="M4" i="12" s="1"/>
  <c r="J4" i="12"/>
  <c r="K4" i="12" s="1"/>
  <c r="H4" i="12"/>
  <c r="I4" i="12" s="1"/>
  <c r="AD3" i="12"/>
  <c r="AB3" i="12"/>
  <c r="Z3" i="12"/>
  <c r="X3" i="12"/>
  <c r="V3" i="12"/>
  <c r="T3" i="12"/>
  <c r="R3" i="12"/>
  <c r="P3" i="12"/>
  <c r="N3" i="12"/>
  <c r="L3" i="12"/>
  <c r="J3" i="12"/>
  <c r="H3" i="12"/>
  <c r="AD43" i="11"/>
  <c r="AB43" i="11"/>
  <c r="T43" i="11"/>
  <c r="N43" i="11"/>
  <c r="L43" i="11"/>
  <c r="C33" i="11"/>
  <c r="R16" i="11"/>
  <c r="R15" i="11"/>
  <c r="AE3" i="11"/>
  <c r="AF3" i="11" s="1"/>
  <c r="AC3" i="11"/>
  <c r="AD3" i="11" s="1"/>
  <c r="AA3" i="11"/>
  <c r="AB3" i="11" s="1"/>
  <c r="Y3" i="11"/>
  <c r="Z3" i="11" s="1"/>
  <c r="W3" i="11"/>
  <c r="X3" i="11" s="1"/>
  <c r="U3" i="11"/>
  <c r="V3" i="11" s="1"/>
  <c r="S3" i="11"/>
  <c r="T3" i="11" s="1"/>
  <c r="Q3" i="11"/>
  <c r="R3" i="11" s="1"/>
  <c r="O3" i="11"/>
  <c r="P3" i="11" s="1"/>
  <c r="M3" i="11"/>
  <c r="N3" i="11" s="1"/>
  <c r="K3" i="11"/>
  <c r="L3" i="11" s="1"/>
  <c r="I3" i="11"/>
  <c r="J3" i="11" s="1"/>
  <c r="AE2" i="11"/>
  <c r="AC2" i="11"/>
  <c r="AA2" i="11"/>
  <c r="Y2" i="11"/>
  <c r="W2" i="11"/>
  <c r="U2" i="11"/>
  <c r="S2" i="11"/>
  <c r="Q2" i="11"/>
  <c r="O2" i="11"/>
  <c r="M2" i="11"/>
  <c r="K2" i="11"/>
  <c r="I2" i="11"/>
  <c r="C140" i="10"/>
  <c r="A73" i="10"/>
  <c r="A72" i="10"/>
  <c r="A71" i="10"/>
  <c r="A70" i="10"/>
  <c r="A69" i="10"/>
  <c r="H57" i="10"/>
  <c r="C50" i="10"/>
  <c r="C49" i="10"/>
  <c r="C48" i="10"/>
  <c r="Y43" i="10"/>
  <c r="I43" i="10"/>
  <c r="J43" i="10" s="1"/>
  <c r="K43" i="10" s="1"/>
  <c r="L43" i="10" s="1"/>
  <c r="M43" i="10" s="1"/>
  <c r="N43" i="10" s="1"/>
  <c r="O43" i="10" s="1"/>
  <c r="P43" i="10" s="1"/>
  <c r="Q43" i="10" s="1"/>
  <c r="R43" i="10" s="1"/>
  <c r="S43" i="10" s="1"/>
  <c r="T43" i="10" s="1"/>
  <c r="U43" i="10" s="1"/>
  <c r="V43" i="10" s="1"/>
  <c r="W43" i="10" s="1"/>
  <c r="X43" i="10" s="1"/>
  <c r="G43" i="10"/>
  <c r="Y42" i="10"/>
  <c r="I42" i="10"/>
  <c r="J42" i="10" s="1"/>
  <c r="K42" i="10" s="1"/>
  <c r="L42" i="10" s="1"/>
  <c r="M42" i="10" s="1"/>
  <c r="N42" i="10" s="1"/>
  <c r="O42" i="10" s="1"/>
  <c r="P42" i="10" s="1"/>
  <c r="Q42" i="10" s="1"/>
  <c r="R42" i="10" s="1"/>
  <c r="S42" i="10" s="1"/>
  <c r="T42" i="10" s="1"/>
  <c r="U42" i="10" s="1"/>
  <c r="V42" i="10" s="1"/>
  <c r="W42" i="10" s="1"/>
  <c r="X42" i="10" s="1"/>
  <c r="G42" i="10"/>
  <c r="Y41" i="10"/>
  <c r="I41" i="10"/>
  <c r="J41" i="10" s="1"/>
  <c r="K41" i="10" s="1"/>
  <c r="L41" i="10" s="1"/>
  <c r="M41" i="10" s="1"/>
  <c r="N41" i="10" s="1"/>
  <c r="O41" i="10" s="1"/>
  <c r="P41" i="10" s="1"/>
  <c r="Q41" i="10" s="1"/>
  <c r="R41" i="10" s="1"/>
  <c r="S41" i="10" s="1"/>
  <c r="T41" i="10" s="1"/>
  <c r="U41" i="10" s="1"/>
  <c r="V41" i="10" s="1"/>
  <c r="W41" i="10" s="1"/>
  <c r="X41" i="10" s="1"/>
  <c r="G41" i="10"/>
  <c r="Y40" i="10"/>
  <c r="T40" i="10"/>
  <c r="U40" i="10" s="1"/>
  <c r="V40" i="10" s="1"/>
  <c r="W40" i="10" s="1"/>
  <c r="X40" i="10" s="1"/>
  <c r="I40" i="10"/>
  <c r="J40" i="10" s="1"/>
  <c r="K40" i="10" s="1"/>
  <c r="L40" i="10" s="1"/>
  <c r="M40" i="10" s="1"/>
  <c r="N40" i="10" s="1"/>
  <c r="O40" i="10" s="1"/>
  <c r="P40" i="10" s="1"/>
  <c r="Q40" i="10" s="1"/>
  <c r="R40" i="10" s="1"/>
  <c r="S40" i="10" s="1"/>
  <c r="G40" i="10"/>
  <c r="Y39" i="10"/>
  <c r="A95" i="10" s="1"/>
  <c r="R39" i="10"/>
  <c r="S39" i="10" s="1"/>
  <c r="T39" i="10" s="1"/>
  <c r="U39" i="10" s="1"/>
  <c r="V39" i="10" s="1"/>
  <c r="W39" i="10" s="1"/>
  <c r="X39" i="10" s="1"/>
  <c r="I39" i="10"/>
  <c r="J39" i="10" s="1"/>
  <c r="K39" i="10" s="1"/>
  <c r="L39" i="10" s="1"/>
  <c r="M39" i="10" s="1"/>
  <c r="N39" i="10" s="1"/>
  <c r="O39" i="10" s="1"/>
  <c r="P39" i="10" s="1"/>
  <c r="Q39" i="10" s="1"/>
  <c r="G39" i="10"/>
  <c r="Y38" i="10"/>
  <c r="A94" i="10" s="1"/>
  <c r="I38" i="10"/>
  <c r="J38" i="10" s="1"/>
  <c r="K38" i="10" s="1"/>
  <c r="L38" i="10" s="1"/>
  <c r="M38" i="10" s="1"/>
  <c r="N38" i="10" s="1"/>
  <c r="O38" i="10" s="1"/>
  <c r="P38" i="10" s="1"/>
  <c r="Q38" i="10" s="1"/>
  <c r="R38" i="10" s="1"/>
  <c r="S38" i="10" s="1"/>
  <c r="T38" i="10" s="1"/>
  <c r="U38" i="10" s="1"/>
  <c r="V38" i="10" s="1"/>
  <c r="W38" i="10" s="1"/>
  <c r="X38" i="10" s="1"/>
  <c r="G38" i="10"/>
  <c r="Y37" i="10"/>
  <c r="A93" i="10" s="1"/>
  <c r="C37" i="10"/>
  <c r="Y36" i="10"/>
  <c r="A92" i="10" s="1"/>
  <c r="Q36" i="10"/>
  <c r="R36" i="10" s="1"/>
  <c r="S36" i="10" s="1"/>
  <c r="T36" i="10" s="1"/>
  <c r="U36" i="10" s="1"/>
  <c r="V36" i="10" s="1"/>
  <c r="W36" i="10" s="1"/>
  <c r="X36" i="10" s="1"/>
  <c r="I36" i="10"/>
  <c r="J36" i="10" s="1"/>
  <c r="K36" i="10" s="1"/>
  <c r="L36" i="10" s="1"/>
  <c r="M36" i="10" s="1"/>
  <c r="N36" i="10" s="1"/>
  <c r="O36" i="10" s="1"/>
  <c r="P36" i="10" s="1"/>
  <c r="G36" i="10"/>
  <c r="Y35" i="10"/>
  <c r="A91" i="10" s="1"/>
  <c r="P35" i="10"/>
  <c r="Q35" i="10" s="1"/>
  <c r="R35" i="10" s="1"/>
  <c r="S35" i="10" s="1"/>
  <c r="T35" i="10" s="1"/>
  <c r="U35" i="10" s="1"/>
  <c r="V35" i="10" s="1"/>
  <c r="W35" i="10" s="1"/>
  <c r="X35" i="10" s="1"/>
  <c r="I35" i="10"/>
  <c r="J35" i="10" s="1"/>
  <c r="K35" i="10" s="1"/>
  <c r="L35" i="10" s="1"/>
  <c r="M35" i="10" s="1"/>
  <c r="N35" i="10" s="1"/>
  <c r="O35" i="10" s="1"/>
  <c r="G35" i="10"/>
  <c r="Y34" i="10"/>
  <c r="A90" i="10" s="1"/>
  <c r="M34" i="10"/>
  <c r="N34" i="10" s="1"/>
  <c r="O34" i="10" s="1"/>
  <c r="P34" i="10" s="1"/>
  <c r="Q34" i="10" s="1"/>
  <c r="R34" i="10" s="1"/>
  <c r="S34" i="10" s="1"/>
  <c r="T34" i="10" s="1"/>
  <c r="U34" i="10" s="1"/>
  <c r="V34" i="10" s="1"/>
  <c r="W34" i="10" s="1"/>
  <c r="X34" i="10" s="1"/>
  <c r="I34" i="10"/>
  <c r="J34" i="10" s="1"/>
  <c r="K34" i="10" s="1"/>
  <c r="L34" i="10" s="1"/>
  <c r="G34" i="10"/>
  <c r="Y33" i="10"/>
  <c r="A89" i="10" s="1"/>
  <c r="N33" i="10"/>
  <c r="O33" i="10" s="1"/>
  <c r="P33" i="10" s="1"/>
  <c r="Q33" i="10" s="1"/>
  <c r="R33" i="10" s="1"/>
  <c r="S33" i="10" s="1"/>
  <c r="T33" i="10" s="1"/>
  <c r="U33" i="10" s="1"/>
  <c r="V33" i="10" s="1"/>
  <c r="W33" i="10" s="1"/>
  <c r="X33" i="10" s="1"/>
  <c r="L33" i="10"/>
  <c r="I33" i="10"/>
  <c r="J33" i="10" s="1"/>
  <c r="K33" i="10" s="1"/>
  <c r="Y32" i="10"/>
  <c r="A88" i="10" s="1"/>
  <c r="N32" i="10"/>
  <c r="O32" i="10" s="1"/>
  <c r="P32" i="10" s="1"/>
  <c r="Q32" i="10" s="1"/>
  <c r="R32" i="10" s="1"/>
  <c r="S32" i="10" s="1"/>
  <c r="T32" i="10" s="1"/>
  <c r="U32" i="10" s="1"/>
  <c r="V32" i="10" s="1"/>
  <c r="W32" i="10" s="1"/>
  <c r="X32" i="10" s="1"/>
  <c r="L32" i="10"/>
  <c r="I32" i="10"/>
  <c r="J32" i="10" s="1"/>
  <c r="K32" i="10" s="1"/>
  <c r="Y31" i="10"/>
  <c r="A87" i="10" s="1"/>
  <c r="L31" i="10"/>
  <c r="M31" i="10" s="1"/>
  <c r="N31" i="10" s="1"/>
  <c r="O31" i="10" s="1"/>
  <c r="P31" i="10" s="1"/>
  <c r="Q31" i="10" s="1"/>
  <c r="R31" i="10" s="1"/>
  <c r="S31" i="10" s="1"/>
  <c r="T31" i="10" s="1"/>
  <c r="U31" i="10" s="1"/>
  <c r="V31" i="10" s="1"/>
  <c r="W31" i="10" s="1"/>
  <c r="X31" i="10" s="1"/>
  <c r="I31" i="10"/>
  <c r="J31" i="10" s="1"/>
  <c r="K31" i="10" s="1"/>
  <c r="Y30" i="10"/>
  <c r="A86" i="10" s="1"/>
  <c r="L30" i="10"/>
  <c r="M30" i="10" s="1"/>
  <c r="N30" i="10" s="1"/>
  <c r="O30" i="10" s="1"/>
  <c r="P30" i="10" s="1"/>
  <c r="Q30" i="10" s="1"/>
  <c r="R30" i="10" s="1"/>
  <c r="S30" i="10" s="1"/>
  <c r="T30" i="10" s="1"/>
  <c r="U30" i="10" s="1"/>
  <c r="V30" i="10" s="1"/>
  <c r="W30" i="10" s="1"/>
  <c r="X30" i="10" s="1"/>
  <c r="I30" i="10"/>
  <c r="J30" i="10" s="1"/>
  <c r="K30" i="10" s="1"/>
  <c r="G30" i="10"/>
  <c r="Y29" i="10"/>
  <c r="A85" i="10" s="1"/>
  <c r="L29" i="10"/>
  <c r="M29" i="10" s="1"/>
  <c r="N29" i="10" s="1"/>
  <c r="O29" i="10" s="1"/>
  <c r="P29" i="10" s="1"/>
  <c r="Q29" i="10" s="1"/>
  <c r="R29" i="10" s="1"/>
  <c r="S29" i="10" s="1"/>
  <c r="T29" i="10" s="1"/>
  <c r="U29" i="10" s="1"/>
  <c r="V29" i="10" s="1"/>
  <c r="W29" i="10" s="1"/>
  <c r="X29" i="10" s="1"/>
  <c r="I29" i="10"/>
  <c r="J29" i="10" s="1"/>
  <c r="K29" i="10" s="1"/>
  <c r="G29" i="10"/>
  <c r="Y28" i="10"/>
  <c r="A84" i="10" s="1"/>
  <c r="L28" i="10"/>
  <c r="M28" i="10" s="1"/>
  <c r="N28" i="10" s="1"/>
  <c r="O28" i="10" s="1"/>
  <c r="P28" i="10" s="1"/>
  <c r="Q28" i="10" s="1"/>
  <c r="R28" i="10" s="1"/>
  <c r="S28" i="10" s="1"/>
  <c r="T28" i="10" s="1"/>
  <c r="U28" i="10" s="1"/>
  <c r="V28" i="10" s="1"/>
  <c r="W28" i="10" s="1"/>
  <c r="X28" i="10" s="1"/>
  <c r="I28" i="10"/>
  <c r="J28" i="10" s="1"/>
  <c r="K28" i="10" s="1"/>
  <c r="G28" i="10"/>
  <c r="Y27" i="10"/>
  <c r="A83" i="10" s="1"/>
  <c r="K27" i="10"/>
  <c r="L27" i="10" s="1"/>
  <c r="M27" i="10" s="1"/>
  <c r="N27" i="10" s="1"/>
  <c r="O27" i="10" s="1"/>
  <c r="P27" i="10" s="1"/>
  <c r="Q27" i="10" s="1"/>
  <c r="R27" i="10" s="1"/>
  <c r="S27" i="10" s="1"/>
  <c r="T27" i="10" s="1"/>
  <c r="U27" i="10" s="1"/>
  <c r="V27" i="10" s="1"/>
  <c r="W27" i="10" s="1"/>
  <c r="X27" i="10" s="1"/>
  <c r="I27" i="10"/>
  <c r="J27" i="10" s="1"/>
  <c r="G27" i="10"/>
  <c r="Y26" i="10"/>
  <c r="A82" i="10" s="1"/>
  <c r="J26" i="10"/>
  <c r="K26" i="10" s="1"/>
  <c r="L26" i="10" s="1"/>
  <c r="M26" i="10" s="1"/>
  <c r="N26" i="10" s="1"/>
  <c r="O26" i="10" s="1"/>
  <c r="P26" i="10" s="1"/>
  <c r="Q26" i="10" s="1"/>
  <c r="R26" i="10" s="1"/>
  <c r="S26" i="10" s="1"/>
  <c r="T26" i="10" s="1"/>
  <c r="U26" i="10" s="1"/>
  <c r="V26" i="10" s="1"/>
  <c r="W26" i="10" s="1"/>
  <c r="X26" i="10" s="1"/>
  <c r="I26" i="10"/>
  <c r="G26" i="10"/>
  <c r="Y25" i="10"/>
  <c r="A81" i="10" s="1"/>
  <c r="J25" i="10"/>
  <c r="K25" i="10" s="1"/>
  <c r="L25" i="10" s="1"/>
  <c r="M25" i="10" s="1"/>
  <c r="N25" i="10" s="1"/>
  <c r="O25" i="10" s="1"/>
  <c r="P25" i="10" s="1"/>
  <c r="Q25" i="10" s="1"/>
  <c r="R25" i="10" s="1"/>
  <c r="S25" i="10" s="1"/>
  <c r="T25" i="10" s="1"/>
  <c r="U25" i="10" s="1"/>
  <c r="V25" i="10" s="1"/>
  <c r="W25" i="10" s="1"/>
  <c r="X25" i="10" s="1"/>
  <c r="I25" i="10"/>
  <c r="G25" i="10"/>
  <c r="Y24" i="10"/>
  <c r="A80" i="10" s="1"/>
  <c r="J24" i="10"/>
  <c r="K24" i="10" s="1"/>
  <c r="L24" i="10" s="1"/>
  <c r="M24" i="10" s="1"/>
  <c r="N24" i="10" s="1"/>
  <c r="O24" i="10" s="1"/>
  <c r="P24" i="10" s="1"/>
  <c r="Q24" i="10" s="1"/>
  <c r="R24" i="10" s="1"/>
  <c r="S24" i="10" s="1"/>
  <c r="T24" i="10" s="1"/>
  <c r="U24" i="10" s="1"/>
  <c r="V24" i="10" s="1"/>
  <c r="W24" i="10" s="1"/>
  <c r="X24" i="10" s="1"/>
  <c r="I24" i="10"/>
  <c r="G24" i="10"/>
  <c r="Y23" i="10"/>
  <c r="A79" i="10" s="1"/>
  <c r="J23" i="10"/>
  <c r="K23" i="10" s="1"/>
  <c r="L23" i="10" s="1"/>
  <c r="M23" i="10" s="1"/>
  <c r="N23" i="10" s="1"/>
  <c r="O23" i="10" s="1"/>
  <c r="P23" i="10" s="1"/>
  <c r="Q23" i="10" s="1"/>
  <c r="R23" i="10" s="1"/>
  <c r="S23" i="10" s="1"/>
  <c r="T23" i="10" s="1"/>
  <c r="U23" i="10" s="1"/>
  <c r="V23" i="10" s="1"/>
  <c r="W23" i="10" s="1"/>
  <c r="X23" i="10" s="1"/>
  <c r="I23" i="10"/>
  <c r="G23" i="10"/>
  <c r="Y22" i="10"/>
  <c r="A78" i="10" s="1"/>
  <c r="J22" i="10"/>
  <c r="K22" i="10" s="1"/>
  <c r="L22" i="10" s="1"/>
  <c r="M22" i="10" s="1"/>
  <c r="N22" i="10" s="1"/>
  <c r="O22" i="10" s="1"/>
  <c r="P22" i="10" s="1"/>
  <c r="Q22" i="10" s="1"/>
  <c r="R22" i="10" s="1"/>
  <c r="S22" i="10" s="1"/>
  <c r="T22" i="10" s="1"/>
  <c r="U22" i="10" s="1"/>
  <c r="V22" i="10" s="1"/>
  <c r="W22" i="10" s="1"/>
  <c r="X22" i="10" s="1"/>
  <c r="I22" i="10"/>
  <c r="G22" i="10"/>
  <c r="Y21" i="10"/>
  <c r="A77" i="10" s="1"/>
  <c r="J21" i="10"/>
  <c r="K21" i="10" s="1"/>
  <c r="L21" i="10" s="1"/>
  <c r="M21" i="10" s="1"/>
  <c r="N21" i="10" s="1"/>
  <c r="O21" i="10" s="1"/>
  <c r="P21" i="10" s="1"/>
  <c r="Q21" i="10" s="1"/>
  <c r="R21" i="10" s="1"/>
  <c r="S21" i="10" s="1"/>
  <c r="T21" i="10" s="1"/>
  <c r="U21" i="10" s="1"/>
  <c r="V21" i="10" s="1"/>
  <c r="W21" i="10" s="1"/>
  <c r="X21" i="10" s="1"/>
  <c r="I21" i="10"/>
  <c r="G21" i="10"/>
  <c r="Y20" i="10"/>
  <c r="A76" i="10" s="1"/>
  <c r="J20" i="10"/>
  <c r="K20" i="10" s="1"/>
  <c r="L20" i="10" s="1"/>
  <c r="M20" i="10" s="1"/>
  <c r="N20" i="10" s="1"/>
  <c r="O20" i="10" s="1"/>
  <c r="P20" i="10" s="1"/>
  <c r="Q20" i="10" s="1"/>
  <c r="R20" i="10" s="1"/>
  <c r="S20" i="10" s="1"/>
  <c r="T20" i="10" s="1"/>
  <c r="U20" i="10" s="1"/>
  <c r="V20" i="10" s="1"/>
  <c r="W20" i="10" s="1"/>
  <c r="X20" i="10" s="1"/>
  <c r="I20" i="10"/>
  <c r="G20" i="10"/>
  <c r="Y19" i="10"/>
  <c r="A75" i="10" s="1"/>
  <c r="J19" i="10"/>
  <c r="K19" i="10" s="1"/>
  <c r="L19" i="10" s="1"/>
  <c r="M19" i="10" s="1"/>
  <c r="N19" i="10" s="1"/>
  <c r="O19" i="10" s="1"/>
  <c r="P19" i="10" s="1"/>
  <c r="Q19" i="10" s="1"/>
  <c r="R19" i="10" s="1"/>
  <c r="S19" i="10" s="1"/>
  <c r="T19" i="10" s="1"/>
  <c r="U19" i="10" s="1"/>
  <c r="V19" i="10" s="1"/>
  <c r="W19" i="10" s="1"/>
  <c r="X19" i="10" s="1"/>
  <c r="I19" i="10"/>
  <c r="G19" i="10"/>
  <c r="Y18" i="10"/>
  <c r="A74" i="10" s="1"/>
  <c r="K18" i="10"/>
  <c r="L18" i="10" s="1"/>
  <c r="M18" i="10" s="1"/>
  <c r="N18" i="10" s="1"/>
  <c r="O18" i="10" s="1"/>
  <c r="P18" i="10" s="1"/>
  <c r="Q18" i="10" s="1"/>
  <c r="R18" i="10" s="1"/>
  <c r="S18" i="10" s="1"/>
  <c r="T18" i="10" s="1"/>
  <c r="U18" i="10" s="1"/>
  <c r="V18" i="10" s="1"/>
  <c r="W18" i="10" s="1"/>
  <c r="X18" i="10" s="1"/>
  <c r="I18" i="10"/>
  <c r="J18" i="10" s="1"/>
  <c r="G18" i="10"/>
  <c r="Y17" i="10"/>
  <c r="K17" i="10"/>
  <c r="L17" i="10" s="1"/>
  <c r="M17" i="10" s="1"/>
  <c r="N17" i="10" s="1"/>
  <c r="O17" i="10" s="1"/>
  <c r="P17" i="10" s="1"/>
  <c r="Q17" i="10" s="1"/>
  <c r="R17" i="10" s="1"/>
  <c r="S17" i="10" s="1"/>
  <c r="T17" i="10" s="1"/>
  <c r="U17" i="10" s="1"/>
  <c r="V17" i="10" s="1"/>
  <c r="W17" i="10" s="1"/>
  <c r="X17" i="10" s="1"/>
  <c r="I17" i="10"/>
  <c r="J17" i="10" s="1"/>
  <c r="G17" i="10"/>
  <c r="Y16" i="10"/>
  <c r="K16" i="10"/>
  <c r="L16" i="10" s="1"/>
  <c r="M16" i="10" s="1"/>
  <c r="N16" i="10" s="1"/>
  <c r="O16" i="10" s="1"/>
  <c r="P16" i="10" s="1"/>
  <c r="Q16" i="10" s="1"/>
  <c r="R16" i="10" s="1"/>
  <c r="S16" i="10" s="1"/>
  <c r="T16" i="10" s="1"/>
  <c r="U16" i="10" s="1"/>
  <c r="V16" i="10" s="1"/>
  <c r="W16" i="10" s="1"/>
  <c r="X16" i="10" s="1"/>
  <c r="I16" i="10"/>
  <c r="J16" i="10" s="1"/>
  <c r="G16" i="10"/>
  <c r="Y15" i="10"/>
  <c r="J15" i="10"/>
  <c r="K15" i="10" s="1"/>
  <c r="L15" i="10" s="1"/>
  <c r="M15" i="10" s="1"/>
  <c r="N15" i="10" s="1"/>
  <c r="O15" i="10" s="1"/>
  <c r="P15" i="10" s="1"/>
  <c r="Q15" i="10" s="1"/>
  <c r="R15" i="10" s="1"/>
  <c r="S15" i="10" s="1"/>
  <c r="T15" i="10" s="1"/>
  <c r="U15" i="10" s="1"/>
  <c r="V15" i="10" s="1"/>
  <c r="W15" i="10" s="1"/>
  <c r="X15" i="10" s="1"/>
  <c r="I15" i="10"/>
  <c r="G15" i="10"/>
  <c r="Y14" i="10"/>
  <c r="J14" i="10"/>
  <c r="K14" i="10" s="1"/>
  <c r="L14" i="10" s="1"/>
  <c r="M14" i="10" s="1"/>
  <c r="N14" i="10" s="1"/>
  <c r="O14" i="10" s="1"/>
  <c r="P14" i="10" s="1"/>
  <c r="Q14" i="10" s="1"/>
  <c r="R14" i="10" s="1"/>
  <c r="S14" i="10" s="1"/>
  <c r="T14" i="10" s="1"/>
  <c r="U14" i="10" s="1"/>
  <c r="V14" i="10" s="1"/>
  <c r="W14" i="10" s="1"/>
  <c r="X14" i="10" s="1"/>
  <c r="I14" i="10"/>
  <c r="G14" i="10"/>
  <c r="Y13" i="10"/>
  <c r="K13" i="10"/>
  <c r="L13" i="10" s="1"/>
  <c r="M13" i="10" s="1"/>
  <c r="N13" i="10" s="1"/>
  <c r="O13" i="10" s="1"/>
  <c r="P13" i="10" s="1"/>
  <c r="Q13" i="10" s="1"/>
  <c r="R13" i="10" s="1"/>
  <c r="S13" i="10" s="1"/>
  <c r="T13" i="10" s="1"/>
  <c r="U13" i="10" s="1"/>
  <c r="V13" i="10" s="1"/>
  <c r="W13" i="10" s="1"/>
  <c r="X13" i="10" s="1"/>
  <c r="I13" i="10"/>
  <c r="J13" i="10" s="1"/>
  <c r="G13" i="10"/>
  <c r="Y12" i="10"/>
  <c r="A68" i="10" s="1"/>
  <c r="J12" i="10"/>
  <c r="K12" i="10" s="1"/>
  <c r="L12" i="10" s="1"/>
  <c r="M12" i="10" s="1"/>
  <c r="N12" i="10" s="1"/>
  <c r="O12" i="10" s="1"/>
  <c r="P12" i="10" s="1"/>
  <c r="Q12" i="10" s="1"/>
  <c r="R12" i="10" s="1"/>
  <c r="S12" i="10" s="1"/>
  <c r="T12" i="10" s="1"/>
  <c r="U12" i="10" s="1"/>
  <c r="V12" i="10" s="1"/>
  <c r="W12" i="10" s="1"/>
  <c r="X12" i="10" s="1"/>
  <c r="I12" i="10"/>
  <c r="G12" i="10"/>
  <c r="Y11" i="10"/>
  <c r="A67" i="10" s="1"/>
  <c r="J11" i="10"/>
  <c r="K11" i="10" s="1"/>
  <c r="L11" i="10" s="1"/>
  <c r="M11" i="10" s="1"/>
  <c r="N11" i="10" s="1"/>
  <c r="O11" i="10" s="1"/>
  <c r="P11" i="10" s="1"/>
  <c r="Q11" i="10" s="1"/>
  <c r="R11" i="10" s="1"/>
  <c r="S11" i="10" s="1"/>
  <c r="T11" i="10" s="1"/>
  <c r="U11" i="10" s="1"/>
  <c r="V11" i="10" s="1"/>
  <c r="W11" i="10" s="1"/>
  <c r="X11" i="10" s="1"/>
  <c r="I11" i="10"/>
  <c r="G11" i="10"/>
  <c r="Y10" i="10"/>
  <c r="A66" i="10" s="1"/>
  <c r="J10" i="10"/>
  <c r="K10" i="10" s="1"/>
  <c r="L10" i="10" s="1"/>
  <c r="M10" i="10" s="1"/>
  <c r="N10" i="10" s="1"/>
  <c r="O10" i="10" s="1"/>
  <c r="P10" i="10" s="1"/>
  <c r="Q10" i="10" s="1"/>
  <c r="R10" i="10" s="1"/>
  <c r="S10" i="10" s="1"/>
  <c r="T10" i="10" s="1"/>
  <c r="U10" i="10" s="1"/>
  <c r="V10" i="10" s="1"/>
  <c r="W10" i="10" s="1"/>
  <c r="X10" i="10" s="1"/>
  <c r="I10" i="10"/>
  <c r="G10" i="10"/>
  <c r="Y9" i="10"/>
  <c r="A65" i="10" s="1"/>
  <c r="J9" i="10"/>
  <c r="K9" i="10" s="1"/>
  <c r="L9" i="10" s="1"/>
  <c r="M9" i="10" s="1"/>
  <c r="N9" i="10" s="1"/>
  <c r="O9" i="10" s="1"/>
  <c r="P9" i="10" s="1"/>
  <c r="Q9" i="10" s="1"/>
  <c r="R9" i="10" s="1"/>
  <c r="S9" i="10" s="1"/>
  <c r="T9" i="10" s="1"/>
  <c r="U9" i="10" s="1"/>
  <c r="V9" i="10" s="1"/>
  <c r="W9" i="10" s="1"/>
  <c r="X9" i="10" s="1"/>
  <c r="I9" i="10"/>
  <c r="G9" i="10"/>
  <c r="Y8" i="10"/>
  <c r="A64" i="10" s="1"/>
  <c r="J8" i="10"/>
  <c r="K8" i="10" s="1"/>
  <c r="L8" i="10" s="1"/>
  <c r="M8" i="10" s="1"/>
  <c r="N8" i="10" s="1"/>
  <c r="O8" i="10" s="1"/>
  <c r="P8" i="10" s="1"/>
  <c r="Q8" i="10" s="1"/>
  <c r="R8" i="10" s="1"/>
  <c r="S8" i="10" s="1"/>
  <c r="T8" i="10" s="1"/>
  <c r="U8" i="10" s="1"/>
  <c r="V8" i="10" s="1"/>
  <c r="W8" i="10" s="1"/>
  <c r="X8" i="10" s="1"/>
  <c r="I8" i="10"/>
  <c r="G8" i="10"/>
  <c r="Y7" i="10"/>
  <c r="A63" i="10" s="1"/>
  <c r="I7" i="10"/>
  <c r="J7" i="10" s="1"/>
  <c r="K7" i="10" s="1"/>
  <c r="L7" i="10" s="1"/>
  <c r="M7" i="10" s="1"/>
  <c r="N7" i="10" s="1"/>
  <c r="O7" i="10" s="1"/>
  <c r="P7" i="10" s="1"/>
  <c r="Q7" i="10" s="1"/>
  <c r="R7" i="10" s="1"/>
  <c r="S7" i="10" s="1"/>
  <c r="T7" i="10" s="1"/>
  <c r="U7" i="10" s="1"/>
  <c r="V7" i="10" s="1"/>
  <c r="W7" i="10" s="1"/>
  <c r="X7" i="10" s="1"/>
  <c r="G7" i="10"/>
  <c r="Y6" i="10"/>
  <c r="A62" i="10" s="1"/>
  <c r="I6" i="10"/>
  <c r="J6" i="10" s="1"/>
  <c r="K6" i="10" s="1"/>
  <c r="L6" i="10" s="1"/>
  <c r="M6" i="10" s="1"/>
  <c r="N6" i="10" s="1"/>
  <c r="O6" i="10" s="1"/>
  <c r="P6" i="10" s="1"/>
  <c r="Q6" i="10" s="1"/>
  <c r="R6" i="10" s="1"/>
  <c r="S6" i="10" s="1"/>
  <c r="T6" i="10" s="1"/>
  <c r="U6" i="10" s="1"/>
  <c r="V6" i="10" s="1"/>
  <c r="W6" i="10" s="1"/>
  <c r="X6" i="10" s="1"/>
  <c r="G6" i="10"/>
  <c r="Y5" i="10"/>
  <c r="A61" i="10" s="1"/>
  <c r="C5" i="10"/>
  <c r="A45" i="9"/>
  <c r="C45" i="9" s="1" a="1"/>
  <c r="C45" i="9" s="1"/>
  <c r="D45" i="9" s="1" a="1"/>
  <c r="D45" i="9" s="1"/>
  <c r="E45" i="9" s="1" a="1"/>
  <c r="E45" i="9" s="1"/>
  <c r="F45" i="9" s="1" a="1"/>
  <c r="F45" i="9" s="1"/>
  <c r="G45" i="9" s="1" a="1"/>
  <c r="G45" i="9" s="1"/>
  <c r="H45" i="9" s="1" a="1"/>
  <c r="H45" i="9" s="1"/>
  <c r="I45" i="9" s="1" a="1"/>
  <c r="I45" i="9" s="1"/>
  <c r="J45" i="9" s="1" a="1"/>
  <c r="J45" i="9" s="1"/>
  <c r="K45" i="9" s="1" a="1"/>
  <c r="K45" i="9" s="1"/>
  <c r="L45" i="9" s="1" a="1"/>
  <c r="L45" i="9" s="1"/>
  <c r="M45" i="9" s="1" a="1"/>
  <c r="M45" i="9" s="1"/>
  <c r="N45" i="9" s="1" a="1"/>
  <c r="N45" i="9" s="1"/>
  <c r="A44" i="9"/>
  <c r="C44" i="9" s="1" a="1"/>
  <c r="C44" i="9" s="1"/>
  <c r="D44" i="9" s="1" a="1"/>
  <c r="D44" i="9" s="1"/>
  <c r="E44" i="9" s="1" a="1"/>
  <c r="E44" i="9" s="1"/>
  <c r="F44" i="9" s="1" a="1"/>
  <c r="F44" i="9" s="1"/>
  <c r="G44" i="9" s="1" a="1"/>
  <c r="G44" i="9" s="1"/>
  <c r="H44" i="9" s="1" a="1"/>
  <c r="H44" i="9" s="1"/>
  <c r="I44" i="9" s="1" a="1"/>
  <c r="I44" i="9" s="1"/>
  <c r="J44" i="9" s="1" a="1"/>
  <c r="J44" i="9" s="1"/>
  <c r="K44" i="9" s="1" a="1"/>
  <c r="K44" i="9" s="1"/>
  <c r="L44" i="9" s="1" a="1"/>
  <c r="L44" i="9" s="1"/>
  <c r="M44" i="9" s="1" a="1"/>
  <c r="M44" i="9" s="1"/>
  <c r="N44" i="9" s="1" a="1"/>
  <c r="N44" i="9" s="1"/>
  <c r="A43" i="9"/>
  <c r="C43" i="9" s="1" a="1"/>
  <c r="C43" i="9" s="1"/>
  <c r="D43" i="9" s="1" a="1"/>
  <c r="D43" i="9" s="1"/>
  <c r="E43" i="9" s="1" a="1"/>
  <c r="E43" i="9" s="1"/>
  <c r="F43" i="9" s="1" a="1"/>
  <c r="F43" i="9" s="1"/>
  <c r="G43" i="9" s="1" a="1"/>
  <c r="G43" i="9" s="1"/>
  <c r="H43" i="9" s="1" a="1"/>
  <c r="H43" i="9" s="1"/>
  <c r="I43" i="9" s="1" a="1"/>
  <c r="I43" i="9" s="1"/>
  <c r="J43" i="9" s="1" a="1"/>
  <c r="J43" i="9" s="1"/>
  <c r="K43" i="9" s="1" a="1"/>
  <c r="K43" i="9" s="1"/>
  <c r="L43" i="9" s="1" a="1"/>
  <c r="L43" i="9" s="1"/>
  <c r="M43" i="9" s="1" a="1"/>
  <c r="M43" i="9" s="1"/>
  <c r="N43" i="9" s="1" a="1"/>
  <c r="N43" i="9" s="1"/>
  <c r="A42" i="9"/>
  <c r="A41" i="9"/>
  <c r="A40" i="9"/>
  <c r="S39" i="9"/>
  <c r="T39" i="9" s="1"/>
  <c r="R39" i="9"/>
  <c r="S38" i="9"/>
  <c r="T38" i="9" s="1"/>
  <c r="R38" i="9"/>
  <c r="N38" i="9"/>
  <c r="M38" i="9"/>
  <c r="L38" i="9"/>
  <c r="K38" i="9"/>
  <c r="J38" i="9"/>
  <c r="I38" i="9"/>
  <c r="H38" i="9"/>
  <c r="G38" i="9"/>
  <c r="F38" i="9"/>
  <c r="E38" i="9"/>
  <c r="D38" i="9"/>
  <c r="C38" i="9"/>
  <c r="R37" i="9"/>
  <c r="R40" i="9" s="1"/>
  <c r="N24" i="9"/>
  <c r="M24" i="9"/>
  <c r="L24" i="9"/>
  <c r="K24" i="9"/>
  <c r="J24" i="9"/>
  <c r="I24" i="9"/>
  <c r="H24" i="9"/>
  <c r="G24" i="9"/>
  <c r="F24" i="9"/>
  <c r="E24" i="9"/>
  <c r="D24" i="9"/>
  <c r="C24" i="9"/>
  <c r="N18" i="9"/>
  <c r="M18" i="9"/>
  <c r="L18" i="9"/>
  <c r="K18" i="9"/>
  <c r="J18" i="9"/>
  <c r="I18" i="9"/>
  <c r="H18" i="9"/>
  <c r="G18" i="9"/>
  <c r="F18" i="9"/>
  <c r="E18" i="9"/>
  <c r="D18" i="9"/>
  <c r="C18" i="9"/>
  <c r="N10" i="9"/>
  <c r="M10" i="9"/>
  <c r="L10" i="9"/>
  <c r="K10" i="9"/>
  <c r="J10" i="9"/>
  <c r="I10" i="9"/>
  <c r="H10" i="9"/>
  <c r="G10" i="9"/>
  <c r="E10" i="9"/>
  <c r="D10" i="9"/>
  <c r="C10" i="9"/>
  <c r="F7" i="9"/>
  <c r="F10" i="9" s="1"/>
  <c r="N3" i="9"/>
  <c r="M3" i="9"/>
  <c r="L3" i="9"/>
  <c r="K3" i="9"/>
  <c r="J3" i="9"/>
  <c r="I3" i="9"/>
  <c r="H3" i="9"/>
  <c r="G3" i="9"/>
  <c r="F3" i="9"/>
  <c r="E3" i="9"/>
  <c r="D3" i="9"/>
  <c r="C3" i="9"/>
  <c r="N2" i="9"/>
  <c r="M2" i="9"/>
  <c r="L2" i="9"/>
  <c r="K2" i="9"/>
  <c r="J2" i="9"/>
  <c r="I2" i="9"/>
  <c r="H2" i="9"/>
  <c r="G2" i="9"/>
  <c r="F2" i="9"/>
  <c r="E2" i="9"/>
  <c r="D2" i="9"/>
  <c r="C2" i="9"/>
  <c r="N19" i="8"/>
  <c r="M19" i="8"/>
  <c r="L19" i="8"/>
  <c r="K19" i="8"/>
  <c r="J19" i="8"/>
  <c r="I19" i="8"/>
  <c r="H19" i="8"/>
  <c r="G19" i="8"/>
  <c r="F19" i="8"/>
  <c r="E19" i="8"/>
  <c r="D19" i="8"/>
  <c r="N10" i="8"/>
  <c r="M10" i="8"/>
  <c r="L10" i="8"/>
  <c r="K10" i="8"/>
  <c r="J10" i="8"/>
  <c r="I10" i="8"/>
  <c r="H10" i="8"/>
  <c r="G10" i="8"/>
  <c r="F10" i="8"/>
  <c r="E10" i="8"/>
  <c r="D10" i="8"/>
  <c r="C9" i="8"/>
  <c r="C6" i="8"/>
  <c r="C19" i="8" s="1"/>
  <c r="D131" i="1" s="1"/>
  <c r="C5" i="8"/>
  <c r="C10" i="8" s="1"/>
  <c r="N3" i="8"/>
  <c r="M3" i="8"/>
  <c r="L3" i="8"/>
  <c r="K3" i="8"/>
  <c r="J3" i="8"/>
  <c r="I3" i="8"/>
  <c r="H3" i="8"/>
  <c r="G3" i="8"/>
  <c r="F3" i="8"/>
  <c r="E3" i="8"/>
  <c r="D3" i="8"/>
  <c r="C3" i="8"/>
  <c r="N2" i="8"/>
  <c r="M2" i="8"/>
  <c r="L2" i="8"/>
  <c r="K2" i="8"/>
  <c r="J2" i="8"/>
  <c r="I2" i="8"/>
  <c r="H2" i="8"/>
  <c r="G2" i="8"/>
  <c r="F2" i="8"/>
  <c r="E2" i="8"/>
  <c r="D2" i="8"/>
  <c r="C2" i="8"/>
  <c r="N14" i="7"/>
  <c r="M14" i="7"/>
  <c r="L14" i="7"/>
  <c r="K14" i="7"/>
  <c r="J14" i="7"/>
  <c r="I14" i="7"/>
  <c r="H14" i="7"/>
  <c r="G14" i="7"/>
  <c r="F14" i="7"/>
  <c r="E14" i="7"/>
  <c r="D14" i="7"/>
  <c r="C14" i="7"/>
  <c r="N13" i="7"/>
  <c r="M13" i="7"/>
  <c r="L13" i="7"/>
  <c r="K13" i="7"/>
  <c r="J13" i="7"/>
  <c r="I13" i="7"/>
  <c r="H13" i="7"/>
  <c r="G13" i="7"/>
  <c r="F13" i="7"/>
  <c r="E13" i="7"/>
  <c r="D13" i="7"/>
  <c r="C13" i="7"/>
  <c r="N9" i="7"/>
  <c r="M9" i="7"/>
  <c r="L9" i="7"/>
  <c r="K9" i="7"/>
  <c r="J9" i="7"/>
  <c r="I9" i="7"/>
  <c r="H9" i="7"/>
  <c r="G9" i="7"/>
  <c r="F9" i="7"/>
  <c r="E9" i="7"/>
  <c r="D9" i="7"/>
  <c r="C9" i="7"/>
  <c r="N8" i="7"/>
  <c r="M8" i="7"/>
  <c r="L8" i="7"/>
  <c r="K8" i="7"/>
  <c r="J8" i="7"/>
  <c r="I8" i="7"/>
  <c r="H8" i="7"/>
  <c r="G8" i="7"/>
  <c r="F8" i="7"/>
  <c r="E8" i="7"/>
  <c r="D8" i="7"/>
  <c r="C8" i="7"/>
  <c r="N3" i="7"/>
  <c r="M3" i="7"/>
  <c r="L3" i="7"/>
  <c r="K3" i="7"/>
  <c r="J3" i="7"/>
  <c r="I3" i="7"/>
  <c r="H3" i="7"/>
  <c r="G3" i="7"/>
  <c r="F3" i="7"/>
  <c r="E3" i="7"/>
  <c r="D3" i="7"/>
  <c r="C3" i="7"/>
  <c r="N2" i="7"/>
  <c r="M2" i="7"/>
  <c r="L2" i="7"/>
  <c r="K2" i="7"/>
  <c r="J2" i="7"/>
  <c r="I2" i="7"/>
  <c r="H2" i="7"/>
  <c r="G2" i="7"/>
  <c r="F2" i="7"/>
  <c r="E2" i="7"/>
  <c r="D2" i="7"/>
  <c r="C2" i="7"/>
  <c r="A1" i="7" a="1"/>
  <c r="A1" i="7" s="1"/>
  <c r="H78" i="6"/>
  <c r="P3" i="6"/>
  <c r="O3" i="6"/>
  <c r="N3" i="6"/>
  <c r="M3" i="6"/>
  <c r="L3" i="6"/>
  <c r="K3" i="6"/>
  <c r="J3" i="6"/>
  <c r="I3" i="6"/>
  <c r="H3" i="6"/>
  <c r="G3" i="6"/>
  <c r="F3" i="6"/>
  <c r="E3" i="6"/>
  <c r="P2" i="6"/>
  <c r="O2" i="6"/>
  <c r="N2" i="6"/>
  <c r="M2" i="6"/>
  <c r="L2" i="6"/>
  <c r="K2" i="6"/>
  <c r="J2" i="6"/>
  <c r="I2" i="6"/>
  <c r="H2" i="6"/>
  <c r="G2" i="6"/>
  <c r="F2" i="6"/>
  <c r="E2" i="6"/>
  <c r="C1" i="6" a="1"/>
  <c r="C1" i="6" s="1"/>
  <c r="D58" i="5"/>
  <c r="C58" i="5"/>
  <c r="G52" i="5"/>
  <c r="F52" i="5"/>
  <c r="E52" i="5"/>
  <c r="D52" i="5"/>
  <c r="C52" i="5"/>
  <c r="G51" i="5"/>
  <c r="F51" i="5"/>
  <c r="E51" i="5"/>
  <c r="D51" i="5"/>
  <c r="C51" i="5"/>
  <c r="L4" i="5"/>
  <c r="E4" i="5"/>
  <c r="E59" i="4"/>
  <c r="C22" i="4"/>
  <c r="C20" i="4"/>
  <c r="C18" i="4"/>
  <c r="C1" i="4" a="1"/>
  <c r="C1" i="4" s="1"/>
  <c r="O154" i="1"/>
  <c r="N154" i="1"/>
  <c r="M154" i="1"/>
  <c r="L154" i="1"/>
  <c r="D154" i="1"/>
  <c r="C154" i="1"/>
  <c r="C153" i="1"/>
  <c r="C150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D147" i="1"/>
  <c r="C147" i="1"/>
  <c r="O146" i="1"/>
  <c r="N146" i="1"/>
  <c r="M146" i="1"/>
  <c r="L146" i="1"/>
  <c r="D146" i="1"/>
  <c r="C146" i="1"/>
  <c r="O145" i="1"/>
  <c r="N145" i="1"/>
  <c r="M145" i="1"/>
  <c r="L145" i="1"/>
  <c r="D145" i="1"/>
  <c r="C145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C141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C133" i="1"/>
  <c r="O132" i="1"/>
  <c r="N132" i="1"/>
  <c r="M132" i="1"/>
  <c r="L132" i="1"/>
  <c r="K132" i="1"/>
  <c r="J132" i="1"/>
  <c r="I132" i="1"/>
  <c r="H132" i="1"/>
  <c r="G132" i="1"/>
  <c r="F132" i="1"/>
  <c r="E132" i="1"/>
  <c r="D132" i="1"/>
  <c r="C132" i="1"/>
  <c r="O131" i="1"/>
  <c r="N131" i="1"/>
  <c r="M131" i="1"/>
  <c r="L131" i="1"/>
  <c r="K131" i="1"/>
  <c r="J131" i="1"/>
  <c r="I131" i="1"/>
  <c r="H131" i="1"/>
  <c r="G131" i="1"/>
  <c r="F131" i="1"/>
  <c r="E131" i="1"/>
  <c r="C131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C129" i="1"/>
  <c r="C128" i="1"/>
  <c r="C127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L123" i="1"/>
  <c r="K123" i="1"/>
  <c r="J123" i="1"/>
  <c r="I123" i="1"/>
  <c r="H123" i="1"/>
  <c r="G123" i="1"/>
  <c r="F123" i="1"/>
  <c r="E123" i="1"/>
  <c r="D123" i="1"/>
  <c r="C123" i="1"/>
  <c r="C120" i="1"/>
  <c r="C119" i="1"/>
  <c r="C116" i="1"/>
  <c r="C115" i="1"/>
  <c r="C112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J108" i="1"/>
  <c r="I108" i="1"/>
  <c r="D108" i="1"/>
  <c r="C108" i="1"/>
  <c r="C107" i="1"/>
  <c r="O104" i="1"/>
  <c r="N104" i="1"/>
  <c r="M104" i="1"/>
  <c r="L104" i="1"/>
  <c r="K104" i="1"/>
  <c r="J104" i="1"/>
  <c r="I104" i="1"/>
  <c r="H104" i="1"/>
  <c r="G104" i="1"/>
  <c r="F104" i="1"/>
  <c r="E104" i="1"/>
  <c r="C104" i="1"/>
  <c r="O102" i="1"/>
  <c r="N102" i="1"/>
  <c r="M102" i="1"/>
  <c r="J102" i="1"/>
  <c r="F102" i="1"/>
  <c r="E102" i="1"/>
  <c r="D102" i="1"/>
  <c r="C102" i="1"/>
  <c r="C101" i="1"/>
  <c r="C100" i="1"/>
  <c r="O97" i="1"/>
  <c r="N97" i="1"/>
  <c r="M97" i="1"/>
  <c r="I97" i="1"/>
  <c r="F97" i="1"/>
  <c r="E97" i="1"/>
  <c r="C97" i="1"/>
  <c r="O96" i="1"/>
  <c r="M96" i="1"/>
  <c r="C96" i="1"/>
  <c r="C95" i="1"/>
  <c r="C87" i="1"/>
  <c r="C79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C73" i="1"/>
  <c r="C72" i="1"/>
  <c r="C69" i="1"/>
  <c r="C63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O61" i="1"/>
  <c r="K61" i="1"/>
  <c r="J61" i="1"/>
  <c r="I61" i="1"/>
  <c r="H61" i="1"/>
  <c r="G61" i="1"/>
  <c r="F61" i="1"/>
  <c r="E61" i="1"/>
  <c r="D61" i="1"/>
  <c r="C61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C59" i="1"/>
  <c r="C58" i="1"/>
  <c r="K57" i="1"/>
  <c r="J57" i="1"/>
  <c r="I57" i="1"/>
  <c r="H57" i="1"/>
  <c r="G57" i="1"/>
  <c r="F57" i="1"/>
  <c r="E57" i="1"/>
  <c r="D57" i="1"/>
  <c r="C57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C55" i="1"/>
  <c r="C54" i="1"/>
  <c r="C53" i="1"/>
  <c r="N46" i="1"/>
  <c r="M46" i="1"/>
  <c r="L46" i="1"/>
  <c r="K46" i="1"/>
  <c r="J46" i="1"/>
  <c r="I46" i="1"/>
  <c r="H46" i="1"/>
  <c r="G46" i="1"/>
  <c r="F46" i="1"/>
  <c r="E46" i="1"/>
  <c r="D46" i="1"/>
  <c r="C46" i="1"/>
  <c r="C45" i="1"/>
  <c r="O44" i="1"/>
  <c r="N44" i="1"/>
  <c r="M44" i="1"/>
  <c r="L44" i="1"/>
  <c r="K44" i="1"/>
  <c r="J44" i="1"/>
  <c r="H44" i="1"/>
  <c r="G44" i="1"/>
  <c r="F44" i="1"/>
  <c r="E44" i="1"/>
  <c r="D44" i="1"/>
  <c r="C44" i="1"/>
  <c r="O43" i="1"/>
  <c r="N43" i="1"/>
  <c r="M43" i="1"/>
  <c r="L43" i="1"/>
  <c r="K43" i="1"/>
  <c r="J43" i="1"/>
  <c r="I43" i="1"/>
  <c r="H43" i="1"/>
  <c r="F43" i="1"/>
  <c r="E43" i="1"/>
  <c r="D43" i="1"/>
  <c r="C43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O38" i="1"/>
  <c r="N38" i="1"/>
  <c r="M38" i="1"/>
  <c r="L38" i="1"/>
  <c r="K38" i="1"/>
  <c r="C38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O36" i="1"/>
  <c r="N36" i="1"/>
  <c r="M36" i="1"/>
  <c r="L36" i="1"/>
  <c r="J36" i="1"/>
  <c r="I36" i="1"/>
  <c r="H36" i="1"/>
  <c r="G36" i="1"/>
  <c r="F36" i="1"/>
  <c r="E36" i="1"/>
  <c r="D36" i="1"/>
  <c r="C36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O31" i="1"/>
  <c r="N31" i="1"/>
  <c r="M31" i="1"/>
  <c r="K31" i="1"/>
  <c r="J31" i="1"/>
  <c r="I31" i="1"/>
  <c r="H31" i="1"/>
  <c r="G31" i="1"/>
  <c r="F31" i="1"/>
  <c r="E31" i="1"/>
  <c r="D31" i="1"/>
  <c r="C31" i="1"/>
  <c r="L23" i="1"/>
  <c r="K23" i="1"/>
  <c r="J23" i="1"/>
  <c r="I23" i="1"/>
  <c r="H23" i="1"/>
  <c r="G23" i="1"/>
  <c r="F23" i="1"/>
  <c r="E23" i="1"/>
  <c r="D23" i="1"/>
  <c r="C23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C11" i="1"/>
  <c r="C10" i="1"/>
  <c r="C9" i="1"/>
  <c r="K8" i="1"/>
  <c r="J8" i="1"/>
  <c r="I8" i="1"/>
  <c r="H8" i="1"/>
  <c r="G8" i="1"/>
  <c r="F8" i="1"/>
  <c r="E8" i="1"/>
  <c r="D8" i="1"/>
  <c r="C8" i="1"/>
  <c r="O7" i="1"/>
  <c r="N7" i="1"/>
  <c r="M7" i="1"/>
  <c r="L7" i="1"/>
  <c r="I7" i="1"/>
  <c r="H7" i="1"/>
  <c r="G7" i="1"/>
  <c r="E7" i="1"/>
  <c r="D7" i="1"/>
  <c r="C7" i="1"/>
  <c r="C6" i="1"/>
  <c r="O5" i="1"/>
  <c r="N5" i="1"/>
  <c r="M5" i="1"/>
  <c r="L5" i="1"/>
  <c r="K5" i="1"/>
  <c r="J5" i="1"/>
  <c r="I5" i="1"/>
  <c r="H5" i="1"/>
  <c r="G5" i="1"/>
  <c r="F5" i="1"/>
  <c r="E5" i="1"/>
  <c r="D5" i="1"/>
  <c r="C5" i="1"/>
  <c r="O2" i="1"/>
  <c r="N2" i="1"/>
  <c r="M2" i="1"/>
  <c r="L2" i="1"/>
  <c r="K2" i="1"/>
  <c r="J2" i="1"/>
  <c r="I2" i="1"/>
  <c r="H2" i="1"/>
  <c r="G2" i="1"/>
  <c r="F2" i="1"/>
  <c r="E2" i="1"/>
  <c r="D2" i="1"/>
  <c r="C2" i="1"/>
  <c r="O1" i="1"/>
  <c r="N1" i="1"/>
  <c r="M1" i="1"/>
  <c r="L1" i="1"/>
  <c r="K1" i="1"/>
  <c r="J1" i="1"/>
  <c r="I1" i="1"/>
  <c r="H1" i="1"/>
  <c r="G1" i="1"/>
  <c r="F1" i="1"/>
  <c r="E1" i="1"/>
  <c r="D1" i="1"/>
  <c r="C1" i="1"/>
  <c r="H128" i="17"/>
  <c r="H132" i="17" s="1"/>
  <c r="I126" i="17"/>
  <c r="J126" i="17" s="1"/>
  <c r="K126" i="17" s="1"/>
  <c r="L126" i="17" s="1"/>
  <c r="M126" i="17" s="1"/>
  <c r="N126" i="17" s="1"/>
  <c r="O126" i="17" s="1"/>
  <c r="P126" i="17" s="1"/>
  <c r="Q126" i="17" s="1"/>
  <c r="R126" i="17" s="1"/>
  <c r="S126" i="17" s="1"/>
  <c r="T126" i="17" s="1"/>
  <c r="U126" i="17" s="1"/>
  <c r="I125" i="17"/>
  <c r="J125" i="17" s="1"/>
  <c r="K125" i="17" s="1"/>
  <c r="L125" i="17" s="1"/>
  <c r="M125" i="17" s="1"/>
  <c r="N125" i="17" s="1"/>
  <c r="O125" i="17" s="1"/>
  <c r="P125" i="17" s="1"/>
  <c r="Q125" i="17" s="1"/>
  <c r="R125" i="17" s="1"/>
  <c r="S125" i="17" s="1"/>
  <c r="T125" i="17" s="1"/>
  <c r="U125" i="17" s="1"/>
  <c r="I124" i="17"/>
  <c r="J124" i="17" s="1"/>
  <c r="I123" i="17"/>
  <c r="H123" i="17"/>
  <c r="B123" i="17"/>
  <c r="U122" i="17"/>
  <c r="T122" i="17"/>
  <c r="S122" i="17"/>
  <c r="R122" i="17"/>
  <c r="Q122" i="17"/>
  <c r="P122" i="17"/>
  <c r="O122" i="17"/>
  <c r="N122" i="17"/>
  <c r="M122" i="17"/>
  <c r="L122" i="17"/>
  <c r="K122" i="17"/>
  <c r="J122" i="17"/>
  <c r="I122" i="17"/>
  <c r="H122" i="17"/>
  <c r="G122" i="17"/>
  <c r="F122" i="17"/>
  <c r="E122" i="17"/>
  <c r="D122" i="17"/>
  <c r="C122" i="17"/>
  <c r="C118" i="17"/>
  <c r="D118" i="17" s="1"/>
  <c r="E118" i="17" s="1"/>
  <c r="F118" i="17" s="1"/>
  <c r="G118" i="17" s="1"/>
  <c r="H118" i="17" s="1"/>
  <c r="U117" i="17"/>
  <c r="T117" i="17"/>
  <c r="S117" i="17"/>
  <c r="R117" i="17"/>
  <c r="Q117" i="17"/>
  <c r="P117" i="17"/>
  <c r="O117" i="17"/>
  <c r="N117" i="17"/>
  <c r="M117" i="17"/>
  <c r="L117" i="17"/>
  <c r="K117" i="17"/>
  <c r="J117" i="17"/>
  <c r="I117" i="17"/>
  <c r="H117" i="17"/>
  <c r="G117" i="17"/>
  <c r="G120" i="17" s="1"/>
  <c r="G119" i="17" s="1"/>
  <c r="F117" i="17"/>
  <c r="F120" i="17" s="1"/>
  <c r="F119" i="17" s="1"/>
  <c r="E117" i="17"/>
  <c r="E120" i="17" s="1"/>
  <c r="E119" i="17" s="1"/>
  <c r="D117" i="17"/>
  <c r="D120" i="17" s="1"/>
  <c r="D119" i="17" s="1"/>
  <c r="C117" i="17"/>
  <c r="C120" i="17" s="1"/>
  <c r="C119" i="17" s="1"/>
  <c r="C112" i="17"/>
  <c r="D112" i="17" s="1"/>
  <c r="E112" i="17" s="1"/>
  <c r="F112" i="17" s="1"/>
  <c r="U111" i="17"/>
  <c r="U114" i="17" s="1"/>
  <c r="T111" i="17"/>
  <c r="T114" i="17" s="1"/>
  <c r="S111" i="17"/>
  <c r="S114" i="17" s="1"/>
  <c r="R111" i="17"/>
  <c r="R114" i="17" s="1"/>
  <c r="Q111" i="17"/>
  <c r="Q114" i="17" s="1"/>
  <c r="P111" i="17"/>
  <c r="P114" i="17" s="1"/>
  <c r="O111" i="17"/>
  <c r="O114" i="17" s="1"/>
  <c r="N111" i="17"/>
  <c r="N114" i="17" s="1"/>
  <c r="M111" i="17"/>
  <c r="M114" i="17" s="1"/>
  <c r="L111" i="17"/>
  <c r="L114" i="17" s="1"/>
  <c r="K111" i="17"/>
  <c r="K114" i="17" s="1"/>
  <c r="J111" i="17"/>
  <c r="J114" i="17" s="1"/>
  <c r="I111" i="17"/>
  <c r="I114" i="17" s="1"/>
  <c r="H111" i="17"/>
  <c r="H114" i="17" s="1"/>
  <c r="G111" i="17"/>
  <c r="G114" i="17" s="1"/>
  <c r="F111" i="17"/>
  <c r="F114" i="17" s="1"/>
  <c r="E111" i="17"/>
  <c r="E114" i="17" s="1"/>
  <c r="D111" i="17"/>
  <c r="D114" i="17" s="1"/>
  <c r="C111" i="17"/>
  <c r="C114" i="17" s="1"/>
  <c r="E101" i="17"/>
  <c r="E104" i="17" s="1"/>
  <c r="E105" i="17" s="1"/>
  <c r="F100" i="17"/>
  <c r="G100" i="17" s="1"/>
  <c r="H100" i="17" s="1"/>
  <c r="I100" i="17" s="1"/>
  <c r="J100" i="17" s="1"/>
  <c r="K100" i="17" s="1"/>
  <c r="L100" i="17" s="1"/>
  <c r="M100" i="17" s="1"/>
  <c r="N100" i="17" s="1"/>
  <c r="O100" i="17" s="1"/>
  <c r="D100" i="17"/>
  <c r="F99" i="17"/>
  <c r="G99" i="17" s="1"/>
  <c r="H99" i="17" s="1"/>
  <c r="I99" i="17" s="1"/>
  <c r="J99" i="17" s="1"/>
  <c r="K99" i="17" s="1"/>
  <c r="L99" i="17" s="1"/>
  <c r="M99" i="17" s="1"/>
  <c r="N99" i="17" s="1"/>
  <c r="O99" i="17" s="1"/>
  <c r="D99" i="17"/>
  <c r="F98" i="17"/>
  <c r="G98" i="17" s="1"/>
  <c r="H98" i="17" s="1"/>
  <c r="I98" i="17" s="1"/>
  <c r="J98" i="17" s="1"/>
  <c r="K98" i="17" s="1"/>
  <c r="L98" i="17" s="1"/>
  <c r="M98" i="17" s="1"/>
  <c r="N98" i="17" s="1"/>
  <c r="O98" i="17" s="1"/>
  <c r="D98" i="17"/>
  <c r="F97" i="17"/>
  <c r="G97" i="17" s="1"/>
  <c r="H97" i="17" s="1"/>
  <c r="I97" i="17" s="1"/>
  <c r="J97" i="17" s="1"/>
  <c r="K97" i="17" s="1"/>
  <c r="L97" i="17" s="1"/>
  <c r="M97" i="17" s="1"/>
  <c r="N97" i="17" s="1"/>
  <c r="O97" i="17" s="1"/>
  <c r="O90" i="17" s="1"/>
  <c r="P90" i="17" s="1"/>
  <c r="D97" i="17"/>
  <c r="Q96" i="17"/>
  <c r="F96" i="17"/>
  <c r="G96" i="17" s="1"/>
  <c r="D96" i="17"/>
  <c r="F95" i="17"/>
  <c r="M79" i="17"/>
  <c r="L79" i="17"/>
  <c r="D77" i="17"/>
  <c r="B75" i="17"/>
  <c r="B76" i="17" s="1"/>
  <c r="B71" i="17"/>
  <c r="B69" i="17"/>
  <c r="E67" i="17"/>
  <c r="C65" i="17"/>
  <c r="J64" i="17"/>
  <c r="G64" i="17"/>
  <c r="D44" i="13" s="1"/>
  <c r="J63" i="17"/>
  <c r="K63" i="17" s="1"/>
  <c r="L63" i="17" s="1"/>
  <c r="E59" i="17"/>
  <c r="K56" i="17"/>
  <c r="P55" i="17"/>
  <c r="C54" i="17"/>
  <c r="C68" i="17" s="1"/>
  <c r="L52" i="17"/>
  <c r="K52" i="17"/>
  <c r="J52" i="17"/>
  <c r="I52" i="17"/>
  <c r="H52" i="17"/>
  <c r="G52" i="17"/>
  <c r="F52" i="17"/>
  <c r="E52" i="17"/>
  <c r="D52" i="17"/>
  <c r="C52" i="17"/>
  <c r="M51" i="17"/>
  <c r="I49" i="17"/>
  <c r="D49" i="17"/>
  <c r="D54" i="17" s="1"/>
  <c r="C49" i="17"/>
  <c r="B49" i="17"/>
  <c r="K46" i="17"/>
  <c r="L46" i="17" s="1"/>
  <c r="M46" i="17" s="1"/>
  <c r="N46" i="17" s="1"/>
  <c r="O46" i="17" s="1"/>
  <c r="P46" i="17" s="1"/>
  <c r="Q46" i="17" s="1"/>
  <c r="J46" i="17"/>
  <c r="H46" i="17"/>
  <c r="H49" i="17" s="1"/>
  <c r="G46" i="17"/>
  <c r="G49" i="17" s="1"/>
  <c r="F46" i="17"/>
  <c r="F49" i="17" s="1"/>
  <c r="E46" i="17"/>
  <c r="E49" i="17" s="1"/>
  <c r="J45" i="17"/>
  <c r="N44" i="17"/>
  <c r="K44" i="17"/>
  <c r="N40" i="17"/>
  <c r="N41" i="17" s="1"/>
  <c r="E40" i="17"/>
  <c r="E41" i="17" s="1"/>
  <c r="I39" i="17"/>
  <c r="H39" i="17"/>
  <c r="G39" i="17"/>
  <c r="F39" i="17"/>
  <c r="F34" i="17"/>
  <c r="Q28" i="17"/>
  <c r="O17" i="1" s="1"/>
  <c r="P28" i="17"/>
  <c r="N17" i="1" s="1"/>
  <c r="N28" i="17"/>
  <c r="L17" i="1" s="1"/>
  <c r="M28" i="17"/>
  <c r="K17" i="1" s="1"/>
  <c r="L28" i="17"/>
  <c r="J17" i="1" s="1"/>
  <c r="K28" i="17"/>
  <c r="I17" i="1" s="1"/>
  <c r="J28" i="17"/>
  <c r="H17" i="1" s="1"/>
  <c r="I28" i="17"/>
  <c r="G17" i="1" s="1"/>
  <c r="H28" i="17"/>
  <c r="F17" i="1" s="1"/>
  <c r="G28" i="17"/>
  <c r="E17" i="1" s="1"/>
  <c r="F28" i="17"/>
  <c r="D17" i="1" s="1"/>
  <c r="E28" i="17"/>
  <c r="C17" i="1" s="1"/>
  <c r="D28" i="17"/>
  <c r="C28" i="17"/>
  <c r="B28" i="17"/>
  <c r="Q19" i="17"/>
  <c r="P19" i="17"/>
  <c r="O19" i="17"/>
  <c r="D18" i="17"/>
  <c r="B18" i="17"/>
  <c r="D16" i="17"/>
  <c r="C16" i="17"/>
  <c r="B16" i="17"/>
  <c r="B15" i="17"/>
  <c r="B19" i="17" s="1"/>
  <c r="B30" i="17" s="1"/>
  <c r="N8" i="17"/>
  <c r="E8" i="17"/>
  <c r="D8" i="17"/>
  <c r="C8" i="17"/>
  <c r="B8" i="17"/>
  <c r="B10" i="17" s="1"/>
  <c r="M6" i="17"/>
  <c r="L6" i="17"/>
  <c r="K6" i="17"/>
  <c r="J6" i="17"/>
  <c r="Q4" i="17"/>
  <c r="P4" i="17"/>
  <c r="O4" i="17"/>
  <c r="M4" i="17"/>
  <c r="L4" i="17"/>
  <c r="K4" i="17"/>
  <c r="J4" i="17"/>
  <c r="I4" i="17"/>
  <c r="H4" i="17"/>
  <c r="G4" i="17"/>
  <c r="F4" i="17"/>
  <c r="Q3" i="17"/>
  <c r="P3" i="17"/>
  <c r="O3" i="17"/>
  <c r="N3" i="17"/>
  <c r="A102" i="24" l="1"/>
  <c r="A108" i="24"/>
  <c r="A116" i="24"/>
  <c r="A86" i="23"/>
  <c r="A75" i="23"/>
  <c r="J26" i="22"/>
  <c r="K54" i="1" s="1"/>
  <c r="N42" i="25"/>
  <c r="I26" i="22"/>
  <c r="J54" i="1" s="1"/>
  <c r="M42" i="25"/>
  <c r="H26" i="22"/>
  <c r="I54" i="1" s="1"/>
  <c r="L42" i="25"/>
  <c r="I107" i="25"/>
  <c r="H107" i="25"/>
  <c r="G107" i="25"/>
  <c r="F107" i="25"/>
  <c r="E107" i="25"/>
  <c r="D107" i="25"/>
  <c r="C107" i="25"/>
  <c r="B107" i="25"/>
  <c r="K95" i="25"/>
  <c r="Q78" i="25"/>
  <c r="P93" i="25"/>
  <c r="P77" i="25"/>
  <c r="O84" i="25"/>
  <c r="G93" i="25"/>
  <c r="H73" i="25"/>
  <c r="O92" i="25"/>
  <c r="P72" i="25"/>
  <c r="G92" i="25"/>
  <c r="H72" i="25"/>
  <c r="O91" i="25"/>
  <c r="P71" i="25"/>
  <c r="G91" i="25"/>
  <c r="H71" i="25"/>
  <c r="O90" i="25"/>
  <c r="P70" i="25"/>
  <c r="G90" i="25"/>
  <c r="H70" i="25"/>
  <c r="O89" i="25"/>
  <c r="P69" i="25"/>
  <c r="I89" i="25"/>
  <c r="J69" i="25"/>
  <c r="J89" i="25" s="1"/>
  <c r="O88" i="25"/>
  <c r="P68" i="25"/>
  <c r="H88" i="25"/>
  <c r="I68" i="25"/>
  <c r="O74" i="25"/>
  <c r="O87" i="25"/>
  <c r="O95" i="25" s="1"/>
  <c r="P67" i="25"/>
  <c r="G87" i="25"/>
  <c r="G95" i="25" s="1"/>
  <c r="G74" i="25"/>
  <c r="H67" i="25"/>
  <c r="R32" i="25"/>
  <c r="Q32" i="25"/>
  <c r="P32" i="25"/>
  <c r="O32" i="25"/>
  <c r="N32" i="25"/>
  <c r="M32" i="25"/>
  <c r="L32" i="25"/>
  <c r="K32" i="25"/>
  <c r="J56" i="25"/>
  <c r="J38" i="25"/>
  <c r="J57" i="25" s="1"/>
  <c r="G81" i="1" s="1"/>
  <c r="I38" i="25"/>
  <c r="I57" i="25" s="1"/>
  <c r="F81" i="1" s="1"/>
  <c r="I56" i="25"/>
  <c r="H56" i="25"/>
  <c r="H38" i="25"/>
  <c r="H57" i="25" s="1"/>
  <c r="E81" i="1" s="1"/>
  <c r="G56" i="25"/>
  <c r="G38" i="25"/>
  <c r="G57" i="25" s="1"/>
  <c r="D81" i="1" s="1"/>
  <c r="G26" i="25"/>
  <c r="H26" i="25" s="1"/>
  <c r="I26" i="25" s="1"/>
  <c r="J26" i="25" s="1"/>
  <c r="F56" i="25"/>
  <c r="F38" i="25"/>
  <c r="F57" i="25" s="1"/>
  <c r="C81" i="1" s="1"/>
  <c r="E56" i="25"/>
  <c r="E38" i="25"/>
  <c r="E57" i="25" s="1"/>
  <c r="D56" i="25"/>
  <c r="D38" i="25"/>
  <c r="D57" i="25" s="1"/>
  <c r="C56" i="25"/>
  <c r="C38" i="25"/>
  <c r="C57" i="25" s="1"/>
  <c r="B38" i="25"/>
  <c r="B57" i="25" s="1"/>
  <c r="B56" i="25"/>
  <c r="B58" i="25" s="1"/>
  <c r="B59" i="25" s="1"/>
  <c r="J33" i="25"/>
  <c r="F13" i="22" s="1"/>
  <c r="J28" i="25"/>
  <c r="J29" i="25" s="1"/>
  <c r="I33" i="25"/>
  <c r="E13" i="22" s="1"/>
  <c r="I28" i="25"/>
  <c r="I29" i="25" s="1"/>
  <c r="H33" i="25"/>
  <c r="D13" i="22" s="1"/>
  <c r="H28" i="25"/>
  <c r="H29" i="25" s="1"/>
  <c r="G33" i="25"/>
  <c r="C13" i="22" s="1"/>
  <c r="G28" i="25"/>
  <c r="G29" i="25" s="1"/>
  <c r="F33" i="25"/>
  <c r="F34" i="25" s="1"/>
  <c r="F28" i="25"/>
  <c r="F29" i="25" s="1"/>
  <c r="E33" i="25"/>
  <c r="E34" i="25" s="1"/>
  <c r="E28" i="25"/>
  <c r="E29" i="25" s="1"/>
  <c r="E51" i="25" s="1"/>
  <c r="D28" i="25"/>
  <c r="D29" i="25" s="1"/>
  <c r="D51" i="25" s="1"/>
  <c r="D33" i="25"/>
  <c r="D34" i="25" s="1"/>
  <c r="C28" i="25"/>
  <c r="C29" i="25" s="1"/>
  <c r="C51" i="25" s="1"/>
  <c r="C33" i="25"/>
  <c r="C34" i="25" s="1"/>
  <c r="B33" i="25"/>
  <c r="B34" i="25" s="1"/>
  <c r="B28" i="25"/>
  <c r="B29" i="25" s="1"/>
  <c r="B51" i="25" s="1"/>
  <c r="Q23" i="25"/>
  <c r="P24" i="25"/>
  <c r="P33" i="25" s="1"/>
  <c r="L13" i="22" s="1"/>
  <c r="P25" i="25"/>
  <c r="O25" i="25"/>
  <c r="O24" i="25"/>
  <c r="N25" i="25"/>
  <c r="N24" i="25"/>
  <c r="M25" i="25"/>
  <c r="M24" i="25"/>
  <c r="L25" i="25"/>
  <c r="L24" i="25"/>
  <c r="K25" i="25"/>
  <c r="K24" i="25"/>
  <c r="J34" i="25"/>
  <c r="F6" i="22"/>
  <c r="I34" i="25"/>
  <c r="E6" i="22"/>
  <c r="H34" i="25"/>
  <c r="D6" i="22"/>
  <c r="G34" i="25"/>
  <c r="C6" i="22"/>
  <c r="F49" i="25"/>
  <c r="F52" i="25"/>
  <c r="C78" i="1"/>
  <c r="E49" i="25"/>
  <c r="E52" i="25"/>
  <c r="D49" i="25"/>
  <c r="D52" i="25"/>
  <c r="C49" i="25"/>
  <c r="C52" i="25"/>
  <c r="B49" i="25"/>
  <c r="B52" i="25"/>
  <c r="A54" i="25"/>
  <c r="A62" i="25"/>
  <c r="A65" i="25"/>
  <c r="A49" i="25"/>
  <c r="P133" i="24"/>
  <c r="O143" i="24"/>
  <c r="O129" i="24"/>
  <c r="N153" i="24"/>
  <c r="L128" i="24"/>
  <c r="K152" i="24"/>
  <c r="H128" i="24"/>
  <c r="G152" i="24"/>
  <c r="L127" i="24"/>
  <c r="K151" i="24"/>
  <c r="H127" i="24"/>
  <c r="G151" i="24"/>
  <c r="K150" i="24"/>
  <c r="L126" i="24"/>
  <c r="G150" i="24"/>
  <c r="H126" i="24"/>
  <c r="K149" i="24"/>
  <c r="L125" i="24"/>
  <c r="G149" i="24"/>
  <c r="H125" i="24"/>
  <c r="K148" i="24"/>
  <c r="L124" i="24"/>
  <c r="G148" i="24"/>
  <c r="H124" i="24"/>
  <c r="K147" i="24"/>
  <c r="L123" i="24"/>
  <c r="H123" i="24"/>
  <c r="G147" i="24"/>
  <c r="K146" i="24"/>
  <c r="L122" i="24"/>
  <c r="G146" i="24"/>
  <c r="H122" i="24"/>
  <c r="K145" i="24"/>
  <c r="K131" i="24"/>
  <c r="L121" i="24"/>
  <c r="G145" i="24"/>
  <c r="G156" i="24" s="1"/>
  <c r="G131" i="24"/>
  <c r="H121" i="24"/>
  <c r="C87" i="24"/>
  <c r="C106" i="24" s="1"/>
  <c r="D87" i="24"/>
  <c r="D106" i="24" s="1"/>
  <c r="E87" i="24"/>
  <c r="E106" i="24" s="1"/>
  <c r="F87" i="24"/>
  <c r="F106" i="24" s="1"/>
  <c r="G87" i="24"/>
  <c r="G106" i="24" s="1"/>
  <c r="H87" i="24"/>
  <c r="H106" i="24" s="1"/>
  <c r="K87" i="24"/>
  <c r="K106" i="24" s="1"/>
  <c r="B87" i="24"/>
  <c r="B106" i="24" s="1"/>
  <c r="L87" i="24"/>
  <c r="L106" i="24" s="1"/>
  <c r="G89" i="24"/>
  <c r="G91" i="24" s="1"/>
  <c r="G110" i="24"/>
  <c r="H70" i="24"/>
  <c r="H74" i="24"/>
  <c r="G70" i="24"/>
  <c r="G74" i="24"/>
  <c r="F70" i="24"/>
  <c r="F74" i="24"/>
  <c r="F76" i="24" s="1"/>
  <c r="E70" i="24"/>
  <c r="E104" i="24" s="1"/>
  <c r="E74" i="24"/>
  <c r="E76" i="24" s="1"/>
  <c r="D70" i="24"/>
  <c r="D104" i="24" s="1"/>
  <c r="D74" i="24"/>
  <c r="D76" i="24" s="1"/>
  <c r="C70" i="24"/>
  <c r="C104" i="24" s="1"/>
  <c r="C74" i="24"/>
  <c r="C76" i="24" s="1"/>
  <c r="B70" i="24"/>
  <c r="B104" i="24" s="1"/>
  <c r="B74" i="24"/>
  <c r="B76" i="24" s="1"/>
  <c r="J70" i="24"/>
  <c r="J74" i="24"/>
  <c r="K13" i="24"/>
  <c r="L13" i="24"/>
  <c r="L24" i="24" s="1"/>
  <c r="L30" i="24" s="1"/>
  <c r="M13" i="24"/>
  <c r="M24" i="24" s="1"/>
  <c r="M30" i="24" s="1"/>
  <c r="N13" i="24"/>
  <c r="N24" i="24" s="1"/>
  <c r="N30" i="24" s="1"/>
  <c r="O13" i="24"/>
  <c r="K24" i="24"/>
  <c r="K30" i="24" s="1"/>
  <c r="K31" i="24" s="1"/>
  <c r="O11" i="24"/>
  <c r="O24" i="24" s="1"/>
  <c r="O30" i="24" s="1"/>
  <c r="I70" i="24"/>
  <c r="I74" i="24"/>
  <c r="M109" i="23"/>
  <c r="L112" i="23"/>
  <c r="O115" i="23"/>
  <c r="P103" i="23"/>
  <c r="Q99" i="23"/>
  <c r="P123" i="23"/>
  <c r="O98" i="23"/>
  <c r="N122" i="23"/>
  <c r="K120" i="23"/>
  <c r="N96" i="23"/>
  <c r="L96" i="23"/>
  <c r="M96" i="23"/>
  <c r="M120" i="23" s="1"/>
  <c r="G120" i="23"/>
  <c r="H96" i="23"/>
  <c r="M95" i="23"/>
  <c r="M119" i="23" s="1"/>
  <c r="K119" i="23"/>
  <c r="N95" i="23"/>
  <c r="L95" i="23"/>
  <c r="L119" i="23" s="1"/>
  <c r="G119" i="23"/>
  <c r="H95" i="23"/>
  <c r="M94" i="23"/>
  <c r="M118" i="23" s="1"/>
  <c r="N94" i="23"/>
  <c r="L94" i="23"/>
  <c r="L118" i="23" s="1"/>
  <c r="K118" i="23"/>
  <c r="H94" i="23"/>
  <c r="G118" i="23"/>
  <c r="L93" i="23"/>
  <c r="L117" i="23" s="1"/>
  <c r="M93" i="23"/>
  <c r="M117" i="23" s="1"/>
  <c r="K117" i="23"/>
  <c r="N93" i="23"/>
  <c r="H93" i="23"/>
  <c r="G117" i="23"/>
  <c r="L92" i="23"/>
  <c r="L116" i="23" s="1"/>
  <c r="M92" i="23"/>
  <c r="M116" i="23" s="1"/>
  <c r="N92" i="23"/>
  <c r="K116" i="23"/>
  <c r="H92" i="23"/>
  <c r="G116" i="23"/>
  <c r="P115" i="23"/>
  <c r="Q91" i="23"/>
  <c r="M91" i="23"/>
  <c r="L91" i="23"/>
  <c r="K115" i="23"/>
  <c r="K100" i="23"/>
  <c r="N91" i="23"/>
  <c r="J115" i="23"/>
  <c r="I115" i="23"/>
  <c r="H115" i="23"/>
  <c r="H100" i="23"/>
  <c r="G115" i="23"/>
  <c r="G124" i="23" s="1"/>
  <c r="G100" i="23"/>
  <c r="F83" i="23"/>
  <c r="C70" i="1" s="1"/>
  <c r="F63" i="23"/>
  <c r="F64" i="23" s="1"/>
  <c r="E63" i="23"/>
  <c r="E64" i="23" s="1"/>
  <c r="E83" i="23"/>
  <c r="D83" i="23"/>
  <c r="D63" i="23"/>
  <c r="D64" i="23" s="1"/>
  <c r="C83" i="23"/>
  <c r="C63" i="23"/>
  <c r="C64" i="23" s="1"/>
  <c r="B83" i="23"/>
  <c r="B63" i="23"/>
  <c r="B64" i="23" s="1"/>
  <c r="G62" i="23"/>
  <c r="H48" i="23"/>
  <c r="R57" i="23"/>
  <c r="N12" i="22" s="1"/>
  <c r="Q57" i="23"/>
  <c r="M12" i="22" s="1"/>
  <c r="P57" i="23"/>
  <c r="L12" i="22" s="1"/>
  <c r="O57" i="23"/>
  <c r="K12" i="22" s="1"/>
  <c r="N57" i="23"/>
  <c r="J12" i="22" s="1"/>
  <c r="M57" i="23"/>
  <c r="I12" i="22" s="1"/>
  <c r="L57" i="23"/>
  <c r="H12" i="22" s="1"/>
  <c r="K57" i="23"/>
  <c r="F53" i="23"/>
  <c r="F57" i="23"/>
  <c r="F58" i="23" s="1"/>
  <c r="E53" i="23"/>
  <c r="E77" i="23" s="1"/>
  <c r="E57" i="23"/>
  <c r="E58" i="23" s="1"/>
  <c r="D53" i="23"/>
  <c r="D77" i="23" s="1"/>
  <c r="D57" i="23"/>
  <c r="D58" i="23" s="1"/>
  <c r="C53" i="23"/>
  <c r="C77" i="23" s="1"/>
  <c r="C57" i="23"/>
  <c r="C58" i="23" s="1"/>
  <c r="J57" i="23"/>
  <c r="F12" i="22" s="1"/>
  <c r="F15" i="22" s="1"/>
  <c r="I57" i="23"/>
  <c r="E12" i="22" s="1"/>
  <c r="E15" i="22" s="1"/>
  <c r="H57" i="23"/>
  <c r="D12" i="22" s="1"/>
  <c r="D15" i="22" s="1"/>
  <c r="G53" i="23"/>
  <c r="G57" i="23"/>
  <c r="C12" i="22" s="1"/>
  <c r="C15" i="22" s="1"/>
  <c r="F59" i="23"/>
  <c r="F75" i="23"/>
  <c r="F78" i="23"/>
  <c r="C67" i="1"/>
  <c r="E59" i="23"/>
  <c r="E75" i="23"/>
  <c r="E78" i="23"/>
  <c r="D59" i="23"/>
  <c r="D75" i="23"/>
  <c r="D78" i="23"/>
  <c r="C59" i="23"/>
  <c r="C75" i="23"/>
  <c r="C78" i="23"/>
  <c r="N20" i="23"/>
  <c r="J17" i="23"/>
  <c r="K8" i="23"/>
  <c r="I17" i="23"/>
  <c r="M20" i="23"/>
  <c r="H17" i="23"/>
  <c r="L20" i="23"/>
  <c r="G61" i="23"/>
  <c r="G82" i="23"/>
  <c r="G58" i="23"/>
  <c r="C5" i="22"/>
  <c r="L6" i="23"/>
  <c r="K15" i="23"/>
  <c r="P5" i="23"/>
  <c r="Q12" i="23"/>
  <c r="E112" i="22"/>
  <c r="E103" i="22"/>
  <c r="D112" i="22"/>
  <c r="D103" i="22"/>
  <c r="C103" i="22"/>
  <c r="C112" i="22"/>
  <c r="J103" i="22"/>
  <c r="K96" i="22"/>
  <c r="L96" i="22" s="1"/>
  <c r="M96" i="22" s="1"/>
  <c r="N96" i="22" s="1"/>
  <c r="L95" i="22"/>
  <c r="K103" i="22"/>
  <c r="K112" i="22"/>
  <c r="L92" i="22"/>
  <c r="A112" i="22"/>
  <c r="A102" i="22"/>
  <c r="A136" i="22"/>
  <c r="L91" i="22"/>
  <c r="K111" i="22"/>
  <c r="A111" i="22"/>
  <c r="A101" i="22"/>
  <c r="A135" i="22"/>
  <c r="L90" i="22"/>
  <c r="K110" i="22"/>
  <c r="A134" i="22"/>
  <c r="A110" i="22"/>
  <c r="A100" i="22"/>
  <c r="J89" i="22"/>
  <c r="I89" i="22"/>
  <c r="I109" i="22" s="1"/>
  <c r="H89" i="22"/>
  <c r="H109" i="22" s="1"/>
  <c r="G109" i="22"/>
  <c r="C93" i="22"/>
  <c r="D89" i="22"/>
  <c r="C109" i="22"/>
  <c r="C113" i="22" s="1"/>
  <c r="A99" i="22"/>
  <c r="A109" i="22"/>
  <c r="A133" i="22"/>
  <c r="H88" i="22"/>
  <c r="H108" i="22" s="1"/>
  <c r="I88" i="22"/>
  <c r="I108" i="22" s="1"/>
  <c r="J88" i="22"/>
  <c r="G108" i="22"/>
  <c r="D108" i="22"/>
  <c r="E88" i="22"/>
  <c r="A108" i="22"/>
  <c r="A132" i="22"/>
  <c r="A98" i="22"/>
  <c r="G107" i="22"/>
  <c r="H87" i="22"/>
  <c r="H107" i="22" s="1"/>
  <c r="I87" i="22"/>
  <c r="I107" i="22" s="1"/>
  <c r="J87" i="22"/>
  <c r="A97" i="22"/>
  <c r="A107" i="22"/>
  <c r="A131" i="22"/>
  <c r="H86" i="22"/>
  <c r="H106" i="22" s="1"/>
  <c r="I86" i="22"/>
  <c r="I106" i="22" s="1"/>
  <c r="J86" i="22"/>
  <c r="G106" i="22"/>
  <c r="D93" i="22"/>
  <c r="E86" i="22"/>
  <c r="D106" i="22"/>
  <c r="A96" i="22"/>
  <c r="A106" i="22"/>
  <c r="A130" i="22"/>
  <c r="G93" i="22"/>
  <c r="I85" i="22"/>
  <c r="H85" i="22"/>
  <c r="J85" i="22"/>
  <c r="G105" i="22"/>
  <c r="F105" i="22"/>
  <c r="A95" i="22"/>
  <c r="A105" i="22"/>
  <c r="A129" i="22"/>
  <c r="C44" i="22"/>
  <c r="E71" i="22"/>
  <c r="E79" i="22" s="1"/>
  <c r="C79" i="22"/>
  <c r="J53" i="22"/>
  <c r="I53" i="22"/>
  <c r="H53" i="22"/>
  <c r="G53" i="22"/>
  <c r="F53" i="22"/>
  <c r="E53" i="22"/>
  <c r="D53" i="22"/>
  <c r="C53" i="22"/>
  <c r="I43" i="22"/>
  <c r="K31" i="22"/>
  <c r="N71" i="23"/>
  <c r="K29" i="22"/>
  <c r="N67" i="23"/>
  <c r="E77" i="20"/>
  <c r="D79" i="20"/>
  <c r="D78" i="20" s="1"/>
  <c r="D72" i="20"/>
  <c r="D73" i="20"/>
  <c r="C74" i="20"/>
  <c r="E33" i="20"/>
  <c r="E108" i="1"/>
  <c r="N26" i="20"/>
  <c r="P39" i="6"/>
  <c r="M26" i="20"/>
  <c r="O39" i="6"/>
  <c r="K26" i="20"/>
  <c r="M39" i="6"/>
  <c r="J26" i="20"/>
  <c r="L39" i="6"/>
  <c r="I26" i="20"/>
  <c r="K39" i="6"/>
  <c r="H26" i="20"/>
  <c r="J39" i="6"/>
  <c r="G26" i="20"/>
  <c r="I39" i="6"/>
  <c r="F26" i="20"/>
  <c r="H39" i="6"/>
  <c r="E26" i="20"/>
  <c r="G39" i="6"/>
  <c r="D26" i="20"/>
  <c r="F39" i="6"/>
  <c r="C26" i="20"/>
  <c r="E39" i="6"/>
  <c r="R28" i="20"/>
  <c r="S28" i="20" s="1"/>
  <c r="Q29" i="20"/>
  <c r="Q26" i="20"/>
  <c r="Q27" i="20" s="1"/>
  <c r="Q30" i="20" s="1"/>
  <c r="H68" i="19"/>
  <c r="G70" i="19"/>
  <c r="G69" i="19" s="1"/>
  <c r="G63" i="19"/>
  <c r="G64" i="19"/>
  <c r="D48" i="19" s="1"/>
  <c r="F65" i="19"/>
  <c r="C60" i="19" s="1"/>
  <c r="D38" i="1" s="1"/>
  <c r="H44" i="19"/>
  <c r="F154" i="1"/>
  <c r="E154" i="1"/>
  <c r="F38" i="19"/>
  <c r="F42" i="19" s="1"/>
  <c r="G34" i="19"/>
  <c r="F89" i="18"/>
  <c r="F94" i="18" s="1"/>
  <c r="F42" i="18" s="1"/>
  <c r="F46" i="18" s="1"/>
  <c r="F51" i="18" s="1"/>
  <c r="F102" i="18"/>
  <c r="D66" i="18"/>
  <c r="E64" i="18"/>
  <c r="N41" i="18"/>
  <c r="N46" i="18" s="1"/>
  <c r="N51" i="18" s="1"/>
  <c r="M46" i="18"/>
  <c r="M51" i="18" s="1"/>
  <c r="L36" i="18"/>
  <c r="K46" i="18"/>
  <c r="L29" i="18"/>
  <c r="M30" i="1"/>
  <c r="L30" i="1"/>
  <c r="J29" i="18"/>
  <c r="K30" i="1"/>
  <c r="I29" i="18"/>
  <c r="J30" i="1"/>
  <c r="H29" i="18"/>
  <c r="I30" i="1"/>
  <c r="G29" i="18"/>
  <c r="H30" i="1"/>
  <c r="F29" i="18"/>
  <c r="G30" i="1"/>
  <c r="E29" i="18"/>
  <c r="F30" i="1"/>
  <c r="D29" i="18"/>
  <c r="E30" i="1"/>
  <c r="C29" i="18"/>
  <c r="D30" i="1"/>
  <c r="B29" i="18"/>
  <c r="C30" i="1"/>
  <c r="N9" i="18"/>
  <c r="N15" i="18" s="1"/>
  <c r="N20" i="18" s="1"/>
  <c r="N10" i="18"/>
  <c r="M9" i="18"/>
  <c r="M15" i="18" s="1"/>
  <c r="M20" i="18" s="1"/>
  <c r="M10" i="18"/>
  <c r="K10" i="18"/>
  <c r="K11" i="18" s="1"/>
  <c r="L11" i="18" s="1"/>
  <c r="M11" i="18" s="1"/>
  <c r="N11" i="18" s="1"/>
  <c r="K24" i="18"/>
  <c r="K27" i="18" s="1"/>
  <c r="K73" i="16"/>
  <c r="K78" i="16" s="1"/>
  <c r="K37" i="16" s="1"/>
  <c r="K40" i="16" s="1"/>
  <c r="K45" i="16" s="1"/>
  <c r="K53" i="16" s="1"/>
  <c r="L69" i="16"/>
  <c r="N33" i="16"/>
  <c r="N40" i="16" s="1"/>
  <c r="N45" i="16" s="1"/>
  <c r="L153" i="1"/>
  <c r="J53" i="16"/>
  <c r="K153" i="1"/>
  <c r="I53" i="16"/>
  <c r="J153" i="1"/>
  <c r="H53" i="16"/>
  <c r="I153" i="1"/>
  <c r="G53" i="16"/>
  <c r="H153" i="1"/>
  <c r="F53" i="16"/>
  <c r="G153" i="1"/>
  <c r="E53" i="16"/>
  <c r="F153" i="1"/>
  <c r="D53" i="16"/>
  <c r="E153" i="1"/>
  <c r="C53" i="16"/>
  <c r="D153" i="1"/>
  <c r="J48" i="6"/>
  <c r="F26" i="16"/>
  <c r="G43" i="1"/>
  <c r="C81" i="15"/>
  <c r="C82" i="15" s="1"/>
  <c r="C86" i="15" s="1"/>
  <c r="H77" i="15"/>
  <c r="H78" i="15"/>
  <c r="E83" i="15"/>
  <c r="D86" i="15"/>
  <c r="D91" i="15" s="1"/>
  <c r="M64" i="15"/>
  <c r="M16" i="15" s="1"/>
  <c r="N141" i="1"/>
  <c r="N11" i="1"/>
  <c r="M11" i="1"/>
  <c r="M141" i="1"/>
  <c r="L141" i="1"/>
  <c r="L11" i="1"/>
  <c r="K141" i="1"/>
  <c r="K11" i="1"/>
  <c r="O11" i="1"/>
  <c r="O141" i="1"/>
  <c r="D58" i="15"/>
  <c r="E55" i="15"/>
  <c r="D150" i="1"/>
  <c r="J46" i="15"/>
  <c r="G46" i="15"/>
  <c r="H46" i="15" s="1"/>
  <c r="I46" i="15" s="1"/>
  <c r="F52" i="15"/>
  <c r="G54" i="15"/>
  <c r="G52" i="15"/>
  <c r="H44" i="15"/>
  <c r="E54" i="15"/>
  <c r="E52" i="15"/>
  <c r="D52" i="15"/>
  <c r="D54" i="15"/>
  <c r="E32" i="15"/>
  <c r="E128" i="1"/>
  <c r="G43" i="6"/>
  <c r="K6" i="1"/>
  <c r="I19" i="15"/>
  <c r="I25" i="15" s="1"/>
  <c r="J6" i="1"/>
  <c r="H27" i="15"/>
  <c r="I6" i="1"/>
  <c r="G27" i="15"/>
  <c r="H6" i="1"/>
  <c r="F27" i="15"/>
  <c r="G6" i="1"/>
  <c r="E27" i="15"/>
  <c r="F6" i="1"/>
  <c r="D27" i="15"/>
  <c r="E6" i="1"/>
  <c r="C27" i="15"/>
  <c r="D6" i="1"/>
  <c r="M9" i="15"/>
  <c r="M10" i="15"/>
  <c r="L9" i="15"/>
  <c r="L10" i="15"/>
  <c r="K9" i="15"/>
  <c r="K10" i="15" s="1"/>
  <c r="N40" i="15"/>
  <c r="N41" i="15" s="1"/>
  <c r="N8" i="15"/>
  <c r="J40" i="15"/>
  <c r="J41" i="15" s="1"/>
  <c r="J8" i="15"/>
  <c r="J10" i="15" s="1"/>
  <c r="I40" i="15"/>
  <c r="I41" i="15" s="1"/>
  <c r="I8" i="15"/>
  <c r="I10" i="15" s="1"/>
  <c r="H40" i="15"/>
  <c r="H41" i="15" s="1"/>
  <c r="H8" i="15"/>
  <c r="H10" i="15" s="1"/>
  <c r="G43" i="15"/>
  <c r="G8" i="15"/>
  <c r="G10" i="15" s="1"/>
  <c r="G40" i="15"/>
  <c r="G41" i="15" s="1"/>
  <c r="F8" i="15"/>
  <c r="F10" i="15" s="1"/>
  <c r="F40" i="15"/>
  <c r="F41" i="15" s="1"/>
  <c r="E40" i="15"/>
  <c r="E41" i="15" s="1"/>
  <c r="E8" i="15"/>
  <c r="E10" i="15" s="1"/>
  <c r="D8" i="15"/>
  <c r="D10" i="15" s="1"/>
  <c r="D40" i="15"/>
  <c r="D41" i="15" s="1"/>
  <c r="F43" i="15"/>
  <c r="C8" i="15"/>
  <c r="C10" i="15" s="1"/>
  <c r="C28" i="15" s="1"/>
  <c r="C40" i="15"/>
  <c r="C41" i="15" s="1"/>
  <c r="K44" i="15"/>
  <c r="J54" i="15"/>
  <c r="E11" i="14"/>
  <c r="D15" i="14"/>
  <c r="O8" i="14" a="1"/>
  <c r="O8" i="14" s="1"/>
  <c r="O6" i="14" a="1"/>
  <c r="O6" i="14" s="1"/>
  <c r="N6" i="14" a="1"/>
  <c r="N6" i="14" s="1"/>
  <c r="N8" i="14" a="1"/>
  <c r="N8" i="14" s="1"/>
  <c r="M6" i="14" a="1"/>
  <c r="M6" i="14" s="1"/>
  <c r="M8" i="14" a="1"/>
  <c r="M8" i="14" s="1"/>
  <c r="L6" i="14" a="1"/>
  <c r="L6" i="14" s="1"/>
  <c r="L8" i="14" a="1"/>
  <c r="L8" i="14" s="1"/>
  <c r="K8" i="14" a="1"/>
  <c r="K8" i="14" s="1"/>
  <c r="K6" i="14" a="1"/>
  <c r="K6" i="14" s="1"/>
  <c r="J8" i="14" a="1"/>
  <c r="J8" i="14" s="1"/>
  <c r="J6" i="14" a="1"/>
  <c r="J6" i="14" s="1"/>
  <c r="I8" i="14" a="1"/>
  <c r="I8" i="14" s="1"/>
  <c r="I6" i="14" a="1"/>
  <c r="I6" i="14" s="1"/>
  <c r="I5" i="14" a="1"/>
  <c r="I5" i="14" s="1"/>
  <c r="H8" i="14" a="1"/>
  <c r="H8" i="14" s="1"/>
  <c r="H5" i="14" a="1"/>
  <c r="H5" i="14" s="1"/>
  <c r="H6" i="14" a="1"/>
  <c r="H6" i="14" s="1"/>
  <c r="G5" i="14" a="1"/>
  <c r="G5" i="14" s="1"/>
  <c r="G8" i="14" a="1"/>
  <c r="G8" i="14" s="1"/>
  <c r="G6" i="14" a="1"/>
  <c r="G6" i="14" s="1"/>
  <c r="F5" i="14" a="1"/>
  <c r="F5" i="14" s="1"/>
  <c r="F8" i="14" a="1"/>
  <c r="F8" i="14" s="1"/>
  <c r="F6" i="14" a="1"/>
  <c r="F6" i="14" s="1"/>
  <c r="E5" i="14" a="1"/>
  <c r="E5" i="14" s="1"/>
  <c r="E8" i="14" a="1"/>
  <c r="E8" i="14" s="1"/>
  <c r="E6" i="14" a="1"/>
  <c r="E6" i="14" s="1"/>
  <c r="D6" i="14" a="1"/>
  <c r="D6" i="14" s="1"/>
  <c r="D5" i="14" a="1"/>
  <c r="D5" i="14" s="1"/>
  <c r="D8" i="14" a="1"/>
  <c r="D8" i="14" s="1"/>
  <c r="D41" i="13"/>
  <c r="F39" i="13"/>
  <c r="G39" i="13" s="1"/>
  <c r="H39" i="13" s="1"/>
  <c r="I39" i="13" s="1"/>
  <c r="J39" i="13" s="1"/>
  <c r="K39" i="13" s="1"/>
  <c r="L39" i="13" s="1"/>
  <c r="M39" i="13" s="1"/>
  <c r="N39" i="13" s="1"/>
  <c r="C19" i="12"/>
  <c r="L35" i="13"/>
  <c r="M123" i="1" s="1"/>
  <c r="M34" i="13"/>
  <c r="W18" i="12"/>
  <c r="X18" i="12"/>
  <c r="Z18" i="12" s="1"/>
  <c r="AB18" i="12" s="1"/>
  <c r="AD18" i="12" s="1"/>
  <c r="T17" i="12"/>
  <c r="V17" i="12" s="1"/>
  <c r="X17" i="12" s="1"/>
  <c r="Z17" i="12" s="1"/>
  <c r="AB17" i="12" s="1"/>
  <c r="AD17" i="12" s="1"/>
  <c r="R28" i="12"/>
  <c r="S16" i="12"/>
  <c r="S33" i="12" s="1"/>
  <c r="I102" i="1" s="1"/>
  <c r="T16" i="12"/>
  <c r="V16" i="12" s="1"/>
  <c r="X16" i="12" s="1"/>
  <c r="O15" i="12"/>
  <c r="P15" i="12"/>
  <c r="R15" i="12" s="1"/>
  <c r="T15" i="12" s="1"/>
  <c r="V15" i="12" s="1"/>
  <c r="X15" i="12" s="1"/>
  <c r="Z15" i="12" s="1"/>
  <c r="AB15" i="12" s="1"/>
  <c r="AD15" i="12" s="1"/>
  <c r="X14" i="12"/>
  <c r="Z14" i="12" s="1"/>
  <c r="AB14" i="12" s="1"/>
  <c r="AD14" i="12" s="1"/>
  <c r="W14" i="12"/>
  <c r="AE3" i="12"/>
  <c r="AC3" i="12"/>
  <c r="AA3" i="12"/>
  <c r="Y3" i="12"/>
  <c r="W3" i="12"/>
  <c r="U3" i="12"/>
  <c r="R12" i="12"/>
  <c r="T12" i="12" s="1"/>
  <c r="V12" i="12" s="1"/>
  <c r="X12" i="12" s="1"/>
  <c r="Z12" i="12" s="1"/>
  <c r="AB12" i="12" s="1"/>
  <c r="AD12" i="12" s="1"/>
  <c r="S3" i="12"/>
  <c r="P5" i="12"/>
  <c r="R5" i="12" s="1"/>
  <c r="T5" i="12" s="1"/>
  <c r="V5" i="12" s="1"/>
  <c r="X5" i="12" s="1"/>
  <c r="Z5" i="12" s="1"/>
  <c r="AB5" i="12" s="1"/>
  <c r="AD5" i="12" s="1"/>
  <c r="Q3" i="12"/>
  <c r="N13" i="12"/>
  <c r="P13" i="12" s="1"/>
  <c r="N11" i="12"/>
  <c r="P11" i="12" s="1"/>
  <c r="R11" i="12" s="1"/>
  <c r="T11" i="12" s="1"/>
  <c r="V11" i="12" s="1"/>
  <c r="O3" i="12"/>
  <c r="M3" i="12"/>
  <c r="K3" i="12"/>
  <c r="I3" i="12"/>
  <c r="H5" i="12"/>
  <c r="J5" i="12" s="1"/>
  <c r="L5" i="12" s="1"/>
  <c r="N5" i="12" s="1"/>
  <c r="H9" i="12"/>
  <c r="J9" i="12" s="1"/>
  <c r="L9" i="12" s="1"/>
  <c r="N9" i="12" s="1"/>
  <c r="P9" i="12" s="1"/>
  <c r="R9" i="12" s="1"/>
  <c r="T9" i="12" s="1"/>
  <c r="V9" i="12" s="1"/>
  <c r="X9" i="12" s="1"/>
  <c r="Z9" i="12" s="1"/>
  <c r="AB9" i="12" s="1"/>
  <c r="AD9" i="12" s="1"/>
  <c r="H11" i="12"/>
  <c r="J11" i="12" s="1"/>
  <c r="L11" i="12" s="1"/>
  <c r="H7" i="12"/>
  <c r="J7" i="12" s="1"/>
  <c r="L7" i="12" s="1"/>
  <c r="N7" i="12" s="1"/>
  <c r="H12" i="12"/>
  <c r="J12" i="12" s="1"/>
  <c r="L12" i="12" s="1"/>
  <c r="N12" i="12" s="1"/>
  <c r="H8" i="12"/>
  <c r="J8" i="12" s="1"/>
  <c r="L8" i="12" s="1"/>
  <c r="N8" i="12" s="1"/>
  <c r="P8" i="12" s="1"/>
  <c r="R8" i="12" s="1"/>
  <c r="T8" i="12" s="1"/>
  <c r="V8" i="12" s="1"/>
  <c r="X8" i="12" s="1"/>
  <c r="Z8" i="12" s="1"/>
  <c r="AB8" i="12" s="1"/>
  <c r="AD8" i="12" s="1"/>
  <c r="H6" i="12"/>
  <c r="J6" i="12" s="1"/>
  <c r="L6" i="12" s="1"/>
  <c r="N6" i="12" s="1"/>
  <c r="P6" i="12" s="1"/>
  <c r="R6" i="12" s="1"/>
  <c r="T6" i="12" s="1"/>
  <c r="V6" i="12" s="1"/>
  <c r="X6" i="12" s="1"/>
  <c r="Z6" i="12" s="1"/>
  <c r="AB6" i="12" s="1"/>
  <c r="AD6" i="12" s="1"/>
  <c r="H14" i="12"/>
  <c r="J14" i="12" s="1"/>
  <c r="L14" i="12" s="1"/>
  <c r="N14" i="12" s="1"/>
  <c r="H13" i="12"/>
  <c r="J13" i="12" s="1"/>
  <c r="L13" i="12" s="1"/>
  <c r="H10" i="12"/>
  <c r="J10" i="12" s="1"/>
  <c r="L10" i="12" s="1"/>
  <c r="N10" i="12" s="1"/>
  <c r="P10" i="12" s="1"/>
  <c r="R10" i="12" s="1"/>
  <c r="T10" i="12" s="1"/>
  <c r="V10" i="12" s="1"/>
  <c r="AF2" i="11"/>
  <c r="AE39" i="11" a="1"/>
  <c r="AE39" i="11" s="1"/>
  <c r="AD2" i="11"/>
  <c r="AC39" i="11" a="1"/>
  <c r="AC39" i="11" s="1"/>
  <c r="AB2" i="11"/>
  <c r="AA39" i="11" a="1"/>
  <c r="AA39" i="11" s="1"/>
  <c r="N96" i="1" s="1"/>
  <c r="Z2" i="11"/>
  <c r="Y39" i="11" a="1"/>
  <c r="Y39" i="11" s="1"/>
  <c r="L96" i="1" s="1"/>
  <c r="W39" i="11" a="1"/>
  <c r="W39" i="11" s="1"/>
  <c r="K96" i="1" s="1"/>
  <c r="X2" i="11"/>
  <c r="V2" i="11"/>
  <c r="U39" i="11" a="1"/>
  <c r="U39" i="11" s="1"/>
  <c r="J96" i="1" s="1"/>
  <c r="S21" i="11"/>
  <c r="U21" i="11" s="1"/>
  <c r="W21" i="11" s="1"/>
  <c r="Y21" i="11" s="1"/>
  <c r="S16" i="11"/>
  <c r="U16" i="11" s="1"/>
  <c r="W16" i="11" s="1"/>
  <c r="Y16" i="11" s="1"/>
  <c r="AA16" i="11" s="1"/>
  <c r="AC16" i="11" s="1"/>
  <c r="AE16" i="11" s="1"/>
  <c r="S10" i="11"/>
  <c r="U10" i="11" s="1"/>
  <c r="W10" i="11" s="1"/>
  <c r="Y10" i="11" s="1"/>
  <c r="AA10" i="11" s="1"/>
  <c r="AC10" i="11" s="1"/>
  <c r="AE10" i="11" s="1"/>
  <c r="S11" i="11"/>
  <c r="U11" i="11" s="1"/>
  <c r="W11" i="11" s="1"/>
  <c r="Y11" i="11" s="1"/>
  <c r="AA11" i="11" s="1"/>
  <c r="AC11" i="11" s="1"/>
  <c r="AE11" i="11" s="1"/>
  <c r="T2" i="11"/>
  <c r="S39" i="11" a="1"/>
  <c r="S39" i="11" s="1"/>
  <c r="I96" i="1" s="1"/>
  <c r="S15" i="11"/>
  <c r="U15" i="11" s="1"/>
  <c r="W15" i="11" s="1"/>
  <c r="Y15" i="11" s="1"/>
  <c r="AA15" i="11" s="1"/>
  <c r="AC15" i="11" s="1"/>
  <c r="AE15" i="11" s="1"/>
  <c r="R2" i="11"/>
  <c r="Q18" i="11"/>
  <c r="S18" i="11" s="1"/>
  <c r="U18" i="11" s="1"/>
  <c r="Q39" i="11" a="1"/>
  <c r="Q39" i="11" s="1"/>
  <c r="H96" i="1" s="1"/>
  <c r="O9" i="11"/>
  <c r="Q9" i="11" s="1"/>
  <c r="S9" i="11" s="1"/>
  <c r="U9" i="11" s="1"/>
  <c r="W9" i="11" s="1"/>
  <c r="Y9" i="11" s="1"/>
  <c r="AA9" i="11" s="1"/>
  <c r="AC9" i="11" s="1"/>
  <c r="AE9" i="11" s="1"/>
  <c r="O5" i="11"/>
  <c r="Q5" i="11" s="1"/>
  <c r="S5" i="11" s="1"/>
  <c r="U5" i="11" s="1"/>
  <c r="W5" i="11" s="1"/>
  <c r="O7" i="11"/>
  <c r="Q7" i="11" s="1"/>
  <c r="S7" i="11" s="1"/>
  <c r="U7" i="11" s="1"/>
  <c r="W7" i="11" s="1"/>
  <c r="Y7" i="11" s="1"/>
  <c r="AA7" i="11" s="1"/>
  <c r="AC7" i="11" s="1"/>
  <c r="AE7" i="11" s="1"/>
  <c r="O39" i="11" a="1"/>
  <c r="O39" i="11" s="1"/>
  <c r="G96" i="1" s="1"/>
  <c r="O17" i="11"/>
  <c r="Q17" i="11" s="1"/>
  <c r="S17" i="11" s="1"/>
  <c r="U17" i="11" s="1"/>
  <c r="O8" i="11"/>
  <c r="Q8" i="11" s="1"/>
  <c r="S8" i="11" s="1"/>
  <c r="U8" i="11" s="1"/>
  <c r="W8" i="11" s="1"/>
  <c r="Y8" i="11" s="1"/>
  <c r="AA8" i="11" s="1"/>
  <c r="AC8" i="11" s="1"/>
  <c r="AE8" i="11" s="1"/>
  <c r="P2" i="11"/>
  <c r="O19" i="11"/>
  <c r="Q19" i="11" s="1"/>
  <c r="S19" i="11" s="1"/>
  <c r="U19" i="11" s="1"/>
  <c r="W19" i="11" s="1"/>
  <c r="N2" i="11"/>
  <c r="M39" i="11" a="1"/>
  <c r="M39" i="11" s="1"/>
  <c r="F96" i="1" s="1"/>
  <c r="K16" i="11"/>
  <c r="M16" i="11" s="1"/>
  <c r="O16" i="11" s="1"/>
  <c r="K39" i="11" a="1"/>
  <c r="K39" i="11" s="1"/>
  <c r="E96" i="1" s="1"/>
  <c r="L2" i="11"/>
  <c r="I5" i="11"/>
  <c r="K5" i="11" s="1"/>
  <c r="M5" i="11" s="1"/>
  <c r="I25" i="11"/>
  <c r="K25" i="11" s="1"/>
  <c r="M25" i="11" s="1"/>
  <c r="O25" i="11" s="1"/>
  <c r="Q25" i="11" s="1"/>
  <c r="I7" i="11"/>
  <c r="K7" i="11" s="1"/>
  <c r="I10" i="11"/>
  <c r="K10" i="11" s="1"/>
  <c r="M10" i="11" s="1"/>
  <c r="O10" i="11" s="1"/>
  <c r="I16" i="11"/>
  <c r="I8" i="11"/>
  <c r="K8" i="11" s="1"/>
  <c r="I12" i="11"/>
  <c r="I39" i="11" a="1"/>
  <c r="I39" i="11" s="1"/>
  <c r="D96" i="1" s="1"/>
  <c r="I22" i="11"/>
  <c r="K22" i="11" s="1"/>
  <c r="M22" i="11" s="1"/>
  <c r="O22" i="11" s="1"/>
  <c r="Q22" i="11" s="1"/>
  <c r="I9" i="11"/>
  <c r="K9" i="11" s="1"/>
  <c r="I18" i="11"/>
  <c r="K18" i="11" s="1"/>
  <c r="M18" i="11" s="1"/>
  <c r="O18" i="11" s="1"/>
  <c r="I4" i="11"/>
  <c r="K4" i="11" s="1"/>
  <c r="M4" i="11" s="1"/>
  <c r="O4" i="11" s="1"/>
  <c r="I23" i="11"/>
  <c r="K23" i="11" s="1"/>
  <c r="M23" i="11" s="1"/>
  <c r="O23" i="11" s="1"/>
  <c r="Q23" i="11" s="1"/>
  <c r="I28" i="11"/>
  <c r="K28" i="11" s="1"/>
  <c r="M28" i="11" s="1"/>
  <c r="O28" i="11" s="1"/>
  <c r="Q28" i="11" s="1"/>
  <c r="S28" i="11" s="1"/>
  <c r="U28" i="11" s="1"/>
  <c r="W28" i="11" s="1"/>
  <c r="Y28" i="11" s="1"/>
  <c r="AA28" i="11" s="1"/>
  <c r="AC28" i="11" s="1"/>
  <c r="AE28" i="11" s="1"/>
  <c r="AF28" i="11" s="1"/>
  <c r="I26" i="11"/>
  <c r="K26" i="11" s="1"/>
  <c r="M26" i="11" s="1"/>
  <c r="O26" i="11" s="1"/>
  <c r="Q26" i="11" s="1"/>
  <c r="S26" i="11" s="1"/>
  <c r="U26" i="11" s="1"/>
  <c r="W26" i="11" s="1"/>
  <c r="Y26" i="11" s="1"/>
  <c r="I20" i="11"/>
  <c r="K20" i="11" s="1"/>
  <c r="M20" i="11" s="1"/>
  <c r="O20" i="11" s="1"/>
  <c r="I6" i="11"/>
  <c r="K6" i="11" s="1"/>
  <c r="M6" i="11" s="1"/>
  <c r="O6" i="11" s="1"/>
  <c r="Q6" i="11" s="1"/>
  <c r="J2" i="11"/>
  <c r="I15" i="11"/>
  <c r="K15" i="11" s="1"/>
  <c r="M15" i="11" s="1"/>
  <c r="O15" i="11" s="1"/>
  <c r="I11" i="11"/>
  <c r="K11" i="11" s="1"/>
  <c r="M11" i="11" s="1"/>
  <c r="O11" i="11" s="1"/>
  <c r="I19" i="11"/>
  <c r="K19" i="11" s="1"/>
  <c r="M19" i="11" s="1"/>
  <c r="I27" i="11"/>
  <c r="K27" i="11" s="1"/>
  <c r="M27" i="11" s="1"/>
  <c r="O27" i="11" s="1"/>
  <c r="Q27" i="11" s="1"/>
  <c r="S27" i="11" s="1"/>
  <c r="U27" i="11" s="1"/>
  <c r="W27" i="11" s="1"/>
  <c r="Y27" i="11" s="1"/>
  <c r="AA27" i="11" s="1"/>
  <c r="AC27" i="11" s="1"/>
  <c r="AE27" i="11" s="1"/>
  <c r="AF27" i="11" s="1"/>
  <c r="I21" i="11"/>
  <c r="K21" i="11" s="1"/>
  <c r="M21" i="11" s="1"/>
  <c r="O21" i="11" s="1"/>
  <c r="Q21" i="11" s="1"/>
  <c r="R21" i="11" s="1"/>
  <c r="I13" i="11"/>
  <c r="I14" i="11"/>
  <c r="I29" i="11"/>
  <c r="K29" i="11" s="1"/>
  <c r="M29" i="11" s="1"/>
  <c r="O29" i="11" s="1"/>
  <c r="Q29" i="11" s="1"/>
  <c r="I24" i="11"/>
  <c r="K24" i="11" s="1"/>
  <c r="M24" i="11" s="1"/>
  <c r="O24" i="11" s="1"/>
  <c r="Q24" i="11" s="1"/>
  <c r="I17" i="11"/>
  <c r="K17" i="11" s="1"/>
  <c r="M17" i="11" s="1"/>
  <c r="A114" i="10"/>
  <c r="D73" i="10"/>
  <c r="E73" i="10" a="1"/>
  <c r="E73" i="10" s="1"/>
  <c r="G73" i="10" s="1"/>
  <c r="H73" i="10" s="1"/>
  <c r="I73" i="10" a="1"/>
  <c r="I73" i="10" s="1"/>
  <c r="E72" i="10" a="1"/>
  <c r="E72" i="10" s="1"/>
  <c r="A113" i="10"/>
  <c r="I72" i="10" a="1"/>
  <c r="I72" i="10" s="1"/>
  <c r="G72" i="10"/>
  <c r="D72" i="10"/>
  <c r="D71" i="10"/>
  <c r="E71" i="10" a="1"/>
  <c r="E71" i="10" s="1"/>
  <c r="G71" i="10" s="1"/>
  <c r="I71" i="10" a="1"/>
  <c r="I71" i="10" s="1"/>
  <c r="A112" i="10"/>
  <c r="I70" i="10" a="1"/>
  <c r="I70" i="10" s="1"/>
  <c r="D70" i="10"/>
  <c r="E70" i="10" a="1"/>
  <c r="E70" i="10" s="1"/>
  <c r="G70" i="10" s="1"/>
  <c r="H70" i="10" s="1"/>
  <c r="A111" i="10"/>
  <c r="D69" i="10"/>
  <c r="E69" i="10" a="1"/>
  <c r="E69" i="10" s="1"/>
  <c r="G69" i="10" s="1"/>
  <c r="I69" i="10" a="1"/>
  <c r="I69" i="10" s="1"/>
  <c r="A110" i="10"/>
  <c r="D95" i="10"/>
  <c r="E95" i="10" a="1"/>
  <c r="E95" i="10" s="1"/>
  <c r="G95" i="10"/>
  <c r="I95" i="10" a="1"/>
  <c r="I95" i="10" s="1"/>
  <c r="A136" i="10"/>
  <c r="D94" i="10"/>
  <c r="E94" i="10" a="1"/>
  <c r="E94" i="10" s="1"/>
  <c r="G94" i="10" s="1"/>
  <c r="I94" i="10" a="1"/>
  <c r="I94" i="10" s="1"/>
  <c r="A135" i="10"/>
  <c r="D93" i="10"/>
  <c r="E93" i="10" a="1"/>
  <c r="E93" i="10" s="1"/>
  <c r="I93" i="10" a="1"/>
  <c r="I93" i="10" s="1"/>
  <c r="A134" i="10"/>
  <c r="L55" i="10" a="1"/>
  <c r="L55" i="10" s="1"/>
  <c r="C92" i="1" s="1"/>
  <c r="I37" i="10"/>
  <c r="J37" i="10" s="1"/>
  <c r="K37" i="10" s="1"/>
  <c r="L37" i="10" s="1"/>
  <c r="C44" i="10"/>
  <c r="C47" i="10"/>
  <c r="J55" i="10" a="1"/>
  <c r="J55" i="10" s="1"/>
  <c r="K55" i="10" a="1"/>
  <c r="K55" i="10" s="1"/>
  <c r="M55" i="10" a="1"/>
  <c r="M55" i="10" s="1"/>
  <c r="D92" i="1" s="1"/>
  <c r="N55" i="10" a="1"/>
  <c r="N55" i="10" s="1"/>
  <c r="E92" i="1" s="1"/>
  <c r="O55" i="10" a="1"/>
  <c r="O55" i="10" s="1"/>
  <c r="F92" i="1" s="1"/>
  <c r="P55" i="10" a="1"/>
  <c r="P55" i="10" s="1"/>
  <c r="G92" i="1" s="1"/>
  <c r="G37" i="10"/>
  <c r="I55" i="10" a="1"/>
  <c r="I55" i="10" s="1"/>
  <c r="D92" i="10"/>
  <c r="E92" i="10" a="1"/>
  <c r="E92" i="10" s="1"/>
  <c r="G92" i="10"/>
  <c r="I92" i="10" a="1"/>
  <c r="I92" i="10" s="1"/>
  <c r="A133" i="10"/>
  <c r="D91" i="10"/>
  <c r="E91" i="10" a="1"/>
  <c r="E91" i="10" s="1"/>
  <c r="G91" i="10" s="1"/>
  <c r="H91" i="10" s="1"/>
  <c r="I91" i="10" a="1"/>
  <c r="I91" i="10" s="1"/>
  <c r="A132" i="10"/>
  <c r="D90" i="10"/>
  <c r="E90" i="10" a="1"/>
  <c r="E90" i="10" s="1"/>
  <c r="G90" i="10" s="1"/>
  <c r="I90" i="10" a="1"/>
  <c r="I90" i="10" s="1"/>
  <c r="A131" i="10"/>
  <c r="D89" i="10"/>
  <c r="E89" i="10" a="1"/>
  <c r="E89" i="10" s="1"/>
  <c r="G89" i="10" s="1"/>
  <c r="H89" i="10" s="1"/>
  <c r="I89" i="10" a="1"/>
  <c r="I89" i="10" s="1"/>
  <c r="A130" i="10"/>
  <c r="D88" i="10"/>
  <c r="E88" i="10" a="1"/>
  <c r="E88" i="10" s="1"/>
  <c r="G88" i="10"/>
  <c r="I88" i="10" a="1"/>
  <c r="I88" i="10" s="1"/>
  <c r="A129" i="10"/>
  <c r="D87" i="10"/>
  <c r="E87" i="10" a="1"/>
  <c r="E87" i="10" s="1"/>
  <c r="G87" i="10" s="1"/>
  <c r="H87" i="10" s="1"/>
  <c r="I87" i="10" a="1"/>
  <c r="I87" i="10" s="1"/>
  <c r="A128" i="10"/>
  <c r="D86" i="10"/>
  <c r="E86" i="10" a="1"/>
  <c r="E86" i="10" s="1"/>
  <c r="G86" i="10" s="1"/>
  <c r="I86" i="10" a="1"/>
  <c r="I86" i="10" s="1"/>
  <c r="A127" i="10"/>
  <c r="D85" i="10"/>
  <c r="E85" i="10" a="1"/>
  <c r="E85" i="10" s="1"/>
  <c r="G85" i="10"/>
  <c r="I85" i="10" a="1"/>
  <c r="I85" i="10" s="1"/>
  <c r="A126" i="10"/>
  <c r="D84" i="10"/>
  <c r="E84" i="10" a="1"/>
  <c r="E84" i="10" s="1"/>
  <c r="G84" i="10" s="1"/>
  <c r="I84" i="10" a="1"/>
  <c r="I84" i="10" s="1"/>
  <c r="A125" i="10"/>
  <c r="D83" i="10"/>
  <c r="E83" i="10" a="1"/>
  <c r="E83" i="10" s="1"/>
  <c r="G83" i="10" s="1"/>
  <c r="H83" i="10" s="1"/>
  <c r="I83" i="10" a="1"/>
  <c r="I83" i="10" s="1"/>
  <c r="A124" i="10"/>
  <c r="D82" i="10"/>
  <c r="E82" i="10" a="1"/>
  <c r="E82" i="10" s="1"/>
  <c r="G82" i="10"/>
  <c r="I82" i="10" a="1"/>
  <c r="I82" i="10" s="1"/>
  <c r="A123" i="10"/>
  <c r="D81" i="10"/>
  <c r="E81" i="10" a="1"/>
  <c r="E81" i="10" s="1"/>
  <c r="G81" i="10"/>
  <c r="I81" i="10" a="1"/>
  <c r="I81" i="10" s="1"/>
  <c r="A122" i="10"/>
  <c r="D80" i="10"/>
  <c r="E80" i="10" a="1"/>
  <c r="E80" i="10" s="1"/>
  <c r="G80" i="10"/>
  <c r="I80" i="10" a="1"/>
  <c r="I80" i="10" s="1"/>
  <c r="A121" i="10"/>
  <c r="D79" i="10"/>
  <c r="E79" i="10" a="1"/>
  <c r="E79" i="10" s="1"/>
  <c r="G79" i="10"/>
  <c r="I79" i="10" a="1"/>
  <c r="I79" i="10" s="1"/>
  <c r="A120" i="10"/>
  <c r="D78" i="10"/>
  <c r="E78" i="10" a="1"/>
  <c r="E78" i="10" s="1"/>
  <c r="G78" i="10"/>
  <c r="I78" i="10" a="1"/>
  <c r="I78" i="10" s="1"/>
  <c r="A119" i="10"/>
  <c r="D77" i="10"/>
  <c r="E77" i="10" a="1"/>
  <c r="E77" i="10" s="1"/>
  <c r="G77" i="10"/>
  <c r="I77" i="10" a="1"/>
  <c r="I77" i="10" s="1"/>
  <c r="A118" i="10"/>
  <c r="D76" i="10"/>
  <c r="E76" i="10" a="1"/>
  <c r="E76" i="10" s="1"/>
  <c r="G76" i="10"/>
  <c r="I76" i="10" a="1"/>
  <c r="I76" i="10" s="1"/>
  <c r="A117" i="10"/>
  <c r="D75" i="10"/>
  <c r="E75" i="10" a="1"/>
  <c r="E75" i="10" s="1"/>
  <c r="G75" i="10"/>
  <c r="I75" i="10" a="1"/>
  <c r="I75" i="10" s="1"/>
  <c r="A116" i="10"/>
  <c r="D74" i="10"/>
  <c r="E74" i="10" a="1"/>
  <c r="E74" i="10" s="1"/>
  <c r="G74" i="10"/>
  <c r="I74" i="10" a="1"/>
  <c r="I74" i="10" s="1"/>
  <c r="A115" i="10"/>
  <c r="D68" i="10"/>
  <c r="E68" i="10" a="1"/>
  <c r="E68" i="10" s="1"/>
  <c r="G68" i="10"/>
  <c r="I68" i="10" a="1"/>
  <c r="I68" i="10" s="1"/>
  <c r="A109" i="10"/>
  <c r="D67" i="10"/>
  <c r="E67" i="10" a="1"/>
  <c r="E67" i="10" s="1"/>
  <c r="G67" i="10"/>
  <c r="I67" i="10" a="1"/>
  <c r="I67" i="10" s="1"/>
  <c r="A108" i="10"/>
  <c r="D66" i="10"/>
  <c r="E66" i="10" a="1"/>
  <c r="E66" i="10" s="1"/>
  <c r="G66" i="10"/>
  <c r="I66" i="10" a="1"/>
  <c r="I66" i="10" s="1"/>
  <c r="A107" i="10"/>
  <c r="D65" i="10"/>
  <c r="E65" i="10" a="1"/>
  <c r="E65" i="10" s="1"/>
  <c r="G65" i="10"/>
  <c r="I65" i="10" a="1"/>
  <c r="I65" i="10" s="1"/>
  <c r="A106" i="10"/>
  <c r="D64" i="10"/>
  <c r="E64" i="10" a="1"/>
  <c r="E64" i="10" s="1"/>
  <c r="G64" i="10"/>
  <c r="I64" i="10" a="1"/>
  <c r="I64" i="10" s="1"/>
  <c r="A105" i="10"/>
  <c r="D63" i="10"/>
  <c r="E63" i="10" a="1"/>
  <c r="E63" i="10" s="1"/>
  <c r="G63" i="10"/>
  <c r="I63" i="10" a="1"/>
  <c r="I63" i="10" s="1"/>
  <c r="A104" i="10"/>
  <c r="D62" i="10"/>
  <c r="E62" i="10" a="1"/>
  <c r="E62" i="10" s="1"/>
  <c r="G62" i="10" s="1"/>
  <c r="I62" i="10" a="1"/>
  <c r="I62" i="10" s="1"/>
  <c r="A103" i="10"/>
  <c r="D61" i="10"/>
  <c r="E61" i="10" a="1"/>
  <c r="E61" i="10" s="1"/>
  <c r="I61" i="10" a="1"/>
  <c r="I61" i="10" s="1"/>
  <c r="A102" i="10"/>
  <c r="S55" i="10" a="1"/>
  <c r="S55" i="10" s="1"/>
  <c r="J92" i="1" s="1"/>
  <c r="E97" i="10" a="1"/>
  <c r="E97" i="10" s="1"/>
  <c r="I5" i="10"/>
  <c r="Q55" i="10" a="1"/>
  <c r="Q55" i="10" s="1"/>
  <c r="H92" i="1" s="1"/>
  <c r="R55" i="10" a="1"/>
  <c r="R55" i="10" s="1"/>
  <c r="I92" i="1" s="1"/>
  <c r="T55" i="10" a="1"/>
  <c r="T55" i="10" s="1"/>
  <c r="K92" i="1" s="1"/>
  <c r="U55" i="10" a="1"/>
  <c r="U55" i="10" s="1"/>
  <c r="L92" i="1" s="1"/>
  <c r="V55" i="10" a="1"/>
  <c r="V55" i="10" s="1"/>
  <c r="M92" i="1" s="1"/>
  <c r="W55" i="10" a="1"/>
  <c r="W55" i="10" s="1"/>
  <c r="N92" i="1" s="1"/>
  <c r="X55" i="10" a="1"/>
  <c r="X55" i="10" s="1"/>
  <c r="O92" i="1" s="1"/>
  <c r="G5" i="10"/>
  <c r="D49" i="9"/>
  <c r="C25" i="9"/>
  <c r="D25" i="9" s="1"/>
  <c r="E25" i="9" s="1"/>
  <c r="F25" i="9" s="1"/>
  <c r="G25" i="9" s="1"/>
  <c r="H25" i="9" s="1"/>
  <c r="I25" i="9" s="1"/>
  <c r="J25" i="9" s="1"/>
  <c r="K25" i="9" s="1"/>
  <c r="L25" i="9" s="1"/>
  <c r="M25" i="9" s="1"/>
  <c r="N25" i="9" s="1"/>
  <c r="C51" i="9"/>
  <c r="C26" i="9"/>
  <c r="C42" i="9" a="1"/>
  <c r="C42" i="9" s="1"/>
  <c r="D42" i="9" s="1" a="1"/>
  <c r="D42" i="9" s="1"/>
  <c r="E42" i="9" s="1" a="1"/>
  <c r="E42" i="9" s="1"/>
  <c r="F42" i="9" s="1" a="1"/>
  <c r="F42" i="9" s="1"/>
  <c r="G42" i="9" s="1" a="1"/>
  <c r="G42" i="9" s="1"/>
  <c r="H42" i="9" s="1" a="1"/>
  <c r="H42" i="9" s="1"/>
  <c r="I42" i="9" s="1" a="1"/>
  <c r="I42" i="9" s="1"/>
  <c r="J42" i="9" s="1" a="1"/>
  <c r="J42" i="9" s="1"/>
  <c r="K42" i="9" s="1" a="1"/>
  <c r="K42" i="9" s="1"/>
  <c r="L42" i="9" s="1" a="1"/>
  <c r="L42" i="9" s="1"/>
  <c r="M42" i="9" s="1" a="1"/>
  <c r="M42" i="9" s="1"/>
  <c r="N42" i="9" s="1" a="1"/>
  <c r="N42" i="9" s="1"/>
  <c r="C41" i="9" a="1"/>
  <c r="C41" i="9" s="1"/>
  <c r="D41" i="9" s="1" a="1"/>
  <c r="D41" i="9" s="1"/>
  <c r="E41" i="9" s="1" a="1"/>
  <c r="E41" i="9" s="1"/>
  <c r="F41" i="9" s="1" a="1"/>
  <c r="F41" i="9" s="1"/>
  <c r="G41" i="9" s="1" a="1"/>
  <c r="G41" i="9" s="1"/>
  <c r="H41" i="9" s="1" a="1"/>
  <c r="H41" i="9" s="1"/>
  <c r="I41" i="9" s="1" a="1"/>
  <c r="I41" i="9" s="1"/>
  <c r="J41" i="9" s="1" a="1"/>
  <c r="J41" i="9" s="1"/>
  <c r="K41" i="9" s="1" a="1"/>
  <c r="K41" i="9" s="1"/>
  <c r="L41" i="9" s="1" a="1"/>
  <c r="L41" i="9" s="1"/>
  <c r="M41" i="9" s="1" a="1"/>
  <c r="M41" i="9" s="1"/>
  <c r="N41" i="9" s="1" a="1"/>
  <c r="N41" i="9" s="1"/>
  <c r="N20" i="9"/>
  <c r="N13" i="9"/>
  <c r="N14" i="9" s="1"/>
  <c r="O129" i="1" s="1"/>
  <c r="M13" i="9"/>
  <c r="M14" i="9" s="1"/>
  <c r="N129" i="1" s="1"/>
  <c r="M20" i="9"/>
  <c r="L13" i="9"/>
  <c r="L14" i="9" s="1"/>
  <c r="M129" i="1" s="1"/>
  <c r="L20" i="9"/>
  <c r="K13" i="9"/>
  <c r="K14" i="9" s="1"/>
  <c r="L129" i="1" s="1"/>
  <c r="K20" i="9"/>
  <c r="J13" i="9"/>
  <c r="J14" i="9" s="1"/>
  <c r="K129" i="1" s="1"/>
  <c r="J20" i="9"/>
  <c r="I13" i="9"/>
  <c r="I14" i="9" s="1"/>
  <c r="J129" i="1" s="1"/>
  <c r="I20" i="9"/>
  <c r="H13" i="9"/>
  <c r="H14" i="9" s="1"/>
  <c r="I129" i="1" s="1"/>
  <c r="H20" i="9"/>
  <c r="G20" i="9"/>
  <c r="G13" i="9"/>
  <c r="G14" i="9" s="1"/>
  <c r="H129" i="1" s="1"/>
  <c r="E13" i="9"/>
  <c r="E14" i="9" s="1"/>
  <c r="F129" i="1" s="1"/>
  <c r="E20" i="9"/>
  <c r="D13" i="9"/>
  <c r="D14" i="9" s="1"/>
  <c r="E129" i="1" s="1"/>
  <c r="D20" i="9"/>
  <c r="C20" i="9"/>
  <c r="C13" i="9"/>
  <c r="C14" i="9" s="1"/>
  <c r="D129" i="1" s="1"/>
  <c r="F13" i="9"/>
  <c r="F14" i="9" s="1"/>
  <c r="G129" i="1" s="1"/>
  <c r="F20" i="9"/>
  <c r="E66" i="6"/>
  <c r="C11" i="8"/>
  <c r="D11" i="8" s="1"/>
  <c r="E11" i="8" s="1"/>
  <c r="F11" i="8" s="1"/>
  <c r="G11" i="8" s="1"/>
  <c r="H11" i="8" s="1"/>
  <c r="I11" i="8" s="1"/>
  <c r="J11" i="8" s="1"/>
  <c r="K11" i="8" s="1"/>
  <c r="L11" i="8" s="1"/>
  <c r="M11" i="8" s="1"/>
  <c r="N11" i="8" s="1"/>
  <c r="D104" i="1"/>
  <c r="P60" i="6"/>
  <c r="O60" i="6"/>
  <c r="N60" i="6"/>
  <c r="M60" i="6"/>
  <c r="L60" i="6"/>
  <c r="K60" i="6"/>
  <c r="J60" i="6"/>
  <c r="I60" i="6"/>
  <c r="H60" i="6"/>
  <c r="G60" i="6"/>
  <c r="F60" i="6"/>
  <c r="E60" i="6"/>
  <c r="P66" i="6"/>
  <c r="O66" i="6"/>
  <c r="N66" i="6"/>
  <c r="M66" i="6"/>
  <c r="L66" i="6"/>
  <c r="K66" i="6"/>
  <c r="J66" i="6"/>
  <c r="I66" i="6"/>
  <c r="H66" i="6"/>
  <c r="G66" i="6"/>
  <c r="F66" i="6"/>
  <c r="P63" i="6"/>
  <c r="O63" i="6"/>
  <c r="N63" i="6"/>
  <c r="M63" i="6"/>
  <c r="L63" i="6"/>
  <c r="K63" i="6"/>
  <c r="J63" i="6"/>
  <c r="I63" i="6"/>
  <c r="H63" i="6"/>
  <c r="G63" i="6"/>
  <c r="F63" i="6"/>
  <c r="E63" i="6"/>
  <c r="P36" i="4"/>
  <c r="P47" i="4" s="1"/>
  <c r="O36" i="4"/>
  <c r="O47" i="4" s="1"/>
  <c r="N36" i="4"/>
  <c r="N47" i="4" s="1"/>
  <c r="M36" i="4"/>
  <c r="M47" i="4" s="1"/>
  <c r="L36" i="4"/>
  <c r="L47" i="4" s="1"/>
  <c r="K36" i="4"/>
  <c r="K47" i="4" s="1"/>
  <c r="J36" i="4"/>
  <c r="J47" i="4" s="1"/>
  <c r="I36" i="4"/>
  <c r="I47" i="4" s="1"/>
  <c r="H36" i="4"/>
  <c r="H47" i="4" s="1"/>
  <c r="G36" i="4"/>
  <c r="G47" i="4" s="1"/>
  <c r="F36" i="4"/>
  <c r="F47" i="4" s="1"/>
  <c r="E36" i="4"/>
  <c r="E47" i="4" s="1"/>
  <c r="M29" i="4"/>
  <c r="L29" i="4"/>
  <c r="K29" i="4"/>
  <c r="J29" i="4"/>
  <c r="I29" i="4"/>
  <c r="H29" i="4"/>
  <c r="G29" i="4"/>
  <c r="F29" i="4"/>
  <c r="E29" i="4"/>
  <c r="P21" i="4"/>
  <c r="P20" i="4" s="1"/>
  <c r="O21" i="4"/>
  <c r="O20" i="4" s="1"/>
  <c r="N21" i="4"/>
  <c r="N20" i="4" s="1"/>
  <c r="M21" i="4"/>
  <c r="M20" i="4" s="1"/>
  <c r="L21" i="4"/>
  <c r="L20" i="4" s="1"/>
  <c r="K21" i="4"/>
  <c r="K20" i="4" s="1"/>
  <c r="J21" i="4"/>
  <c r="J20" i="4" s="1"/>
  <c r="I21" i="4"/>
  <c r="I20" i="4" s="1"/>
  <c r="H21" i="4"/>
  <c r="H20" i="4" s="1"/>
  <c r="G21" i="4"/>
  <c r="G20" i="4" s="1"/>
  <c r="F21" i="4"/>
  <c r="F20" i="4" s="1"/>
  <c r="E21" i="4"/>
  <c r="E20" i="4" s="1"/>
  <c r="K19" i="4"/>
  <c r="K18" i="4" s="1"/>
  <c r="J19" i="4"/>
  <c r="J18" i="4" s="1"/>
  <c r="E19" i="4"/>
  <c r="E18" i="4" s="1"/>
  <c r="P65" i="6"/>
  <c r="O65" i="6"/>
  <c r="N65" i="6"/>
  <c r="K65" i="6"/>
  <c r="G65" i="6"/>
  <c r="F65" i="6"/>
  <c r="E65" i="6"/>
  <c r="P64" i="6"/>
  <c r="O64" i="6"/>
  <c r="N64" i="6"/>
  <c r="J64" i="6"/>
  <c r="G64" i="6"/>
  <c r="F64" i="6"/>
  <c r="P58" i="6"/>
  <c r="N58" i="6"/>
  <c r="P42" i="4"/>
  <c r="O42" i="4"/>
  <c r="N42" i="4"/>
  <c r="M42" i="4"/>
  <c r="L42" i="4"/>
  <c r="K42" i="4"/>
  <c r="J42" i="4"/>
  <c r="I42" i="4"/>
  <c r="H42" i="4"/>
  <c r="G42" i="4"/>
  <c r="F42" i="4"/>
  <c r="E42" i="4"/>
  <c r="P11" i="6"/>
  <c r="P13" i="6" s="1"/>
  <c r="O11" i="6"/>
  <c r="O13" i="6" s="1"/>
  <c r="N11" i="6"/>
  <c r="N13" i="6" s="1"/>
  <c r="M11" i="6"/>
  <c r="M13" i="6" s="1"/>
  <c r="L11" i="6"/>
  <c r="L13" i="6" s="1"/>
  <c r="K11" i="6"/>
  <c r="K13" i="6" s="1"/>
  <c r="J11" i="6"/>
  <c r="J13" i="6" s="1"/>
  <c r="I11" i="6"/>
  <c r="I13" i="6" s="1"/>
  <c r="H11" i="6"/>
  <c r="H13" i="6" s="1"/>
  <c r="G11" i="6"/>
  <c r="G13" i="6" s="1"/>
  <c r="F11" i="6"/>
  <c r="F13" i="6" s="1"/>
  <c r="E11" i="6"/>
  <c r="E13" i="6" s="1"/>
  <c r="P48" i="6"/>
  <c r="O48" i="6"/>
  <c r="N48" i="6"/>
  <c r="M48" i="6"/>
  <c r="L48" i="6"/>
  <c r="K48" i="6"/>
  <c r="I48" i="6"/>
  <c r="H48" i="6"/>
  <c r="G48" i="6"/>
  <c r="F48" i="6"/>
  <c r="E48" i="6"/>
  <c r="P40" i="6"/>
  <c r="O40" i="6"/>
  <c r="N40" i="6"/>
  <c r="M40" i="6"/>
  <c r="L40" i="6"/>
  <c r="K40" i="6"/>
  <c r="J40" i="6"/>
  <c r="I40" i="6"/>
  <c r="G40" i="6"/>
  <c r="F40" i="6"/>
  <c r="E40" i="6"/>
  <c r="P17" i="4"/>
  <c r="P16" i="4" s="1"/>
  <c r="O17" i="4"/>
  <c r="O16" i="4" s="1"/>
  <c r="N17" i="4"/>
  <c r="N16" i="4" s="1"/>
  <c r="M17" i="4"/>
  <c r="M16" i="4" s="1"/>
  <c r="L17" i="4"/>
  <c r="L16" i="4" s="1"/>
  <c r="P46" i="6"/>
  <c r="O46" i="6"/>
  <c r="N46" i="6"/>
  <c r="M46" i="6"/>
  <c r="L46" i="6"/>
  <c r="K46" i="6"/>
  <c r="J46" i="6"/>
  <c r="I46" i="6"/>
  <c r="H46" i="6"/>
  <c r="G46" i="6"/>
  <c r="F46" i="6"/>
  <c r="E46" i="6"/>
  <c r="P38" i="6"/>
  <c r="O38" i="6"/>
  <c r="N38" i="6"/>
  <c r="M38" i="6"/>
  <c r="K38" i="6"/>
  <c r="J38" i="6"/>
  <c r="I38" i="6"/>
  <c r="H38" i="6"/>
  <c r="G38" i="6"/>
  <c r="F38" i="6"/>
  <c r="E38" i="6"/>
  <c r="P45" i="6"/>
  <c r="O45" i="6"/>
  <c r="N45" i="6"/>
  <c r="L45" i="6"/>
  <c r="K45" i="6"/>
  <c r="J45" i="6"/>
  <c r="I45" i="6"/>
  <c r="H45" i="6"/>
  <c r="G45" i="6"/>
  <c r="F45" i="6"/>
  <c r="E45" i="6"/>
  <c r="P43" i="6"/>
  <c r="O43" i="6"/>
  <c r="O49" i="6" s="1"/>
  <c r="N43" i="6"/>
  <c r="M43" i="6"/>
  <c r="J43" i="6"/>
  <c r="J49" i="6" s="1"/>
  <c r="I43" i="6"/>
  <c r="I49" i="6" s="1"/>
  <c r="H43" i="6"/>
  <c r="H49" i="6" s="1"/>
  <c r="F43" i="6"/>
  <c r="F49" i="6" s="1"/>
  <c r="E43" i="6"/>
  <c r="E49" i="6" s="1"/>
  <c r="J123" i="17"/>
  <c r="K124" i="17"/>
  <c r="G132" i="17"/>
  <c r="F132" i="17"/>
  <c r="C132" i="17"/>
  <c r="E132" i="17"/>
  <c r="D132" i="17"/>
  <c r="I120" i="17"/>
  <c r="K120" i="17"/>
  <c r="N120" i="17"/>
  <c r="R120" i="17"/>
  <c r="I118" i="17"/>
  <c r="J118" i="17" s="1"/>
  <c r="K118" i="17" s="1"/>
  <c r="L118" i="17" s="1"/>
  <c r="M118" i="17" s="1"/>
  <c r="N118" i="17" s="1"/>
  <c r="O118" i="17" s="1"/>
  <c r="P118" i="17" s="1"/>
  <c r="Q118" i="17" s="1"/>
  <c r="R118" i="17" s="1"/>
  <c r="S118" i="17" s="1"/>
  <c r="T118" i="17" s="1"/>
  <c r="U118" i="17" s="1"/>
  <c r="J120" i="17"/>
  <c r="M120" i="17"/>
  <c r="U120" i="17"/>
  <c r="U119" i="17" s="1"/>
  <c r="P120" i="17"/>
  <c r="T120" i="17"/>
  <c r="T119" i="17" s="1"/>
  <c r="O120" i="17"/>
  <c r="L120" i="17"/>
  <c r="Q120" i="17"/>
  <c r="Q119" i="17" s="1"/>
  <c r="H120" i="17"/>
  <c r="S120" i="17"/>
  <c r="S119" i="17" s="1"/>
  <c r="U130" i="17"/>
  <c r="U131" i="17"/>
  <c r="T130" i="17"/>
  <c r="T131" i="17"/>
  <c r="S130" i="17"/>
  <c r="S131" i="17"/>
  <c r="R130" i="17"/>
  <c r="R131" i="17"/>
  <c r="Q131" i="17"/>
  <c r="Q130" i="17"/>
  <c r="P131" i="17"/>
  <c r="P130" i="17"/>
  <c r="O131" i="17"/>
  <c r="O130" i="17"/>
  <c r="N130" i="17"/>
  <c r="N131" i="17"/>
  <c r="M130" i="17"/>
  <c r="M131" i="17"/>
  <c r="L131" i="17"/>
  <c r="L130" i="17"/>
  <c r="K129" i="17"/>
  <c r="K131" i="17"/>
  <c r="K130" i="17"/>
  <c r="J129" i="17"/>
  <c r="J131" i="17"/>
  <c r="J130" i="17"/>
  <c r="I131" i="17"/>
  <c r="I129" i="17"/>
  <c r="I130" i="17"/>
  <c r="D62" i="17"/>
  <c r="G112" i="17"/>
  <c r="G113" i="17" s="1"/>
  <c r="G109" i="17"/>
  <c r="F113" i="17"/>
  <c r="D61" i="17" s="1"/>
  <c r="F109" i="17"/>
  <c r="E113" i="17"/>
  <c r="E109" i="17"/>
  <c r="D109" i="17"/>
  <c r="D113" i="17"/>
  <c r="C109" i="17"/>
  <c r="C113" i="17"/>
  <c r="E60" i="17"/>
  <c r="E79" i="17"/>
  <c r="H96" i="17"/>
  <c r="F101" i="17"/>
  <c r="G95" i="17"/>
  <c r="B83" i="17"/>
  <c r="G44" i="13"/>
  <c r="K64" i="17"/>
  <c r="C24" i="1"/>
  <c r="C71" i="17"/>
  <c r="C75" i="17"/>
  <c r="C76" i="17" s="1"/>
  <c r="C69" i="17"/>
  <c r="N51" i="17"/>
  <c r="M52" i="17"/>
  <c r="G151" i="1"/>
  <c r="I54" i="17"/>
  <c r="F151" i="1"/>
  <c r="H54" i="17"/>
  <c r="G54" i="17"/>
  <c r="E151" i="1"/>
  <c r="F54" i="17"/>
  <c r="D151" i="1"/>
  <c r="E54" i="17"/>
  <c r="C151" i="1"/>
  <c r="J49" i="17"/>
  <c r="K45" i="17"/>
  <c r="D128" i="1"/>
  <c r="G34" i="17"/>
  <c r="H34" i="17" s="1"/>
  <c r="I34" i="17" s="1"/>
  <c r="J34" i="17" s="1"/>
  <c r="K34" i="17" s="1"/>
  <c r="L34" i="17" s="1"/>
  <c r="M34" i="17" s="1"/>
  <c r="N34" i="17" s="1"/>
  <c r="O34" i="17" s="1"/>
  <c r="P34" i="17" s="1"/>
  <c r="Q34" i="17" s="1"/>
  <c r="P44" i="6"/>
  <c r="O44" i="6"/>
  <c r="M44" i="6"/>
  <c r="L44" i="6"/>
  <c r="K44" i="6"/>
  <c r="J44" i="6"/>
  <c r="I44" i="6"/>
  <c r="H44" i="6"/>
  <c r="G44" i="6"/>
  <c r="F44" i="6"/>
  <c r="E44" i="6"/>
  <c r="O16" i="1"/>
  <c r="Q30" i="17"/>
  <c r="P30" i="17"/>
  <c r="N16" i="1"/>
  <c r="M16" i="1"/>
  <c r="N9" i="17"/>
  <c r="N10" i="17"/>
  <c r="E9" i="17"/>
  <c r="E15" i="17" s="1"/>
  <c r="E10" i="17"/>
  <c r="E11" i="17" s="1"/>
  <c r="D9" i="17"/>
  <c r="C9" i="17"/>
  <c r="C15" i="17" s="1"/>
  <c r="C19" i="17" s="1"/>
  <c r="C30" i="17" s="1"/>
  <c r="C10" i="17"/>
  <c r="Q40" i="17"/>
  <c r="Q41" i="17" s="1"/>
  <c r="Q44" i="17" s="1"/>
  <c r="Q49" i="17" s="1"/>
  <c r="Q37" i="17"/>
  <c r="P40" i="17"/>
  <c r="P41" i="17" s="1"/>
  <c r="P44" i="17" s="1"/>
  <c r="P49" i="17" s="1"/>
  <c r="P37" i="17"/>
  <c r="O40" i="17"/>
  <c r="O41" i="17" s="1"/>
  <c r="O44" i="17" s="1"/>
  <c r="O37" i="17"/>
  <c r="M40" i="17"/>
  <c r="M41" i="17" s="1"/>
  <c r="M8" i="17"/>
  <c r="L40" i="17"/>
  <c r="L41" i="17" s="1"/>
  <c r="L8" i="17"/>
  <c r="K8" i="17"/>
  <c r="K40" i="17"/>
  <c r="K41" i="17" s="1"/>
  <c r="J40" i="17"/>
  <c r="J8" i="17"/>
  <c r="I40" i="17"/>
  <c r="I8" i="17"/>
  <c r="H40" i="17"/>
  <c r="H8" i="17"/>
  <c r="G8" i="17"/>
  <c r="G40" i="17"/>
  <c r="F8" i="17"/>
  <c r="F40" i="17"/>
  <c r="F112" i="24"/>
  <c r="E112" i="24"/>
  <c r="D112" i="24"/>
  <c r="C112" i="24"/>
  <c r="C113" i="24" s="1"/>
  <c r="B112" i="24"/>
  <c r="B113" i="24" s="1"/>
  <c r="H65" i="24"/>
  <c r="H45" i="24"/>
  <c r="I45" i="24" s="1"/>
  <c r="J45" i="24" s="1"/>
  <c r="K45" i="24" s="1"/>
  <c r="L45" i="24" s="1"/>
  <c r="M45" i="24" s="1"/>
  <c r="N45" i="24" s="1"/>
  <c r="H28" i="24"/>
  <c r="B53" i="23"/>
  <c r="B77" i="23" s="1"/>
  <c r="B80" i="23" s="1"/>
  <c r="D9" i="19"/>
  <c r="E9" i="19" s="1"/>
  <c r="F9" i="19" s="1"/>
  <c r="G9" i="19" s="1"/>
  <c r="H9" i="19"/>
  <c r="I9" i="19" s="1"/>
  <c r="J9" i="19" s="1"/>
  <c r="K9" i="19" s="1"/>
  <c r="L9" i="19" s="1"/>
  <c r="M9" i="19" s="1"/>
  <c r="N9" i="19" s="1"/>
  <c r="J94" i="18"/>
  <c r="J42" i="18" s="1"/>
  <c r="J46" i="18" s="1"/>
  <c r="J51" i="18" s="1"/>
  <c r="I94" i="18"/>
  <c r="I42" i="18" s="1"/>
  <c r="I46" i="18" s="1"/>
  <c r="I51" i="18" s="1"/>
  <c r="H94" i="18"/>
  <c r="H42" i="18" s="1"/>
  <c r="H46" i="18" s="1"/>
  <c r="H51" i="18" s="1"/>
  <c r="G94" i="18"/>
  <c r="G42" i="18" s="1"/>
  <c r="G46" i="18" s="1"/>
  <c r="G51" i="18" s="1"/>
  <c r="E94" i="18"/>
  <c r="E42" i="18" s="1"/>
  <c r="E46" i="18" s="1"/>
  <c r="E51" i="18" s="1"/>
  <c r="D94" i="18"/>
  <c r="D42" i="18" s="1"/>
  <c r="D46" i="18" s="1"/>
  <c r="D51" i="18" s="1"/>
  <c r="C94" i="18"/>
  <c r="C42" i="18" s="1"/>
  <c r="C46" i="18" s="1"/>
  <c r="C51" i="18" s="1"/>
  <c r="B94" i="18"/>
  <c r="B42" i="18" s="1"/>
  <c r="B46" i="18" s="1"/>
  <c r="B51" i="18" s="1"/>
  <c r="G26" i="22" l="1"/>
  <c r="H54" i="1" s="1"/>
  <c r="K42" i="25"/>
  <c r="R78" i="25"/>
  <c r="R93" i="25" s="1"/>
  <c r="Q93" i="25"/>
  <c r="Q77" i="25"/>
  <c r="P84" i="25"/>
  <c r="I73" i="25"/>
  <c r="H93" i="25"/>
  <c r="Q72" i="25"/>
  <c r="P92" i="25"/>
  <c r="I72" i="25"/>
  <c r="H92" i="25"/>
  <c r="Q71" i="25"/>
  <c r="P91" i="25"/>
  <c r="I71" i="25"/>
  <c r="H91" i="25"/>
  <c r="Q70" i="25"/>
  <c r="P90" i="25"/>
  <c r="I70" i="25"/>
  <c r="H90" i="25"/>
  <c r="Q69" i="25"/>
  <c r="P89" i="25"/>
  <c r="Q68" i="25"/>
  <c r="P88" i="25"/>
  <c r="J68" i="25"/>
  <c r="J88" i="25" s="1"/>
  <c r="I88" i="25"/>
  <c r="K26" i="22"/>
  <c r="L54" i="1" s="1"/>
  <c r="O42" i="25"/>
  <c r="Q67" i="25"/>
  <c r="P74" i="25"/>
  <c r="P87" i="25"/>
  <c r="P95" i="25" s="1"/>
  <c r="C26" i="22"/>
  <c r="D54" i="1" s="1"/>
  <c r="G42" i="25"/>
  <c r="I67" i="25"/>
  <c r="H74" i="25"/>
  <c r="H87" i="25"/>
  <c r="H95" i="25" s="1"/>
  <c r="N6" i="22"/>
  <c r="M6" i="22"/>
  <c r="P34" i="25"/>
  <c r="L6" i="22"/>
  <c r="O34" i="25"/>
  <c r="K6" i="22"/>
  <c r="N34" i="25"/>
  <c r="J6" i="22"/>
  <c r="M34" i="25"/>
  <c r="I6" i="22"/>
  <c r="L34" i="25"/>
  <c r="H6" i="22"/>
  <c r="K34" i="25"/>
  <c r="G6" i="22"/>
  <c r="J58" i="25"/>
  <c r="G80" i="1"/>
  <c r="I58" i="25"/>
  <c r="F80" i="1"/>
  <c r="H58" i="25"/>
  <c r="E80" i="1"/>
  <c r="G58" i="25"/>
  <c r="D80" i="1"/>
  <c r="F58" i="25"/>
  <c r="C80" i="1"/>
  <c r="J51" i="25"/>
  <c r="G77" i="1"/>
  <c r="I51" i="25"/>
  <c r="F77" i="1"/>
  <c r="H51" i="25"/>
  <c r="E77" i="1"/>
  <c r="G51" i="25"/>
  <c r="D77" i="1"/>
  <c r="F51" i="25"/>
  <c r="F54" i="25" s="1"/>
  <c r="C77" i="1"/>
  <c r="R23" i="25"/>
  <c r="Q24" i="25"/>
  <c r="Q25" i="25"/>
  <c r="P38" i="25"/>
  <c r="P57" i="25" s="1"/>
  <c r="M81" i="1" s="1"/>
  <c r="P56" i="25"/>
  <c r="O38" i="25"/>
  <c r="O57" i="25" s="1"/>
  <c r="L81" i="1" s="1"/>
  <c r="O56" i="25"/>
  <c r="N38" i="25"/>
  <c r="N57" i="25" s="1"/>
  <c r="K81" i="1" s="1"/>
  <c r="N56" i="25"/>
  <c r="M38" i="25"/>
  <c r="M57" i="25" s="1"/>
  <c r="J81" i="1" s="1"/>
  <c r="M56" i="25"/>
  <c r="L38" i="25"/>
  <c r="L57" i="25" s="1"/>
  <c r="I81" i="1" s="1"/>
  <c r="L56" i="25"/>
  <c r="K26" i="25"/>
  <c r="L26" i="25" s="1"/>
  <c r="M26" i="25" s="1"/>
  <c r="N26" i="25" s="1"/>
  <c r="O26" i="25" s="1"/>
  <c r="P26" i="25" s="1"/>
  <c r="K38" i="25"/>
  <c r="K57" i="25" s="1"/>
  <c r="H81" i="1" s="1"/>
  <c r="K56" i="25"/>
  <c r="J52" i="25"/>
  <c r="G78" i="1"/>
  <c r="I52" i="25"/>
  <c r="F78" i="1"/>
  <c r="H52" i="25"/>
  <c r="E78" i="1"/>
  <c r="G52" i="25"/>
  <c r="D78" i="1"/>
  <c r="Q133" i="24"/>
  <c r="P143" i="24"/>
  <c r="P129" i="24"/>
  <c r="O153" i="24"/>
  <c r="M128" i="24"/>
  <c r="L152" i="24"/>
  <c r="I128" i="24"/>
  <c r="H152" i="24"/>
  <c r="M127" i="24"/>
  <c r="L151" i="24"/>
  <c r="I127" i="24"/>
  <c r="H151" i="24"/>
  <c r="M126" i="24"/>
  <c r="L150" i="24"/>
  <c r="I126" i="24"/>
  <c r="H150" i="24"/>
  <c r="M125" i="24"/>
  <c r="L149" i="24"/>
  <c r="I125" i="24"/>
  <c r="H149" i="24"/>
  <c r="M124" i="24"/>
  <c r="L148" i="24"/>
  <c r="I124" i="24"/>
  <c r="H148" i="24"/>
  <c r="M123" i="24"/>
  <c r="L147" i="24"/>
  <c r="I123" i="24"/>
  <c r="H147" i="24"/>
  <c r="M122" i="24"/>
  <c r="L146" i="24"/>
  <c r="I122" i="24"/>
  <c r="H146" i="24"/>
  <c r="K156" i="24"/>
  <c r="B170" i="24"/>
  <c r="C170" i="24"/>
  <c r="D170" i="24"/>
  <c r="E170" i="24"/>
  <c r="F170" i="24"/>
  <c r="G170" i="24"/>
  <c r="H170" i="24"/>
  <c r="I170" i="24"/>
  <c r="J170" i="24"/>
  <c r="M121" i="24"/>
  <c r="L131" i="24"/>
  <c r="L145" i="24"/>
  <c r="L156" i="24" s="1"/>
  <c r="C27" i="22"/>
  <c r="D55" i="1" s="1"/>
  <c r="G95" i="24"/>
  <c r="I121" i="24"/>
  <c r="H131" i="24"/>
  <c r="H145" i="24"/>
  <c r="H156" i="24" s="1"/>
  <c r="G111" i="24"/>
  <c r="C64" i="22"/>
  <c r="C59" i="22"/>
  <c r="D87" i="1"/>
  <c r="H104" i="24"/>
  <c r="E84" i="1"/>
  <c r="H76" i="24"/>
  <c r="D7" i="22"/>
  <c r="G104" i="24"/>
  <c r="D84" i="1"/>
  <c r="G76" i="24"/>
  <c r="C7" i="22"/>
  <c r="C9" i="22" s="1"/>
  <c r="F104" i="24"/>
  <c r="C84" i="1"/>
  <c r="F102" i="24"/>
  <c r="F105" i="24"/>
  <c r="C85" i="1"/>
  <c r="E102" i="24"/>
  <c r="E105" i="24"/>
  <c r="E108" i="24" s="1"/>
  <c r="D102" i="24"/>
  <c r="D105" i="24"/>
  <c r="D108" i="24" s="1"/>
  <c r="C102" i="24"/>
  <c r="C105" i="24"/>
  <c r="C108" i="24" s="1"/>
  <c r="B102" i="24"/>
  <c r="B105" i="24"/>
  <c r="B108" i="24" s="1"/>
  <c r="J104" i="24"/>
  <c r="G84" i="1"/>
  <c r="J76" i="24"/>
  <c r="F7" i="22"/>
  <c r="K74" i="24"/>
  <c r="K70" i="24"/>
  <c r="I104" i="24"/>
  <c r="F84" i="1"/>
  <c r="I76" i="24"/>
  <c r="E7" i="22"/>
  <c r="N109" i="23"/>
  <c r="M112" i="23"/>
  <c r="Q103" i="23"/>
  <c r="Q115" i="23" s="1"/>
  <c r="R99" i="23"/>
  <c r="R123" i="23" s="1"/>
  <c r="Q123" i="23"/>
  <c r="P98" i="23"/>
  <c r="O122" i="23"/>
  <c r="O96" i="23"/>
  <c r="N120" i="23"/>
  <c r="L97" i="23"/>
  <c r="L120" i="23"/>
  <c r="I96" i="23"/>
  <c r="H120" i="23"/>
  <c r="O95" i="23"/>
  <c r="N119" i="23"/>
  <c r="I95" i="23"/>
  <c r="H119" i="23"/>
  <c r="O94" i="23"/>
  <c r="N118" i="23"/>
  <c r="I94" i="23"/>
  <c r="H118" i="23"/>
  <c r="O93" i="23"/>
  <c r="N117" i="23"/>
  <c r="I93" i="23"/>
  <c r="H117" i="23"/>
  <c r="O92" i="23"/>
  <c r="N116" i="23"/>
  <c r="I92" i="23"/>
  <c r="H116" i="23"/>
  <c r="H35" i="23"/>
  <c r="H36" i="23" s="1"/>
  <c r="S115" i="23"/>
  <c r="R91" i="23"/>
  <c r="M115" i="23"/>
  <c r="L115" i="23"/>
  <c r="B137" i="23"/>
  <c r="C137" i="23"/>
  <c r="K124" i="23"/>
  <c r="D137" i="23"/>
  <c r="X93" i="23" s="1"/>
  <c r="E137" i="23"/>
  <c r="X94" i="23" s="1"/>
  <c r="Y94" i="23" s="1"/>
  <c r="F137" i="23"/>
  <c r="X95" i="23" s="1"/>
  <c r="Y95" i="23" s="1"/>
  <c r="G137" i="23"/>
  <c r="X96" i="23" s="1"/>
  <c r="Y96" i="23" s="1"/>
  <c r="H137" i="23"/>
  <c r="X97" i="23" s="1"/>
  <c r="Y97" i="23" s="1"/>
  <c r="I137" i="23"/>
  <c r="N115" i="23"/>
  <c r="C25" i="22"/>
  <c r="G68" i="23"/>
  <c r="I48" i="23"/>
  <c r="H62" i="23"/>
  <c r="X100" i="23"/>
  <c r="G12" i="22"/>
  <c r="F77" i="23"/>
  <c r="F80" i="23" s="1"/>
  <c r="C68" i="1" s="1"/>
  <c r="C66" i="1"/>
  <c r="G77" i="23"/>
  <c r="D66" i="1"/>
  <c r="J21" i="23"/>
  <c r="J22" i="23" s="1"/>
  <c r="I21" i="23"/>
  <c r="I22" i="23" s="1"/>
  <c r="H21" i="23"/>
  <c r="H22" i="23" s="1"/>
  <c r="H19" i="23"/>
  <c r="I19" i="23" s="1"/>
  <c r="J19" i="23" s="1"/>
  <c r="G63" i="23"/>
  <c r="G83" i="23"/>
  <c r="D70" i="1" s="1"/>
  <c r="D69" i="1"/>
  <c r="C58" i="22"/>
  <c r="G59" i="23"/>
  <c r="G78" i="23"/>
  <c r="D67" i="1"/>
  <c r="M6" i="23"/>
  <c r="L15" i="23"/>
  <c r="L17" i="23"/>
  <c r="K21" i="23"/>
  <c r="K22" i="23" s="1"/>
  <c r="Z105" i="23"/>
  <c r="Z107" i="23" s="1"/>
  <c r="Q5" i="23"/>
  <c r="R12" i="23"/>
  <c r="M95" i="22"/>
  <c r="L103" i="22"/>
  <c r="M92" i="22"/>
  <c r="L112" i="22"/>
  <c r="M91" i="22"/>
  <c r="L111" i="22"/>
  <c r="M90" i="22"/>
  <c r="L110" i="22"/>
  <c r="K89" i="22"/>
  <c r="J109" i="22"/>
  <c r="E89" i="22"/>
  <c r="D109" i="22"/>
  <c r="K88" i="22"/>
  <c r="J108" i="22"/>
  <c r="F88" i="22"/>
  <c r="F108" i="22" s="1"/>
  <c r="E108" i="22"/>
  <c r="K87" i="22"/>
  <c r="J107" i="22"/>
  <c r="K86" i="22"/>
  <c r="J106" i="22"/>
  <c r="F86" i="22"/>
  <c r="E93" i="22"/>
  <c r="E106" i="22"/>
  <c r="I93" i="22"/>
  <c r="I105" i="22"/>
  <c r="H93" i="22"/>
  <c r="H105" i="22"/>
  <c r="K85" i="22"/>
  <c r="J93" i="22"/>
  <c r="J105" i="22"/>
  <c r="B137" i="22"/>
  <c r="C137" i="22"/>
  <c r="G113" i="22"/>
  <c r="D137" i="22"/>
  <c r="E137" i="22"/>
  <c r="F137" i="22"/>
  <c r="G137" i="22"/>
  <c r="H137" i="22"/>
  <c r="I137" i="22"/>
  <c r="G44" i="22"/>
  <c r="K44" i="22"/>
  <c r="L58" i="1" s="1"/>
  <c r="L44" i="22"/>
  <c r="M58" i="1" s="1"/>
  <c r="M44" i="22"/>
  <c r="N58" i="1" s="1"/>
  <c r="N44" i="22"/>
  <c r="O58" i="1" s="1"/>
  <c r="C46" i="22"/>
  <c r="D58" i="1"/>
  <c r="J43" i="22"/>
  <c r="L31" i="22"/>
  <c r="O71" i="23"/>
  <c r="O98" i="24"/>
  <c r="O45" i="25"/>
  <c r="L57" i="1"/>
  <c r="L29" i="22"/>
  <c r="O67" i="23"/>
  <c r="O94" i="24"/>
  <c r="O41" i="25"/>
  <c r="L61" i="1"/>
  <c r="F77" i="20"/>
  <c r="E79" i="20"/>
  <c r="E78" i="20" s="1"/>
  <c r="E72" i="20"/>
  <c r="E73" i="20"/>
  <c r="D74" i="20"/>
  <c r="F33" i="20"/>
  <c r="G108" i="1" s="1"/>
  <c r="F108" i="1"/>
  <c r="F19" i="4"/>
  <c r="F18" i="4" s="1"/>
  <c r="G33" i="20"/>
  <c r="H108" i="1" s="1"/>
  <c r="J33" i="20"/>
  <c r="I68" i="19"/>
  <c r="H70" i="19"/>
  <c r="H69" i="19" s="1"/>
  <c r="H63" i="19"/>
  <c r="H64" i="19"/>
  <c r="E48" i="19" s="1"/>
  <c r="G65" i="19"/>
  <c r="D47" i="19"/>
  <c r="I44" i="19"/>
  <c r="G154" i="1"/>
  <c r="H34" i="19"/>
  <c r="G38" i="19"/>
  <c r="G42" i="19" s="1"/>
  <c r="G152" i="1"/>
  <c r="F58" i="18"/>
  <c r="F62" i="18" s="1"/>
  <c r="F64" i="18"/>
  <c r="E66" i="18"/>
  <c r="M58" i="18"/>
  <c r="M62" i="18" s="1"/>
  <c r="N152" i="1"/>
  <c r="L46" i="18"/>
  <c r="L35" i="18"/>
  <c r="K51" i="18"/>
  <c r="K53" i="18"/>
  <c r="N37" i="6"/>
  <c r="M37" i="6"/>
  <c r="L37" i="6"/>
  <c r="K37" i="6"/>
  <c r="J37" i="6"/>
  <c r="I37" i="6"/>
  <c r="H37" i="6"/>
  <c r="G37" i="6"/>
  <c r="F37" i="6"/>
  <c r="E37" i="6"/>
  <c r="N29" i="18"/>
  <c r="O30" i="1"/>
  <c r="M29" i="18"/>
  <c r="N30" i="1"/>
  <c r="M69" i="16"/>
  <c r="M73" i="16" s="1"/>
  <c r="M78" i="16" s="1"/>
  <c r="M37" i="16" s="1"/>
  <c r="L73" i="16"/>
  <c r="L78" i="16" s="1"/>
  <c r="L37" i="16" s="1"/>
  <c r="L40" i="16" s="1"/>
  <c r="L45" i="16" s="1"/>
  <c r="O153" i="1"/>
  <c r="K56" i="16"/>
  <c r="K61" i="16" s="1"/>
  <c r="L45" i="1"/>
  <c r="J56" i="16"/>
  <c r="J61" i="16" s="1"/>
  <c r="K45" i="1"/>
  <c r="I56" i="16"/>
  <c r="I61" i="16" s="1"/>
  <c r="J45" i="1"/>
  <c r="H56" i="16"/>
  <c r="H61" i="16" s="1"/>
  <c r="I45" i="1"/>
  <c r="G56" i="16"/>
  <c r="G61" i="16" s="1"/>
  <c r="H45" i="1"/>
  <c r="F56" i="16"/>
  <c r="F61" i="16" s="1"/>
  <c r="G45" i="1"/>
  <c r="E56" i="16"/>
  <c r="E61" i="16" s="1"/>
  <c r="F45" i="1"/>
  <c r="D56" i="16"/>
  <c r="D61" i="16" s="1"/>
  <c r="E45" i="1"/>
  <c r="C56" i="16"/>
  <c r="C61" i="16" s="1"/>
  <c r="D45" i="1"/>
  <c r="H40" i="6"/>
  <c r="C87" i="15"/>
  <c r="C91" i="15"/>
  <c r="H81" i="15"/>
  <c r="C62" i="15" s="1"/>
  <c r="C63" i="15" s="1"/>
  <c r="H82" i="15"/>
  <c r="D62" i="15" s="1"/>
  <c r="D63" i="15" s="1"/>
  <c r="J82" i="15"/>
  <c r="K82" i="15"/>
  <c r="L82" i="15"/>
  <c r="M82" i="15"/>
  <c r="H83" i="15"/>
  <c r="E62" i="15" s="1"/>
  <c r="H84" i="15"/>
  <c r="H93" i="15" s="1"/>
  <c r="F62" i="15" s="1"/>
  <c r="E92" i="15"/>
  <c r="D94" i="15"/>
  <c r="D97" i="15" s="1"/>
  <c r="E98" i="15" s="1"/>
  <c r="E141" i="1"/>
  <c r="E11" i="1"/>
  <c r="F55" i="15"/>
  <c r="E58" i="15"/>
  <c r="E63" i="15"/>
  <c r="G150" i="1"/>
  <c r="H150" i="1"/>
  <c r="I44" i="15"/>
  <c r="H52" i="15"/>
  <c r="H54" i="15"/>
  <c r="E68" i="15"/>
  <c r="F150" i="1"/>
  <c r="D68" i="15"/>
  <c r="E150" i="1"/>
  <c r="F32" i="15"/>
  <c r="F128" i="1"/>
  <c r="F30" i="6"/>
  <c r="L35" i="6"/>
  <c r="K35" i="6"/>
  <c r="J35" i="6"/>
  <c r="I35" i="6"/>
  <c r="H35" i="6"/>
  <c r="G35" i="6"/>
  <c r="F35" i="6"/>
  <c r="E35" i="6"/>
  <c r="M12" i="15"/>
  <c r="M17" i="15" s="1"/>
  <c r="N8" i="1"/>
  <c r="L12" i="15"/>
  <c r="L17" i="15" s="1"/>
  <c r="M8" i="1"/>
  <c r="K12" i="15"/>
  <c r="K17" i="15" s="1"/>
  <c r="L8" i="1"/>
  <c r="N9" i="15"/>
  <c r="N10" i="15"/>
  <c r="L44" i="15"/>
  <c r="K52" i="15"/>
  <c r="K54" i="15"/>
  <c r="F11" i="14"/>
  <c r="E15" i="14"/>
  <c r="D17" i="14"/>
  <c r="D73" i="1" s="1"/>
  <c r="D19" i="14"/>
  <c r="E147" i="1" s="1"/>
  <c r="D72" i="1"/>
  <c r="J19" i="12"/>
  <c r="L19" i="12" s="1"/>
  <c r="N19" i="12" s="1"/>
  <c r="P19" i="12" s="1"/>
  <c r="R19" i="12" s="1"/>
  <c r="T19" i="12" s="1"/>
  <c r="V19" i="12" s="1"/>
  <c r="H29" i="12" a="1"/>
  <c r="H29" i="12" s="1"/>
  <c r="D101" i="1" s="1"/>
  <c r="L29" i="12" a="1"/>
  <c r="L29" i="12" s="1"/>
  <c r="F101" i="1" s="1"/>
  <c r="Z29" i="12" a="1"/>
  <c r="Z29" i="12" s="1"/>
  <c r="M101" i="1" s="1"/>
  <c r="AD29" i="12" a="1"/>
  <c r="AD29" i="12" s="1"/>
  <c r="O101" i="1" s="1"/>
  <c r="J29" i="12" a="1"/>
  <c r="J29" i="12" s="1"/>
  <c r="E101" i="1" s="1"/>
  <c r="R29" i="12" a="1"/>
  <c r="R29" i="12" s="1"/>
  <c r="I101" i="1" s="1"/>
  <c r="AB29" i="12" a="1"/>
  <c r="AB29" i="12" s="1"/>
  <c r="N101" i="1" s="1"/>
  <c r="T29" i="12" a="1"/>
  <c r="T29" i="12" s="1"/>
  <c r="J101" i="1" s="1"/>
  <c r="N29" i="4"/>
  <c r="N34" i="13"/>
  <c r="N35" i="13" s="1"/>
  <c r="O123" i="1" s="1"/>
  <c r="M35" i="13"/>
  <c r="N123" i="1" s="1"/>
  <c r="J65" i="6"/>
  <c r="Y16" i="12"/>
  <c r="Z16" i="12"/>
  <c r="AB16" i="12" s="1"/>
  <c r="AD16" i="12" s="1"/>
  <c r="P28" i="12"/>
  <c r="N24" i="12"/>
  <c r="L23" i="12"/>
  <c r="F100" i="1" s="1"/>
  <c r="L24" i="12"/>
  <c r="J23" i="12"/>
  <c r="E100" i="1" s="1"/>
  <c r="J24" i="12"/>
  <c r="H24" i="12"/>
  <c r="H23" i="12"/>
  <c r="D100" i="1" s="1"/>
  <c r="O58" i="6"/>
  <c r="M58" i="6"/>
  <c r="L58" i="6"/>
  <c r="K58" i="6"/>
  <c r="J58" i="6"/>
  <c r="I58" i="6"/>
  <c r="H58" i="6"/>
  <c r="P4" i="11"/>
  <c r="G58" i="6"/>
  <c r="F58" i="6"/>
  <c r="E58" i="6"/>
  <c r="I33" i="11"/>
  <c r="D95" i="1" s="1"/>
  <c r="I34" i="11"/>
  <c r="C114" i="10" a="1"/>
  <c r="C114" i="10" s="1"/>
  <c r="D114" i="10" a="1"/>
  <c r="D114" i="10" s="1"/>
  <c r="E114" i="10" a="1"/>
  <c r="E114" i="10" s="1"/>
  <c r="F114" i="10" a="1"/>
  <c r="F114" i="10" s="1"/>
  <c r="G114" i="10" a="1"/>
  <c r="G114" i="10" s="1"/>
  <c r="H114" i="10" s="1" a="1"/>
  <c r="H114" i="10" s="1"/>
  <c r="A160" i="10"/>
  <c r="C113" i="10" a="1"/>
  <c r="C113" i="10" s="1"/>
  <c r="D113" i="10" a="1"/>
  <c r="D113" i="10" s="1"/>
  <c r="E113" i="10" a="1"/>
  <c r="E113" i="10" s="1"/>
  <c r="F113" i="10" a="1"/>
  <c r="F113" i="10" s="1"/>
  <c r="G113" i="10" a="1"/>
  <c r="G113" i="10" s="1"/>
  <c r="H113" i="10" a="1"/>
  <c r="H113" i="10" s="1"/>
  <c r="I113" i="10" a="1"/>
  <c r="I113" i="10" s="1"/>
  <c r="J113" i="10" a="1"/>
  <c r="J113" i="10" s="1"/>
  <c r="K113" i="10" a="1"/>
  <c r="K113" i="10" s="1"/>
  <c r="L113" i="10" a="1"/>
  <c r="L113" i="10" s="1"/>
  <c r="M113" i="10" a="1"/>
  <c r="M113" i="10" s="1"/>
  <c r="N113" i="10" a="1"/>
  <c r="N113" i="10" s="1"/>
  <c r="A159" i="10"/>
  <c r="C112" i="10" a="1"/>
  <c r="C112" i="10" s="1"/>
  <c r="D112" i="10" a="1"/>
  <c r="D112" i="10" s="1"/>
  <c r="E112" i="10" a="1"/>
  <c r="E112" i="10" s="1"/>
  <c r="F112" i="10" a="1"/>
  <c r="F112" i="10" s="1"/>
  <c r="G112" i="10" a="1"/>
  <c r="G112" i="10" s="1"/>
  <c r="H112" i="10" a="1"/>
  <c r="H112" i="10" s="1"/>
  <c r="I112" i="10" a="1"/>
  <c r="I112" i="10" s="1"/>
  <c r="J112" i="10" a="1"/>
  <c r="J112" i="10" s="1"/>
  <c r="K112" i="10" a="1"/>
  <c r="K112" i="10" s="1"/>
  <c r="L112" i="10" a="1"/>
  <c r="L112" i="10" s="1"/>
  <c r="M112" i="10" a="1"/>
  <c r="M112" i="10" s="1"/>
  <c r="N112" i="10" a="1"/>
  <c r="N112" i="10" s="1"/>
  <c r="A158" i="10"/>
  <c r="C111" i="10" a="1"/>
  <c r="C111" i="10" s="1"/>
  <c r="D111" i="10" a="1"/>
  <c r="D111" i="10" s="1"/>
  <c r="E111" i="10" a="1"/>
  <c r="E111" i="10" s="1"/>
  <c r="F111" i="10" a="1"/>
  <c r="F111" i="10" s="1"/>
  <c r="G111" i="10" a="1"/>
  <c r="G111" i="10" s="1"/>
  <c r="H111" i="10" a="1"/>
  <c r="H111" i="10" s="1"/>
  <c r="I111" i="10" a="1"/>
  <c r="I111" i="10" s="1"/>
  <c r="J111" i="10" a="1"/>
  <c r="J111" i="10" s="1"/>
  <c r="K111" i="10" a="1"/>
  <c r="K111" i="10" s="1"/>
  <c r="L111" i="10" a="1"/>
  <c r="L111" i="10" s="1"/>
  <c r="M111" i="10" a="1"/>
  <c r="M111" i="10" s="1"/>
  <c r="N111" i="10" a="1"/>
  <c r="N111" i="10" s="1"/>
  <c r="A157" i="10"/>
  <c r="C110" i="10" a="1"/>
  <c r="C110" i="10" s="1"/>
  <c r="D110" i="10" a="1"/>
  <c r="D110" i="10" s="1"/>
  <c r="E110" i="10" a="1"/>
  <c r="E110" i="10" s="1"/>
  <c r="F110" i="10" a="1"/>
  <c r="F110" i="10" s="1"/>
  <c r="G110" i="10" a="1"/>
  <c r="G110" i="10" s="1"/>
  <c r="H110" i="10" s="1" a="1"/>
  <c r="H110" i="10" s="1"/>
  <c r="A156" i="10"/>
  <c r="C136" i="10" a="1"/>
  <c r="C136" i="10" s="1"/>
  <c r="D136" i="10" s="1" a="1"/>
  <c r="D136" i="10" s="1"/>
  <c r="G136" i="10" a="1"/>
  <c r="G136" i="10" s="1"/>
  <c r="H136" i="10" a="1"/>
  <c r="H136" i="10" s="1"/>
  <c r="I136" i="10" a="1"/>
  <c r="I136" i="10" s="1"/>
  <c r="J136" i="10" a="1"/>
  <c r="J136" i="10" s="1"/>
  <c r="K136" i="10" s="1" a="1"/>
  <c r="K136" i="10" s="1"/>
  <c r="A182" i="10"/>
  <c r="J94" i="10"/>
  <c r="C135" i="10" a="1"/>
  <c r="C135" i="10" s="1"/>
  <c r="D135" i="10" a="1"/>
  <c r="D135" i="10" s="1"/>
  <c r="E135" i="10" a="1"/>
  <c r="E135" i="10" s="1"/>
  <c r="F135" i="10" a="1"/>
  <c r="F135" i="10" s="1"/>
  <c r="G135" i="10" a="1"/>
  <c r="G135" i="10" s="1"/>
  <c r="H135" i="10" a="1"/>
  <c r="H135" i="10" s="1"/>
  <c r="I135" i="10" a="1"/>
  <c r="I135" i="10" s="1"/>
  <c r="J135" i="10" a="1"/>
  <c r="J135" i="10" s="1"/>
  <c r="K135" i="10" a="1"/>
  <c r="K135" i="10" s="1"/>
  <c r="L135" i="10" a="1"/>
  <c r="L135" i="10" s="1"/>
  <c r="M135" i="10" a="1"/>
  <c r="M135" i="10" s="1"/>
  <c r="N135" i="10" a="1"/>
  <c r="N135" i="10" s="1"/>
  <c r="A181" i="10"/>
  <c r="J93" i="10"/>
  <c r="K93" i="10"/>
  <c r="C134" i="10" a="1"/>
  <c r="C134" i="10" s="1"/>
  <c r="D134" i="10" a="1"/>
  <c r="D134" i="10" s="1"/>
  <c r="E134" i="10" a="1"/>
  <c r="E134" i="10" s="1"/>
  <c r="F134" i="10" a="1"/>
  <c r="F134" i="10" s="1"/>
  <c r="G134" i="10" a="1"/>
  <c r="G134" i="10" s="1"/>
  <c r="H134" i="10" a="1"/>
  <c r="H134" i="10" s="1"/>
  <c r="I134" i="10" a="1"/>
  <c r="I134" i="10" s="1"/>
  <c r="J134" i="10" a="1"/>
  <c r="J134" i="10" s="1"/>
  <c r="K134" i="10" s="1" a="1"/>
  <c r="K134" i="10" s="1"/>
  <c r="A180" i="10"/>
  <c r="E57" i="6"/>
  <c r="F57" i="6"/>
  <c r="G57" i="6"/>
  <c r="H57" i="6"/>
  <c r="C133" i="10" a="1"/>
  <c r="C133" i="10" s="1"/>
  <c r="D133" i="10" a="1"/>
  <c r="D133" i="10" s="1"/>
  <c r="E133" i="10" a="1"/>
  <c r="E133" i="10" s="1"/>
  <c r="F133" i="10" a="1"/>
  <c r="F133" i="10" s="1"/>
  <c r="G133" i="10" a="1"/>
  <c r="G133" i="10" s="1"/>
  <c r="H133" i="10" a="1"/>
  <c r="H133" i="10" s="1"/>
  <c r="I133" i="10" a="1"/>
  <c r="I133" i="10" s="1"/>
  <c r="J133" i="10" a="1"/>
  <c r="J133" i="10" s="1"/>
  <c r="K133" i="10" a="1"/>
  <c r="K133" i="10" s="1"/>
  <c r="L133" i="10" a="1"/>
  <c r="L133" i="10" s="1"/>
  <c r="M133" i="10" a="1"/>
  <c r="M133" i="10" s="1"/>
  <c r="N133" i="10" a="1"/>
  <c r="N133" i="10" s="1"/>
  <c r="A179" i="10"/>
  <c r="C132" i="10" a="1"/>
  <c r="C132" i="10" s="1"/>
  <c r="D132" i="10" a="1"/>
  <c r="D132" i="10" s="1"/>
  <c r="E132" i="10" a="1"/>
  <c r="E132" i="10" s="1"/>
  <c r="F132" i="10" a="1"/>
  <c r="F132" i="10" s="1"/>
  <c r="G132" i="10" a="1"/>
  <c r="G132" i="10" s="1"/>
  <c r="H132" i="10" a="1"/>
  <c r="H132" i="10" s="1"/>
  <c r="I132" i="10" a="1"/>
  <c r="I132" i="10" s="1"/>
  <c r="J132" i="10" a="1"/>
  <c r="J132" i="10" s="1"/>
  <c r="K132" i="10" a="1"/>
  <c r="K132" i="10" s="1"/>
  <c r="L132" i="10" a="1"/>
  <c r="L132" i="10" s="1"/>
  <c r="M132" i="10" a="1"/>
  <c r="M132" i="10" s="1"/>
  <c r="N132" i="10" a="1"/>
  <c r="N132" i="10" s="1"/>
  <c r="A178" i="10"/>
  <c r="C131" i="10" a="1"/>
  <c r="C131" i="10" s="1"/>
  <c r="D131" i="10" a="1"/>
  <c r="D131" i="10" s="1"/>
  <c r="E131" i="10" a="1"/>
  <c r="E131" i="10" s="1"/>
  <c r="F131" i="10" a="1"/>
  <c r="F131" i="10" s="1"/>
  <c r="G131" i="10" s="1" a="1"/>
  <c r="G131" i="10" s="1"/>
  <c r="A177" i="10"/>
  <c r="C130" i="10" a="1"/>
  <c r="C130" i="10" s="1"/>
  <c r="D130" i="10" s="1" a="1"/>
  <c r="D130" i="10" s="1"/>
  <c r="A176" i="10"/>
  <c r="C129" i="10" a="1"/>
  <c r="C129" i="10" s="1"/>
  <c r="D129" i="10" s="1" a="1"/>
  <c r="D129" i="10" s="1"/>
  <c r="A175" i="10"/>
  <c r="C128" i="10" a="1"/>
  <c r="C128" i="10" s="1"/>
  <c r="D128" i="10" s="1" a="1"/>
  <c r="D128" i="10" s="1"/>
  <c r="A174" i="10"/>
  <c r="J86" i="10"/>
  <c r="K86" i="10"/>
  <c r="C127" i="10" a="1"/>
  <c r="C127" i="10" s="1"/>
  <c r="D127" i="10" a="1"/>
  <c r="D127" i="10" s="1"/>
  <c r="E127" i="10" a="1"/>
  <c r="E127" i="10" s="1"/>
  <c r="F127" i="10" a="1"/>
  <c r="F127" i="10" s="1"/>
  <c r="G127" i="10" a="1"/>
  <c r="G127" i="10" s="1"/>
  <c r="H127" i="10" a="1"/>
  <c r="H127" i="10" s="1"/>
  <c r="I127" i="10" a="1"/>
  <c r="I127" i="10" s="1"/>
  <c r="J127" i="10" a="1"/>
  <c r="J127" i="10" s="1"/>
  <c r="K127" i="10" a="1"/>
  <c r="K127" i="10" s="1"/>
  <c r="L127" i="10" a="1"/>
  <c r="L127" i="10" s="1"/>
  <c r="M127" i="10" a="1"/>
  <c r="M127" i="10" s="1"/>
  <c r="N127" i="10" a="1"/>
  <c r="N127" i="10" s="1"/>
  <c r="A173" i="10"/>
  <c r="C126" i="10" a="1"/>
  <c r="C126" i="10" s="1"/>
  <c r="D126" i="10" a="1"/>
  <c r="D126" i="10" s="1"/>
  <c r="E126" i="10" a="1"/>
  <c r="E126" i="10" s="1"/>
  <c r="F126" i="10" a="1"/>
  <c r="F126" i="10" s="1"/>
  <c r="G126" i="10" a="1"/>
  <c r="G126" i="10" s="1"/>
  <c r="H126" i="10" a="1"/>
  <c r="H126" i="10" s="1"/>
  <c r="I126" i="10" a="1"/>
  <c r="I126" i="10" s="1"/>
  <c r="J126" i="10" s="1" a="1"/>
  <c r="J126" i="10" s="1"/>
  <c r="A172" i="10"/>
  <c r="C125" i="10" a="1"/>
  <c r="C125" i="10" s="1"/>
  <c r="D125" i="10" a="1"/>
  <c r="D125" i="10" s="1"/>
  <c r="E125" i="10" a="1"/>
  <c r="E125" i="10" s="1"/>
  <c r="F125" i="10" a="1"/>
  <c r="F125" i="10" s="1"/>
  <c r="G125" i="10" a="1"/>
  <c r="G125" i="10" s="1"/>
  <c r="H125" i="10" a="1"/>
  <c r="H125" i="10" s="1"/>
  <c r="I125" i="10" a="1"/>
  <c r="I125" i="10" s="1"/>
  <c r="J125" i="10" a="1"/>
  <c r="J125" i="10" s="1"/>
  <c r="K125" i="10" a="1"/>
  <c r="K125" i="10" s="1"/>
  <c r="L125" i="10" a="1"/>
  <c r="L125" i="10" s="1"/>
  <c r="M125" i="10" a="1"/>
  <c r="M125" i="10" s="1"/>
  <c r="N125" i="10" a="1"/>
  <c r="N125" i="10" s="1"/>
  <c r="A171" i="10"/>
  <c r="C124" i="10" a="1"/>
  <c r="C124" i="10" s="1"/>
  <c r="D124" i="10" a="1"/>
  <c r="D124" i="10" s="1"/>
  <c r="E124" i="10" a="1"/>
  <c r="E124" i="10" s="1"/>
  <c r="F124" i="10" a="1"/>
  <c r="F124" i="10" s="1"/>
  <c r="G124" i="10" a="1"/>
  <c r="G124" i="10" s="1"/>
  <c r="H124" i="10" a="1"/>
  <c r="H124" i="10" s="1"/>
  <c r="I124" i="10" a="1"/>
  <c r="I124" i="10" s="1"/>
  <c r="J124" i="10" a="1"/>
  <c r="J124" i="10" s="1"/>
  <c r="K124" i="10" a="1"/>
  <c r="K124" i="10" s="1"/>
  <c r="L124" i="10" a="1"/>
  <c r="L124" i="10" s="1"/>
  <c r="M124" i="10" a="1"/>
  <c r="M124" i="10" s="1"/>
  <c r="N124" i="10" a="1"/>
  <c r="N124" i="10" s="1"/>
  <c r="A170" i="10"/>
  <c r="C123" i="10" a="1"/>
  <c r="C123" i="10" s="1"/>
  <c r="D123" i="10" a="1"/>
  <c r="D123" i="10" s="1"/>
  <c r="E123" i="10" a="1"/>
  <c r="E123" i="10" s="1"/>
  <c r="F123" i="10" a="1"/>
  <c r="F123" i="10" s="1"/>
  <c r="G123" i="10" a="1"/>
  <c r="G123" i="10" s="1"/>
  <c r="H123" i="10" a="1"/>
  <c r="H123" i="10" s="1"/>
  <c r="I123" i="10" a="1"/>
  <c r="I123" i="10" s="1"/>
  <c r="J123" i="10" a="1"/>
  <c r="J123" i="10" s="1"/>
  <c r="K123" i="10" a="1"/>
  <c r="K123" i="10" s="1"/>
  <c r="L123" i="10" a="1"/>
  <c r="L123" i="10" s="1"/>
  <c r="M123" i="10" a="1"/>
  <c r="M123" i="10" s="1"/>
  <c r="N123" i="10" a="1"/>
  <c r="N123" i="10" s="1"/>
  <c r="A169" i="10"/>
  <c r="C122" i="10" a="1"/>
  <c r="C122" i="10" s="1"/>
  <c r="D122" i="10" a="1"/>
  <c r="D122" i="10" s="1"/>
  <c r="E122" i="10" a="1"/>
  <c r="E122" i="10" s="1"/>
  <c r="F122" i="10" a="1"/>
  <c r="F122" i="10" s="1"/>
  <c r="G122" i="10" a="1"/>
  <c r="G122" i="10" s="1"/>
  <c r="H122" i="10" a="1"/>
  <c r="H122" i="10" s="1"/>
  <c r="I122" i="10" a="1"/>
  <c r="I122" i="10" s="1"/>
  <c r="J122" i="10" a="1"/>
  <c r="J122" i="10" s="1"/>
  <c r="K122" i="10" a="1"/>
  <c r="K122" i="10" s="1"/>
  <c r="L122" i="10" a="1"/>
  <c r="L122" i="10" s="1"/>
  <c r="M122" i="10" a="1"/>
  <c r="M122" i="10" s="1"/>
  <c r="N122" i="10" a="1"/>
  <c r="N122" i="10" s="1"/>
  <c r="A168" i="10"/>
  <c r="C121" i="10" a="1"/>
  <c r="C121" i="10" s="1"/>
  <c r="D121" i="10" a="1"/>
  <c r="D121" i="10" s="1"/>
  <c r="E121" i="10" a="1"/>
  <c r="E121" i="10" s="1"/>
  <c r="F121" i="10" a="1"/>
  <c r="F121" i="10" s="1"/>
  <c r="G121" i="10" a="1"/>
  <c r="G121" i="10" s="1"/>
  <c r="H121" i="10" a="1"/>
  <c r="H121" i="10" s="1"/>
  <c r="I121" i="10" a="1"/>
  <c r="I121" i="10" s="1"/>
  <c r="J121" i="10" a="1"/>
  <c r="J121" i="10" s="1"/>
  <c r="K121" i="10" a="1"/>
  <c r="K121" i="10" s="1"/>
  <c r="L121" i="10" a="1"/>
  <c r="L121" i="10" s="1"/>
  <c r="M121" i="10" a="1"/>
  <c r="M121" i="10" s="1"/>
  <c r="N121" i="10" a="1"/>
  <c r="N121" i="10" s="1"/>
  <c r="A167" i="10"/>
  <c r="C120" i="10" a="1"/>
  <c r="C120" i="10" s="1"/>
  <c r="D120" i="10" a="1"/>
  <c r="D120" i="10" s="1"/>
  <c r="E120" i="10" a="1"/>
  <c r="E120" i="10" s="1"/>
  <c r="F120" i="10" a="1"/>
  <c r="F120" i="10" s="1"/>
  <c r="G120" i="10" a="1"/>
  <c r="G120" i="10" s="1"/>
  <c r="H120" i="10" a="1"/>
  <c r="H120" i="10" s="1"/>
  <c r="I120" i="10" a="1"/>
  <c r="I120" i="10" s="1"/>
  <c r="J120" i="10" a="1"/>
  <c r="J120" i="10" s="1"/>
  <c r="K120" i="10" a="1"/>
  <c r="K120" i="10" s="1"/>
  <c r="L120" i="10" a="1"/>
  <c r="L120" i="10" s="1"/>
  <c r="M120" i="10" a="1"/>
  <c r="M120" i="10" s="1"/>
  <c r="N120" i="10" a="1"/>
  <c r="N120" i="10" s="1"/>
  <c r="A166" i="10"/>
  <c r="J78" i="10"/>
  <c r="K78" i="10"/>
  <c r="C119" i="10" a="1"/>
  <c r="C119" i="10" s="1"/>
  <c r="D119" i="10" a="1"/>
  <c r="D119" i="10" s="1"/>
  <c r="E119" i="10" a="1"/>
  <c r="E119" i="10" s="1"/>
  <c r="F119" i="10" a="1"/>
  <c r="F119" i="10" s="1"/>
  <c r="G119" i="10" a="1"/>
  <c r="G119" i="10" s="1"/>
  <c r="H119" i="10" a="1"/>
  <c r="H119" i="10" s="1"/>
  <c r="I119" i="10" a="1"/>
  <c r="I119" i="10" s="1"/>
  <c r="J119" i="10" a="1"/>
  <c r="J119" i="10" s="1"/>
  <c r="K119" i="10" a="1"/>
  <c r="K119" i="10" s="1"/>
  <c r="L119" i="10" a="1"/>
  <c r="L119" i="10" s="1"/>
  <c r="M119" i="10" a="1"/>
  <c r="M119" i="10" s="1"/>
  <c r="N119" i="10" s="1" a="1"/>
  <c r="N119" i="10" s="1"/>
  <c r="A165" i="10"/>
  <c r="C118" i="10" a="1"/>
  <c r="C118" i="10" s="1"/>
  <c r="D118" i="10" a="1"/>
  <c r="D118" i="10" s="1"/>
  <c r="E118" i="10" a="1"/>
  <c r="E118" i="10" s="1"/>
  <c r="F118" i="10" a="1"/>
  <c r="F118" i="10" s="1"/>
  <c r="G118" i="10" a="1"/>
  <c r="G118" i="10" s="1"/>
  <c r="H118" i="10" a="1"/>
  <c r="H118" i="10" s="1"/>
  <c r="I118" i="10" a="1"/>
  <c r="I118" i="10" s="1"/>
  <c r="J118" i="10" a="1"/>
  <c r="J118" i="10" s="1"/>
  <c r="K118" i="10" a="1"/>
  <c r="K118" i="10" s="1"/>
  <c r="L118" i="10" a="1"/>
  <c r="L118" i="10" s="1"/>
  <c r="M118" i="10" a="1"/>
  <c r="M118" i="10" s="1"/>
  <c r="N118" i="10" a="1"/>
  <c r="N118" i="10" s="1"/>
  <c r="A164" i="10"/>
  <c r="C117" i="10" a="1"/>
  <c r="C117" i="10" s="1"/>
  <c r="D117" i="10" a="1"/>
  <c r="D117" i="10" s="1"/>
  <c r="E117" i="10" a="1"/>
  <c r="E117" i="10" s="1"/>
  <c r="F117" i="10" a="1"/>
  <c r="F117" i="10" s="1"/>
  <c r="G117" i="10" a="1"/>
  <c r="G117" i="10" s="1"/>
  <c r="H117" i="10" a="1"/>
  <c r="H117" i="10" s="1"/>
  <c r="I117" i="10" a="1"/>
  <c r="I117" i="10" s="1"/>
  <c r="J117" i="10" a="1"/>
  <c r="J117" i="10" s="1"/>
  <c r="K117" i="10" a="1"/>
  <c r="K117" i="10" s="1"/>
  <c r="L117" i="10" a="1"/>
  <c r="L117" i="10" s="1"/>
  <c r="M117" i="10" a="1"/>
  <c r="M117" i="10" s="1"/>
  <c r="N117" i="10" a="1"/>
  <c r="N117" i="10" s="1"/>
  <c r="A163" i="10"/>
  <c r="C116" i="10" a="1"/>
  <c r="C116" i="10" s="1"/>
  <c r="D116" i="10" a="1"/>
  <c r="D116" i="10" s="1"/>
  <c r="E116" i="10" a="1"/>
  <c r="E116" i="10" s="1"/>
  <c r="F116" i="10" a="1"/>
  <c r="F116" i="10" s="1"/>
  <c r="G116" i="10" a="1"/>
  <c r="G116" i="10" s="1"/>
  <c r="H116" i="10" a="1"/>
  <c r="H116" i="10" s="1"/>
  <c r="I116" i="10" a="1"/>
  <c r="I116" i="10" s="1"/>
  <c r="J116" i="10" a="1"/>
  <c r="J116" i="10" s="1"/>
  <c r="K116" i="10" a="1"/>
  <c r="K116" i="10" s="1"/>
  <c r="L116" i="10" a="1"/>
  <c r="L116" i="10" s="1"/>
  <c r="M116" i="10" a="1"/>
  <c r="M116" i="10" s="1"/>
  <c r="N116" i="10" a="1"/>
  <c r="N116" i="10" s="1"/>
  <c r="A162" i="10"/>
  <c r="C115" i="10" a="1"/>
  <c r="C115" i="10" s="1"/>
  <c r="D115" i="10" a="1"/>
  <c r="D115" i="10" s="1"/>
  <c r="E115" i="10" a="1"/>
  <c r="E115" i="10" s="1"/>
  <c r="F115" i="10" a="1"/>
  <c r="F115" i="10" s="1"/>
  <c r="G115" i="10" a="1"/>
  <c r="G115" i="10" s="1"/>
  <c r="H115" i="10" a="1"/>
  <c r="H115" i="10" s="1"/>
  <c r="I115" i="10" a="1"/>
  <c r="I115" i="10" s="1"/>
  <c r="J115" i="10" a="1"/>
  <c r="J115" i="10" s="1"/>
  <c r="K115" i="10" a="1"/>
  <c r="K115" i="10" s="1"/>
  <c r="L115" i="10" a="1"/>
  <c r="L115" i="10" s="1"/>
  <c r="M115" i="10" a="1"/>
  <c r="M115" i="10" s="1"/>
  <c r="N115" i="10" a="1"/>
  <c r="N115" i="10" s="1"/>
  <c r="A161" i="10"/>
  <c r="C109" i="10" a="1"/>
  <c r="C109" i="10" s="1"/>
  <c r="D109" i="10" a="1"/>
  <c r="D109" i="10" s="1"/>
  <c r="E109" i="10" a="1"/>
  <c r="E109" i="10" s="1"/>
  <c r="F109" i="10" a="1"/>
  <c r="F109" i="10" s="1"/>
  <c r="G109" i="10" a="1"/>
  <c r="G109" i="10" s="1"/>
  <c r="H109" i="10" a="1"/>
  <c r="H109" i="10" s="1"/>
  <c r="I109" i="10" a="1"/>
  <c r="I109" i="10" s="1"/>
  <c r="J109" i="10" a="1"/>
  <c r="J109" i="10" s="1"/>
  <c r="K109" i="10" a="1"/>
  <c r="K109" i="10" s="1"/>
  <c r="L109" i="10" a="1"/>
  <c r="L109" i="10" s="1"/>
  <c r="M109" i="10" a="1"/>
  <c r="M109" i="10" s="1"/>
  <c r="N109" i="10" a="1"/>
  <c r="N109" i="10" s="1"/>
  <c r="A155" i="10"/>
  <c r="C108" i="10" a="1"/>
  <c r="C108" i="10" s="1"/>
  <c r="D108" i="10" a="1"/>
  <c r="D108" i="10" s="1"/>
  <c r="E108" i="10" a="1"/>
  <c r="E108" i="10" s="1"/>
  <c r="F108" i="10" a="1"/>
  <c r="F108" i="10" s="1"/>
  <c r="G108" i="10" a="1"/>
  <c r="G108" i="10" s="1"/>
  <c r="H108" i="10" a="1"/>
  <c r="H108" i="10" s="1"/>
  <c r="I108" i="10" a="1"/>
  <c r="I108" i="10" s="1"/>
  <c r="J108" i="10" a="1"/>
  <c r="J108" i="10" s="1"/>
  <c r="K108" i="10" a="1"/>
  <c r="K108" i="10" s="1"/>
  <c r="L108" i="10" a="1"/>
  <c r="L108" i="10" s="1"/>
  <c r="M108" i="10" a="1"/>
  <c r="M108" i="10" s="1"/>
  <c r="N108" i="10" a="1"/>
  <c r="N108" i="10" s="1"/>
  <c r="A154" i="10"/>
  <c r="C107" i="10" a="1"/>
  <c r="C107" i="10" s="1"/>
  <c r="D107" i="10" a="1"/>
  <c r="D107" i="10" s="1"/>
  <c r="E107" i="10" a="1"/>
  <c r="E107" i="10" s="1"/>
  <c r="F107" i="10" a="1"/>
  <c r="F107" i="10" s="1"/>
  <c r="G107" i="10" a="1"/>
  <c r="G107" i="10" s="1"/>
  <c r="H107" i="10" a="1"/>
  <c r="H107" i="10" s="1"/>
  <c r="I107" i="10" a="1"/>
  <c r="I107" i="10" s="1"/>
  <c r="J107" i="10" a="1"/>
  <c r="J107" i="10" s="1"/>
  <c r="K107" i="10" a="1"/>
  <c r="K107" i="10" s="1"/>
  <c r="L107" i="10" a="1"/>
  <c r="L107" i="10" s="1"/>
  <c r="M107" i="10" a="1"/>
  <c r="M107" i="10" s="1"/>
  <c r="N107" i="10" a="1"/>
  <c r="N107" i="10" s="1"/>
  <c r="A153" i="10"/>
  <c r="J65" i="10"/>
  <c r="K65" i="10"/>
  <c r="C106" i="10" a="1"/>
  <c r="C106" i="10" s="1"/>
  <c r="D106" i="10" s="1" a="1"/>
  <c r="D106" i="10" s="1"/>
  <c r="A152" i="10"/>
  <c r="C105" i="10" a="1"/>
  <c r="C105" i="10" s="1"/>
  <c r="D105" i="10" a="1"/>
  <c r="D105" i="10" s="1"/>
  <c r="E105" i="10" a="1"/>
  <c r="E105" i="10" s="1"/>
  <c r="F105" i="10" a="1"/>
  <c r="F105" i="10" s="1"/>
  <c r="G105" i="10" a="1"/>
  <c r="G105" i="10" s="1"/>
  <c r="H105" i="10" a="1"/>
  <c r="H105" i="10" s="1"/>
  <c r="I105" i="10" a="1"/>
  <c r="I105" i="10" s="1"/>
  <c r="J105" i="10" a="1"/>
  <c r="J105" i="10" s="1"/>
  <c r="K105" i="10" a="1"/>
  <c r="K105" i="10" s="1"/>
  <c r="L105" i="10" a="1"/>
  <c r="L105" i="10" s="1"/>
  <c r="M105" i="10" a="1"/>
  <c r="M105" i="10" s="1"/>
  <c r="N105" i="10" a="1"/>
  <c r="N105" i="10" s="1"/>
  <c r="A151" i="10"/>
  <c r="C104" i="10" a="1"/>
  <c r="C104" i="10" s="1"/>
  <c r="D104" i="10" a="1"/>
  <c r="D104" i="10" s="1"/>
  <c r="E104" i="10" a="1"/>
  <c r="E104" i="10" s="1"/>
  <c r="F104" i="10" a="1"/>
  <c r="F104" i="10" s="1"/>
  <c r="G104" i="10" a="1"/>
  <c r="G104" i="10" s="1"/>
  <c r="H104" i="10" a="1"/>
  <c r="H104" i="10" s="1"/>
  <c r="I104" i="10" a="1"/>
  <c r="I104" i="10" s="1"/>
  <c r="J104" i="10" a="1"/>
  <c r="J104" i="10" s="1"/>
  <c r="K104" i="10" a="1"/>
  <c r="K104" i="10" s="1"/>
  <c r="L104" i="10" a="1"/>
  <c r="L104" i="10" s="1"/>
  <c r="M104" i="10" a="1"/>
  <c r="M104" i="10" s="1"/>
  <c r="N104" i="10" a="1"/>
  <c r="N104" i="10" s="1"/>
  <c r="A150" i="10"/>
  <c r="C103" i="10" a="1"/>
  <c r="C103" i="10" s="1"/>
  <c r="D103" i="10" a="1"/>
  <c r="D103" i="10" s="1"/>
  <c r="E103" i="10" a="1"/>
  <c r="E103" i="10" s="1"/>
  <c r="F103" i="10" a="1"/>
  <c r="F103" i="10" s="1"/>
  <c r="G103" i="10" a="1"/>
  <c r="G103" i="10" s="1"/>
  <c r="H103" i="10" a="1"/>
  <c r="H103" i="10" s="1"/>
  <c r="I103" i="10" a="1"/>
  <c r="I103" i="10" s="1"/>
  <c r="J103" i="10" a="1"/>
  <c r="J103" i="10" s="1"/>
  <c r="K103" i="10" a="1"/>
  <c r="K103" i="10" s="1"/>
  <c r="L103" i="10" a="1"/>
  <c r="L103" i="10" s="1"/>
  <c r="M103" i="10" a="1"/>
  <c r="M103" i="10" s="1"/>
  <c r="N103" i="10" a="1"/>
  <c r="N103" i="10" s="1"/>
  <c r="A149" i="10"/>
  <c r="C102" i="10" a="1"/>
  <c r="C102" i="10" s="1"/>
  <c r="D102" i="10" a="1"/>
  <c r="D102" i="10" s="1"/>
  <c r="E102" i="10" a="1"/>
  <c r="E102" i="10" s="1"/>
  <c r="F102" i="10" a="1"/>
  <c r="F102" i="10" s="1"/>
  <c r="G102" i="10" a="1"/>
  <c r="G102" i="10" s="1"/>
  <c r="H102" i="10" a="1"/>
  <c r="H102" i="10" s="1"/>
  <c r="I102" i="10" a="1"/>
  <c r="I102" i="10" s="1"/>
  <c r="J102" i="10" a="1"/>
  <c r="J102" i="10" s="1"/>
  <c r="K102" i="10" a="1"/>
  <c r="K102" i="10" s="1"/>
  <c r="L102" i="10" a="1"/>
  <c r="L102" i="10" s="1"/>
  <c r="M102" i="10" a="1"/>
  <c r="M102" i="10" s="1"/>
  <c r="N102" i="10" a="1"/>
  <c r="N102" i="10" s="1"/>
  <c r="A148" i="10"/>
  <c r="K57" i="6"/>
  <c r="J5" i="10"/>
  <c r="I47" i="10"/>
  <c r="I48" i="10"/>
  <c r="I57" i="6"/>
  <c r="J57" i="6"/>
  <c r="L57" i="6"/>
  <c r="M57" i="6"/>
  <c r="N57" i="6"/>
  <c r="O57" i="6"/>
  <c r="P57" i="6"/>
  <c r="G44" i="10"/>
  <c r="F97" i="10" a="1"/>
  <c r="F97" i="10" s="1"/>
  <c r="D26" i="9"/>
  <c r="P56" i="6"/>
  <c r="O56" i="6"/>
  <c r="N56" i="6"/>
  <c r="M56" i="6"/>
  <c r="L56" i="6"/>
  <c r="K56" i="6"/>
  <c r="J56" i="6"/>
  <c r="I56" i="6"/>
  <c r="G56" i="6"/>
  <c r="F56" i="6"/>
  <c r="E56" i="6"/>
  <c r="H56" i="6"/>
  <c r="K123" i="17"/>
  <c r="L124" i="17"/>
  <c r="I112" i="17"/>
  <c r="H112" i="17"/>
  <c r="H113" i="17" s="1"/>
  <c r="D65" i="17"/>
  <c r="D68" i="17" s="1"/>
  <c r="D75" i="17" s="1"/>
  <c r="D76" i="17" s="1"/>
  <c r="D69" i="17"/>
  <c r="D71" i="17"/>
  <c r="I96" i="17"/>
  <c r="J96" i="17" s="1"/>
  <c r="F59" i="17"/>
  <c r="F104" i="17"/>
  <c r="F105" i="17" s="1"/>
  <c r="F60" i="17" s="1"/>
  <c r="F79" i="17"/>
  <c r="H95" i="17"/>
  <c r="G101" i="17"/>
  <c r="H44" i="13"/>
  <c r="L64" i="17"/>
  <c r="C83" i="17"/>
  <c r="N52" i="17"/>
  <c r="O51" i="17"/>
  <c r="H151" i="1"/>
  <c r="J54" i="17"/>
  <c r="K49" i="17"/>
  <c r="L45" i="17"/>
  <c r="E30" i="6"/>
  <c r="P36" i="6"/>
  <c r="O36" i="6"/>
  <c r="N36" i="6"/>
  <c r="O151" i="1"/>
  <c r="Q54" i="17"/>
  <c r="P54" i="17"/>
  <c r="N151" i="1"/>
  <c r="O49" i="17"/>
  <c r="O43" i="17"/>
  <c r="M9" i="17"/>
  <c r="M15" i="17" s="1"/>
  <c r="M10" i="17"/>
  <c r="L9" i="17"/>
  <c r="K9" i="17"/>
  <c r="K15" i="17" s="1"/>
  <c r="K10" i="17"/>
  <c r="G41" i="17"/>
  <c r="I41" i="17"/>
  <c r="H41" i="17"/>
  <c r="J41" i="17"/>
  <c r="F41" i="17"/>
  <c r="J9" i="17"/>
  <c r="J15" i="17" s="1"/>
  <c r="J10" i="17"/>
  <c r="I9" i="17"/>
  <c r="I10" i="17"/>
  <c r="H9" i="17"/>
  <c r="H15" i="17" s="1"/>
  <c r="H19" i="17" s="1"/>
  <c r="H10" i="17"/>
  <c r="G9" i="17"/>
  <c r="G15" i="17" s="1"/>
  <c r="G10" i="17"/>
  <c r="F9" i="17"/>
  <c r="F15" i="17" s="1"/>
  <c r="F19" i="17" s="1"/>
  <c r="F10" i="17"/>
  <c r="F11" i="17" s="1"/>
  <c r="G11" i="17" s="1"/>
  <c r="H11" i="17" s="1"/>
  <c r="I11" i="17" s="1"/>
  <c r="J11" i="17" s="1"/>
  <c r="K11" i="17" s="1"/>
  <c r="I65" i="24"/>
  <c r="H90" i="24"/>
  <c r="O46" i="24"/>
  <c r="H110" i="24"/>
  <c r="H89" i="24"/>
  <c r="H91" i="24" s="1"/>
  <c r="I28" i="24"/>
  <c r="K152" i="1"/>
  <c r="J58" i="18"/>
  <c r="J62" i="18" s="1"/>
  <c r="J152" i="1"/>
  <c r="I58" i="18"/>
  <c r="I62" i="18" s="1"/>
  <c r="I152" i="1"/>
  <c r="H58" i="18"/>
  <c r="H62" i="18" s="1"/>
  <c r="H152" i="1"/>
  <c r="G58" i="18"/>
  <c r="G62" i="18" s="1"/>
  <c r="F152" i="1"/>
  <c r="E58" i="18"/>
  <c r="E62" i="18" s="1"/>
  <c r="E70" i="18" s="1"/>
  <c r="F32" i="1" s="1"/>
  <c r="E152" i="1"/>
  <c r="D58" i="18"/>
  <c r="D62" i="18" s="1"/>
  <c r="D70" i="18" s="1"/>
  <c r="E32" i="1" s="1"/>
  <c r="D152" i="1"/>
  <c r="C58" i="18"/>
  <c r="C62" i="18" s="1"/>
  <c r="C70" i="18" s="1"/>
  <c r="D32" i="1" s="1"/>
  <c r="C152" i="1"/>
  <c r="B58" i="18"/>
  <c r="B62" i="18" s="1"/>
  <c r="B70" i="18" s="1"/>
  <c r="C32" i="1" s="1"/>
  <c r="E58" i="25"/>
  <c r="D58" i="25"/>
  <c r="C58" i="25"/>
  <c r="C59" i="25" s="1"/>
  <c r="E54" i="25"/>
  <c r="D54" i="25"/>
  <c r="C54" i="25"/>
  <c r="B54" i="25"/>
  <c r="P28" i="25"/>
  <c r="P29" i="25" s="1"/>
  <c r="C33" i="22"/>
  <c r="Q31" i="20"/>
  <c r="H69" i="10"/>
  <c r="H86" i="10"/>
  <c r="G67" i="6"/>
  <c r="E80" i="23"/>
  <c r="D80" i="23"/>
  <c r="C80" i="23"/>
  <c r="H71" i="10"/>
  <c r="H94" i="10"/>
  <c r="H90" i="10"/>
  <c r="H85" i="10"/>
  <c r="H84" i="10"/>
  <c r="O67" i="6"/>
  <c r="D28" i="15"/>
  <c r="E28" i="15" s="1"/>
  <c r="F28" i="15" s="1"/>
  <c r="G28" i="15" s="1"/>
  <c r="H28" i="15" s="1"/>
  <c r="I28" i="15" s="1"/>
  <c r="J28" i="15" s="1"/>
  <c r="K28" i="15" s="1"/>
  <c r="L28" i="15" s="1"/>
  <c r="M28" i="15" s="1"/>
  <c r="H72" i="10"/>
  <c r="H92" i="10"/>
  <c r="F67" i="6"/>
  <c r="H95" i="10"/>
  <c r="H88" i="10"/>
  <c r="P67" i="6"/>
  <c r="H82" i="10"/>
  <c r="H81" i="10"/>
  <c r="H80" i="10"/>
  <c r="H79" i="10"/>
  <c r="H78" i="10"/>
  <c r="H77" i="10"/>
  <c r="H76" i="10"/>
  <c r="H75" i="10"/>
  <c r="H74" i="10"/>
  <c r="H68" i="10"/>
  <c r="H67" i="10"/>
  <c r="H66" i="10"/>
  <c r="H65" i="10"/>
  <c r="H64" i="10"/>
  <c r="H63" i="10"/>
  <c r="J67" i="6"/>
  <c r="P49" i="6"/>
  <c r="I119" i="17"/>
  <c r="K119" i="17"/>
  <c r="N119" i="17"/>
  <c r="R119" i="17"/>
  <c r="K128" i="17"/>
  <c r="K132" i="17" s="1"/>
  <c r="J128" i="17"/>
  <c r="J132" i="17" s="1"/>
  <c r="I128" i="17"/>
  <c r="I132" i="17" s="1"/>
  <c r="H62" i="10"/>
  <c r="D113" i="24"/>
  <c r="E113" i="24" s="1"/>
  <c r="F113" i="24" s="1"/>
  <c r="G49" i="6"/>
  <c r="N67" i="6"/>
  <c r="O28" i="25"/>
  <c r="O29" i="25" s="1"/>
  <c r="O33" i="25"/>
  <c r="K13" i="22" s="1"/>
  <c r="N28" i="25"/>
  <c r="N29" i="25" s="1"/>
  <c r="N33" i="25"/>
  <c r="J13" i="22" s="1"/>
  <c r="J15" i="22" s="1"/>
  <c r="M28" i="25"/>
  <c r="M29" i="25" s="1"/>
  <c r="M33" i="25"/>
  <c r="I13" i="22" s="1"/>
  <c r="I15" i="22" s="1"/>
  <c r="L28" i="25"/>
  <c r="L29" i="25" s="1"/>
  <c r="L33" i="25"/>
  <c r="H13" i="22" s="1"/>
  <c r="H15" i="22" s="1"/>
  <c r="K28" i="25"/>
  <c r="K29" i="25" s="1"/>
  <c r="K33" i="25"/>
  <c r="G13" i="22" s="1"/>
  <c r="L8" i="23"/>
  <c r="M8" i="23" s="1"/>
  <c r="N8" i="23" s="1"/>
  <c r="O8" i="23" s="1"/>
  <c r="P8" i="23" s="1"/>
  <c r="Q8" i="23" s="1"/>
  <c r="R8" i="23" s="1"/>
  <c r="N5" i="14" a="1"/>
  <c r="N5" i="14" s="1"/>
  <c r="O5" i="14" a="1"/>
  <c r="O5" i="14" s="1"/>
  <c r="J5" i="14" a="1"/>
  <c r="J5" i="14" s="1"/>
  <c r="K5" i="14" a="1"/>
  <c r="K5" i="14" s="1"/>
  <c r="L5" i="14" a="1"/>
  <c r="L5" i="14" s="1"/>
  <c r="M5" i="14" a="1"/>
  <c r="M5" i="14" s="1"/>
  <c r="M7" i="14" a="1"/>
  <c r="M7" i="14" s="1"/>
  <c r="N7" i="14" a="1"/>
  <c r="N7" i="14" s="1"/>
  <c r="O7" i="14" a="1"/>
  <c r="O7" i="14" s="1"/>
  <c r="J7" i="14" a="1"/>
  <c r="J7" i="14" s="1"/>
  <c r="K7" i="14" a="1"/>
  <c r="K7" i="14" s="1"/>
  <c r="L7" i="14" a="1"/>
  <c r="L7" i="14" s="1"/>
  <c r="E17" i="4"/>
  <c r="E16" i="4" s="1"/>
  <c r="N58" i="18"/>
  <c r="N62" i="18" s="1"/>
  <c r="O152" i="1"/>
  <c r="L31" i="1"/>
  <c r="K29" i="18"/>
  <c r="K46" i="15"/>
  <c r="L46" i="15" s="1"/>
  <c r="M46" i="15" s="1"/>
  <c r="N46" i="15" s="1"/>
  <c r="J52" i="15"/>
  <c r="J7" i="1"/>
  <c r="I27" i="15"/>
  <c r="Q13" i="12"/>
  <c r="W11" i="12"/>
  <c r="X11" i="12" s="1"/>
  <c r="O7" i="12"/>
  <c r="W10" i="12"/>
  <c r="Z21" i="11"/>
  <c r="AA21" i="11" s="1"/>
  <c r="AC21" i="11" s="1"/>
  <c r="AE21" i="11" s="1"/>
  <c r="V18" i="11"/>
  <c r="W18" i="11" s="1"/>
  <c r="X5" i="11"/>
  <c r="Y5" i="11" s="1"/>
  <c r="AA5" i="11" s="1"/>
  <c r="AC5" i="11" s="1"/>
  <c r="AE5" i="11" s="1"/>
  <c r="V17" i="11"/>
  <c r="X19" i="11"/>
  <c r="Y19" i="11" s="1"/>
  <c r="AA19" i="11" s="1"/>
  <c r="AC19" i="11" s="1"/>
  <c r="AE19" i="11" s="1"/>
  <c r="R25" i="11"/>
  <c r="S25" i="11" s="1"/>
  <c r="U25" i="11" s="1"/>
  <c r="W25" i="11" s="1"/>
  <c r="Y25" i="11" s="1"/>
  <c r="AA25" i="11" s="1"/>
  <c r="AC25" i="11" s="1"/>
  <c r="AE25" i="11" s="1"/>
  <c r="J12" i="11"/>
  <c r="K12" i="11"/>
  <c r="R22" i="11"/>
  <c r="S22" i="11" s="1"/>
  <c r="U22" i="11" s="1"/>
  <c r="W22" i="11" s="1"/>
  <c r="Y22" i="11" s="1"/>
  <c r="AA22" i="11" s="1"/>
  <c r="AC22" i="11" s="1"/>
  <c r="AE22" i="11" s="1"/>
  <c r="R23" i="11"/>
  <c r="S23" i="11" s="1"/>
  <c r="U23" i="11" s="1"/>
  <c r="W23" i="11" s="1"/>
  <c r="Y23" i="11" s="1"/>
  <c r="AA23" i="11" s="1"/>
  <c r="AC23" i="11" s="1"/>
  <c r="AE23" i="11" s="1"/>
  <c r="Z26" i="11"/>
  <c r="AA26" i="11" s="1"/>
  <c r="AC26" i="11" s="1"/>
  <c r="AE26" i="11" s="1"/>
  <c r="P20" i="11"/>
  <c r="Q20" i="11" s="1"/>
  <c r="S20" i="11" s="1"/>
  <c r="U20" i="11" s="1"/>
  <c r="W20" i="11" s="1"/>
  <c r="R6" i="11"/>
  <c r="S6" i="11" s="1"/>
  <c r="U6" i="11" s="1"/>
  <c r="W6" i="11" s="1"/>
  <c r="Y6" i="11" s="1"/>
  <c r="AA6" i="11" s="1"/>
  <c r="AC6" i="11" s="1"/>
  <c r="AE6" i="11" s="1"/>
  <c r="J13" i="11"/>
  <c r="J43" i="11" s="1"/>
  <c r="D97" i="1" s="1"/>
  <c r="K13" i="11"/>
  <c r="M13" i="11" s="1"/>
  <c r="O13" i="11" s="1"/>
  <c r="Q13" i="11" s="1"/>
  <c r="S13" i="11" s="1"/>
  <c r="U13" i="11" s="1"/>
  <c r="W13" i="11" s="1"/>
  <c r="Y13" i="11" s="1"/>
  <c r="AA13" i="11" s="1"/>
  <c r="AC13" i="11" s="1"/>
  <c r="AE13" i="11" s="1"/>
  <c r="J14" i="11"/>
  <c r="K14" i="11"/>
  <c r="M14" i="11" s="1"/>
  <c r="O14" i="11" s="1"/>
  <c r="Q14" i="11" s="1"/>
  <c r="S14" i="11" s="1"/>
  <c r="U14" i="11" s="1"/>
  <c r="W14" i="11" s="1"/>
  <c r="Y14" i="11" s="1"/>
  <c r="AA14" i="11" s="1"/>
  <c r="AC14" i="11" s="1"/>
  <c r="AE14" i="11" s="1"/>
  <c r="R29" i="11"/>
  <c r="S29" i="11" s="1"/>
  <c r="U29" i="11" s="1"/>
  <c r="W29" i="11" s="1"/>
  <c r="Y29" i="11" s="1"/>
  <c r="AA29" i="11" s="1"/>
  <c r="AC29" i="11" s="1"/>
  <c r="AE29" i="11" s="1"/>
  <c r="AF29" i="11" s="1"/>
  <c r="AF43" i="11" s="1"/>
  <c r="R24" i="11"/>
  <c r="S24" i="11" s="1"/>
  <c r="U24" i="11" s="1"/>
  <c r="W24" i="11" s="1"/>
  <c r="Y24" i="11" s="1"/>
  <c r="AA24" i="11" s="1"/>
  <c r="AC24" i="11" s="1"/>
  <c r="AE24" i="11" s="1"/>
  <c r="M37" i="10"/>
  <c r="N37" i="10" s="1"/>
  <c r="O37" i="10" s="1"/>
  <c r="P37" i="10" s="1"/>
  <c r="Q37" i="10" s="1"/>
  <c r="R37" i="10" s="1"/>
  <c r="S37" i="10" s="1"/>
  <c r="T37" i="10" s="1"/>
  <c r="U37" i="10" s="1"/>
  <c r="V37" i="10" s="1"/>
  <c r="W37" i="10" s="1"/>
  <c r="X37" i="10" s="1"/>
  <c r="G93" i="10"/>
  <c r="H93" i="10" s="1"/>
  <c r="F90" i="10" a="1"/>
  <c r="F90" i="10" s="1"/>
  <c r="J90" i="10" s="1"/>
  <c r="F86" i="10" a="1"/>
  <c r="F86" i="10" s="1"/>
  <c r="F83" i="10" a="1"/>
  <c r="F83" i="10" s="1"/>
  <c r="J83" i="10" s="1"/>
  <c r="F82" i="10" a="1"/>
  <c r="F82" i="10" s="1"/>
  <c r="J82" i="10" s="1"/>
  <c r="F81" i="10" a="1"/>
  <c r="F81" i="10" s="1"/>
  <c r="J81" i="10" s="1"/>
  <c r="F80" i="10" a="1"/>
  <c r="F80" i="10" s="1"/>
  <c r="J80" i="10" s="1"/>
  <c r="F79" i="10" a="1"/>
  <c r="F79" i="10" s="1"/>
  <c r="J79" i="10" s="1"/>
  <c r="K79" i="10" s="1"/>
  <c r="F78" i="10" a="1"/>
  <c r="F78" i="10" s="1"/>
  <c r="F77" i="10" a="1"/>
  <c r="F77" i="10" s="1"/>
  <c r="J77" i="10" s="1"/>
  <c r="F76" i="10" a="1"/>
  <c r="F76" i="10" s="1"/>
  <c r="J76" i="10" s="1"/>
  <c r="F75" i="10" a="1"/>
  <c r="F75" i="10" s="1"/>
  <c r="J75" i="10" s="1"/>
  <c r="F74" i="10" a="1"/>
  <c r="F74" i="10" s="1"/>
  <c r="J74" i="10" s="1"/>
  <c r="F68" i="10" a="1"/>
  <c r="F68" i="10" s="1"/>
  <c r="J68" i="10" s="1"/>
  <c r="F67" i="10" a="1"/>
  <c r="F67" i="10" s="1"/>
  <c r="J67" i="10" s="1"/>
  <c r="K67" i="10" s="1"/>
  <c r="F66" i="10" a="1"/>
  <c r="F66" i="10" s="1"/>
  <c r="J66" i="10" s="1"/>
  <c r="K66" i="10" s="1"/>
  <c r="F65" i="10" a="1"/>
  <c r="F65" i="10" s="1"/>
  <c r="F89" i="10" a="1"/>
  <c r="F89" i="10" s="1"/>
  <c r="J89" i="10" s="1"/>
  <c r="K89" i="10" s="1"/>
  <c r="F63" i="10" a="1"/>
  <c r="F63" i="10" s="1"/>
  <c r="J63" i="10" s="1"/>
  <c r="F95" i="10" a="1"/>
  <c r="F95" i="10" s="1"/>
  <c r="J95" i="10" s="1"/>
  <c r="F91" i="10" a="1"/>
  <c r="F91" i="10" s="1"/>
  <c r="J91" i="10" s="1"/>
  <c r="F87" i="10" a="1"/>
  <c r="F87" i="10" s="1"/>
  <c r="J87" i="10" s="1"/>
  <c r="K87" i="10" s="1"/>
  <c r="F84" i="10" a="1"/>
  <c r="F84" i="10" s="1"/>
  <c r="J84" i="10" s="1"/>
  <c r="F64" i="10" a="1"/>
  <c r="F64" i="10" s="1"/>
  <c r="J64" i="10" s="1"/>
  <c r="F85" i="10" a="1"/>
  <c r="F85" i="10" s="1"/>
  <c r="J85" i="10" s="1"/>
  <c r="K85" i="10" s="1"/>
  <c r="F88" i="10" a="1"/>
  <c r="F88" i="10" s="1"/>
  <c r="J88" i="10" s="1"/>
  <c r="K88" i="10" s="1"/>
  <c r="F92" i="10" a="1"/>
  <c r="F92" i="10" s="1"/>
  <c r="J92" i="10" s="1"/>
  <c r="F69" i="10" a="1"/>
  <c r="F69" i="10" s="1"/>
  <c r="J69" i="10" s="1"/>
  <c r="F72" i="10" a="1"/>
  <c r="F72" i="10" s="1"/>
  <c r="J72" i="10" s="1"/>
  <c r="F73" i="10" a="1"/>
  <c r="F73" i="10" s="1"/>
  <c r="J73" i="10" s="1"/>
  <c r="F93" i="10" a="1"/>
  <c r="F93" i="10" s="1"/>
  <c r="F61" i="10" a="1"/>
  <c r="F61" i="10" s="1"/>
  <c r="J61" i="10" s="1"/>
  <c r="F62" i="10" a="1"/>
  <c r="F62" i="10" s="1"/>
  <c r="J62" i="10" s="1"/>
  <c r="F71" i="10" a="1"/>
  <c r="F71" i="10" s="1"/>
  <c r="J71" i="10" s="1"/>
  <c r="F70" i="10" a="1"/>
  <c r="F70" i="10" s="1"/>
  <c r="J70" i="10" s="1"/>
  <c r="F94" i="10" a="1"/>
  <c r="F94" i="10" s="1"/>
  <c r="I109" i="17"/>
  <c r="I135" i="17" s="1"/>
  <c r="K109" i="17"/>
  <c r="K135" i="17" s="1"/>
  <c r="J119" i="17"/>
  <c r="J109" i="17"/>
  <c r="J135" i="17" s="1"/>
  <c r="M119" i="17"/>
  <c r="P119" i="17"/>
  <c r="O119" i="17"/>
  <c r="L119" i="17"/>
  <c r="H119" i="17"/>
  <c r="H109" i="17"/>
  <c r="D15" i="17"/>
  <c r="D19" i="17" s="1"/>
  <c r="D30" i="17" s="1"/>
  <c r="D10" i="17"/>
  <c r="R77" i="25" l="1"/>
  <c r="R84" i="25" s="1"/>
  <c r="Q84" i="25"/>
  <c r="J73" i="25"/>
  <c r="I93" i="25"/>
  <c r="R72" i="25"/>
  <c r="R92" i="25" s="1"/>
  <c r="Q92" i="25"/>
  <c r="J72" i="25"/>
  <c r="J92" i="25" s="1"/>
  <c r="I92" i="25"/>
  <c r="R71" i="25"/>
  <c r="R91" i="25" s="1"/>
  <c r="Q91" i="25"/>
  <c r="J71" i="25"/>
  <c r="J91" i="25" s="1"/>
  <c r="I91" i="25"/>
  <c r="R70" i="25"/>
  <c r="R90" i="25" s="1"/>
  <c r="Q90" i="25"/>
  <c r="J70" i="25"/>
  <c r="J90" i="25" s="1"/>
  <c r="I90" i="25"/>
  <c r="R69" i="25"/>
  <c r="R89" i="25" s="1"/>
  <c r="Q89" i="25"/>
  <c r="R68" i="25"/>
  <c r="R88" i="25" s="1"/>
  <c r="Q88" i="25"/>
  <c r="R67" i="25"/>
  <c r="Q74" i="25"/>
  <c r="Q87" i="25"/>
  <c r="Q95" i="25" s="1"/>
  <c r="L26" i="22"/>
  <c r="M54" i="1" s="1"/>
  <c r="P42" i="25"/>
  <c r="J67" i="25"/>
  <c r="I74" i="25"/>
  <c r="I87" i="25"/>
  <c r="I95" i="25" s="1"/>
  <c r="D26" i="22"/>
  <c r="E54" i="1" s="1"/>
  <c r="H42" i="25"/>
  <c r="P35" i="25"/>
  <c r="P52" i="25"/>
  <c r="M78" i="1"/>
  <c r="O35" i="25"/>
  <c r="O52" i="25"/>
  <c r="L78" i="1"/>
  <c r="N35" i="25"/>
  <c r="N52" i="25"/>
  <c r="K78" i="1"/>
  <c r="M35" i="25"/>
  <c r="M52" i="25"/>
  <c r="J78" i="1"/>
  <c r="L35" i="25"/>
  <c r="L52" i="25"/>
  <c r="I78" i="1"/>
  <c r="K35" i="25"/>
  <c r="K52" i="25"/>
  <c r="H78" i="1"/>
  <c r="H6" i="6"/>
  <c r="G6" i="6"/>
  <c r="F6" i="6"/>
  <c r="E6" i="6"/>
  <c r="R24" i="25"/>
  <c r="R25" i="25"/>
  <c r="Q33" i="25"/>
  <c r="Q28" i="25"/>
  <c r="Q29" i="25" s="1"/>
  <c r="Q26" i="25"/>
  <c r="Q38" i="25"/>
  <c r="Q57" i="25" s="1"/>
  <c r="N81" i="1" s="1"/>
  <c r="Q56" i="25"/>
  <c r="P58" i="25"/>
  <c r="M80" i="1"/>
  <c r="O58" i="25"/>
  <c r="L80" i="1"/>
  <c r="N58" i="25"/>
  <c r="K80" i="1"/>
  <c r="M58" i="25"/>
  <c r="J80" i="1"/>
  <c r="L58" i="25"/>
  <c r="I80" i="1"/>
  <c r="K58" i="25"/>
  <c r="H80" i="1"/>
  <c r="H17" i="6"/>
  <c r="G17" i="6"/>
  <c r="F17" i="6"/>
  <c r="E17" i="6"/>
  <c r="R133" i="24"/>
  <c r="R143" i="24" s="1"/>
  <c r="Q143" i="24"/>
  <c r="Q129" i="24"/>
  <c r="P153" i="24"/>
  <c r="N128" i="24"/>
  <c r="M152" i="24"/>
  <c r="J128" i="24"/>
  <c r="J152" i="24" s="1"/>
  <c r="I152" i="24"/>
  <c r="N127" i="24"/>
  <c r="M151" i="24"/>
  <c r="J127" i="24"/>
  <c r="J151" i="24" s="1"/>
  <c r="I151" i="24"/>
  <c r="N126" i="24"/>
  <c r="M150" i="24"/>
  <c r="J126" i="24"/>
  <c r="J150" i="24" s="1"/>
  <c r="I150" i="24"/>
  <c r="N125" i="24"/>
  <c r="M149" i="24"/>
  <c r="J125" i="24"/>
  <c r="J149" i="24" s="1"/>
  <c r="I149" i="24"/>
  <c r="N124" i="24"/>
  <c r="M148" i="24"/>
  <c r="J124" i="24"/>
  <c r="J148" i="24" s="1"/>
  <c r="I148" i="24"/>
  <c r="N123" i="24"/>
  <c r="M147" i="24"/>
  <c r="J123" i="24"/>
  <c r="J147" i="24" s="1"/>
  <c r="I147" i="24"/>
  <c r="N122" i="24"/>
  <c r="M146" i="24"/>
  <c r="J122" i="24"/>
  <c r="J146" i="24" s="1"/>
  <c r="I146" i="24"/>
  <c r="G27" i="22"/>
  <c r="H55" i="1" s="1"/>
  <c r="K95" i="24"/>
  <c r="M87" i="24"/>
  <c r="M106" i="24" s="1"/>
  <c r="N121" i="24"/>
  <c r="M131" i="24"/>
  <c r="M145" i="24"/>
  <c r="M156" i="24" s="1"/>
  <c r="H27" i="22"/>
  <c r="I55" i="1" s="1"/>
  <c r="L95" i="24"/>
  <c r="I87" i="24"/>
  <c r="I106" i="24" s="1"/>
  <c r="J121" i="24"/>
  <c r="I131" i="24"/>
  <c r="I145" i="24"/>
  <c r="I156" i="24" s="1"/>
  <c r="D27" i="22"/>
  <c r="E55" i="1" s="1"/>
  <c r="H95" i="24"/>
  <c r="F7" i="6"/>
  <c r="H77" i="24"/>
  <c r="H105" i="24"/>
  <c r="E85" i="1"/>
  <c r="E7" i="6"/>
  <c r="G77" i="24"/>
  <c r="D85" i="1"/>
  <c r="G102" i="24"/>
  <c r="G105" i="24"/>
  <c r="G108" i="24" s="1"/>
  <c r="H7" i="6"/>
  <c r="J77" i="24"/>
  <c r="J105" i="24"/>
  <c r="G85" i="1"/>
  <c r="K76" i="24"/>
  <c r="G7" i="22"/>
  <c r="K104" i="24"/>
  <c r="H84" i="1"/>
  <c r="G7" i="6"/>
  <c r="I77" i="24"/>
  <c r="I105" i="24"/>
  <c r="F85" i="1"/>
  <c r="O109" i="23"/>
  <c r="N112" i="23"/>
  <c r="R103" i="23"/>
  <c r="R115" i="23" s="1"/>
  <c r="Q98" i="23"/>
  <c r="P122" i="23"/>
  <c r="P96" i="23"/>
  <c r="O120" i="23"/>
  <c r="M97" i="23"/>
  <c r="L121" i="23"/>
  <c r="L124" i="23" s="1"/>
  <c r="J96" i="23"/>
  <c r="J120" i="23" s="1"/>
  <c r="I120" i="23"/>
  <c r="P95" i="23"/>
  <c r="O119" i="23"/>
  <c r="J95" i="23"/>
  <c r="J119" i="23" s="1"/>
  <c r="I119" i="23"/>
  <c r="P94" i="23"/>
  <c r="O118" i="23"/>
  <c r="J94" i="23"/>
  <c r="J118" i="23" s="1"/>
  <c r="I118" i="23"/>
  <c r="P93" i="23"/>
  <c r="O117" i="23"/>
  <c r="J93" i="23"/>
  <c r="J117" i="23" s="1"/>
  <c r="I117" i="23"/>
  <c r="P92" i="23"/>
  <c r="O116" i="23"/>
  <c r="I100" i="23"/>
  <c r="J92" i="23"/>
  <c r="I116" i="23"/>
  <c r="I35" i="23"/>
  <c r="I36" i="23" s="1"/>
  <c r="G25" i="22"/>
  <c r="K68" i="23"/>
  <c r="Y93" i="23"/>
  <c r="Y99" i="23" s="1"/>
  <c r="Y100" i="23" s="1"/>
  <c r="X99" i="23"/>
  <c r="C38" i="22"/>
  <c r="C40" i="22" s="1"/>
  <c r="D53" i="1"/>
  <c r="J48" i="23"/>
  <c r="I62" i="23"/>
  <c r="E5" i="6"/>
  <c r="J56" i="23"/>
  <c r="K19" i="23"/>
  <c r="J61" i="23"/>
  <c r="J82" i="23"/>
  <c r="I53" i="23"/>
  <c r="I56" i="23"/>
  <c r="I61" i="23"/>
  <c r="I82" i="23"/>
  <c r="H53" i="23"/>
  <c r="H56" i="23"/>
  <c r="H61" i="23"/>
  <c r="H82" i="23"/>
  <c r="G64" i="23"/>
  <c r="C63" i="22"/>
  <c r="C65" i="22" s="1"/>
  <c r="E16" i="6"/>
  <c r="N6" i="23"/>
  <c r="O20" i="23" s="1"/>
  <c r="M15" i="23"/>
  <c r="M17" i="23"/>
  <c r="K53" i="23"/>
  <c r="K56" i="23"/>
  <c r="R5" i="23"/>
  <c r="D7" i="14" a="1"/>
  <c r="D7" i="14" s="1"/>
  <c r="E7" i="14" a="1"/>
  <c r="E7" i="14" s="1"/>
  <c r="F7" i="14" a="1"/>
  <c r="F7" i="14" s="1"/>
  <c r="G7" i="14" a="1"/>
  <c r="G7" i="14" s="1"/>
  <c r="H7" i="14" a="1"/>
  <c r="H7" i="14" s="1"/>
  <c r="I7" i="14" a="1"/>
  <c r="I7" i="14" s="1"/>
  <c r="N95" i="22"/>
  <c r="N103" i="22" s="1"/>
  <c r="M103" i="22"/>
  <c r="N92" i="22"/>
  <c r="N112" i="22" s="1"/>
  <c r="M112" i="22"/>
  <c r="N91" i="22"/>
  <c r="N111" i="22" s="1"/>
  <c r="M111" i="22"/>
  <c r="N90" i="22"/>
  <c r="N110" i="22" s="1"/>
  <c r="M110" i="22"/>
  <c r="L89" i="22"/>
  <c r="K109" i="22"/>
  <c r="F89" i="22"/>
  <c r="F109" i="22" s="1"/>
  <c r="E109" i="22"/>
  <c r="D44" i="22"/>
  <c r="D113" i="22"/>
  <c r="D33" i="22" s="1"/>
  <c r="L88" i="22"/>
  <c r="K108" i="22"/>
  <c r="L87" i="22"/>
  <c r="K107" i="22"/>
  <c r="L86" i="22"/>
  <c r="K106" i="22"/>
  <c r="F93" i="22"/>
  <c r="F106" i="22"/>
  <c r="E44" i="22"/>
  <c r="E113" i="22"/>
  <c r="E33" i="22" s="1"/>
  <c r="I44" i="22"/>
  <c r="I113" i="22"/>
  <c r="I33" i="22" s="1"/>
  <c r="H44" i="22"/>
  <c r="H113" i="22"/>
  <c r="H33" i="22" s="1"/>
  <c r="L85" i="22"/>
  <c r="K93" i="22"/>
  <c r="K105" i="22"/>
  <c r="K113" i="22" s="1"/>
  <c r="K33" i="22" s="1"/>
  <c r="J44" i="22"/>
  <c r="K58" i="1" s="1"/>
  <c r="J113" i="22"/>
  <c r="J33" i="22" s="1"/>
  <c r="G46" i="22"/>
  <c r="H58" i="1"/>
  <c r="K43" i="22"/>
  <c r="J46" i="22"/>
  <c r="M31" i="22"/>
  <c r="P71" i="23"/>
  <c r="P98" i="24"/>
  <c r="P45" i="25"/>
  <c r="M57" i="1"/>
  <c r="M29" i="22"/>
  <c r="P67" i="23"/>
  <c r="P94" i="24"/>
  <c r="P41" i="25"/>
  <c r="M61" i="1"/>
  <c r="G77" i="20"/>
  <c r="F79" i="20"/>
  <c r="F78" i="20" s="1"/>
  <c r="F72" i="20"/>
  <c r="F73" i="20"/>
  <c r="E74" i="20"/>
  <c r="H19" i="4"/>
  <c r="H18" i="4" s="1"/>
  <c r="G19" i="4"/>
  <c r="G18" i="4" s="1"/>
  <c r="I19" i="4"/>
  <c r="I18" i="4" s="1"/>
  <c r="J36" i="13"/>
  <c r="C55" i="5" s="1"/>
  <c r="K33" i="20"/>
  <c r="K108" i="1"/>
  <c r="J68" i="19"/>
  <c r="I70" i="19"/>
  <c r="I69" i="19" s="1"/>
  <c r="I63" i="19"/>
  <c r="I64" i="19"/>
  <c r="F48" i="19" s="1"/>
  <c r="H65" i="19"/>
  <c r="E47" i="19"/>
  <c r="D52" i="19"/>
  <c r="E146" i="1"/>
  <c r="J44" i="19"/>
  <c r="I34" i="19"/>
  <c r="H38" i="19"/>
  <c r="H42" i="19" s="1"/>
  <c r="H154" i="1"/>
  <c r="G64" i="18"/>
  <c r="F66" i="18"/>
  <c r="F70" i="18" s="1"/>
  <c r="G32" i="1" s="1"/>
  <c r="F104" i="18"/>
  <c r="F105" i="18" s="1"/>
  <c r="L51" i="18"/>
  <c r="L53" i="18"/>
  <c r="K58" i="18"/>
  <c r="K62" i="18" s="1"/>
  <c r="L152" i="1"/>
  <c r="P37" i="6"/>
  <c r="O37" i="6"/>
  <c r="M40" i="16"/>
  <c r="M45" i="16" s="1"/>
  <c r="N48" i="16"/>
  <c r="M153" i="1"/>
  <c r="L53" i="16"/>
  <c r="M15" i="4"/>
  <c r="M14" i="4" s="1"/>
  <c r="L15" i="4"/>
  <c r="L14" i="4" s="1"/>
  <c r="K15" i="4"/>
  <c r="K14" i="4" s="1"/>
  <c r="J15" i="4"/>
  <c r="J14" i="4" s="1"/>
  <c r="J63" i="16"/>
  <c r="C40" i="5" s="1"/>
  <c r="K63" i="16"/>
  <c r="D40" i="5" s="1"/>
  <c r="I15" i="4"/>
  <c r="I14" i="4" s="1"/>
  <c r="H15" i="4"/>
  <c r="H14" i="4" s="1"/>
  <c r="G15" i="4"/>
  <c r="G14" i="4" s="1"/>
  <c r="F15" i="4"/>
  <c r="F14" i="4" s="1"/>
  <c r="E15" i="4"/>
  <c r="E14" i="4" s="1"/>
  <c r="C68" i="15"/>
  <c r="D141" i="1"/>
  <c r="D11" i="1"/>
  <c r="J95" i="15"/>
  <c r="J93" i="15"/>
  <c r="G62" i="15" s="1"/>
  <c r="G63" i="15" s="1"/>
  <c r="K95" i="15"/>
  <c r="K93" i="15"/>
  <c r="H62" i="15" s="1"/>
  <c r="H63" i="15" s="1"/>
  <c r="L95" i="15"/>
  <c r="L93" i="15"/>
  <c r="I62" i="15" s="1"/>
  <c r="M95" i="15"/>
  <c r="M93" i="15"/>
  <c r="F58" i="15"/>
  <c r="F63" i="15" s="1"/>
  <c r="F54" i="15"/>
  <c r="F11" i="1"/>
  <c r="F141" i="1"/>
  <c r="I52" i="15"/>
  <c r="I54" i="15"/>
  <c r="H68" i="15"/>
  <c r="I150" i="1"/>
  <c r="F10" i="1"/>
  <c r="F9" i="1"/>
  <c r="E9" i="1"/>
  <c r="E10" i="1"/>
  <c r="G32" i="15"/>
  <c r="G128" i="1"/>
  <c r="G30" i="6"/>
  <c r="M27" i="15"/>
  <c r="P72" i="15" s="1"/>
  <c r="N6" i="1"/>
  <c r="L27" i="15"/>
  <c r="O72" i="15" s="1"/>
  <c r="M6" i="1"/>
  <c r="K27" i="15"/>
  <c r="N72" i="15" s="1"/>
  <c r="L6" i="1"/>
  <c r="N12" i="15"/>
  <c r="N17" i="15" s="1"/>
  <c r="O8" i="1"/>
  <c r="M44" i="15"/>
  <c r="L52" i="15"/>
  <c r="L54" i="15"/>
  <c r="K68" i="15"/>
  <c r="L150" i="1"/>
  <c r="G11" i="14"/>
  <c r="F15" i="14"/>
  <c r="E17" i="14"/>
  <c r="E72" i="1"/>
  <c r="E41" i="4"/>
  <c r="E23" i="4"/>
  <c r="E22" i="4" s="1"/>
  <c r="X19" i="12"/>
  <c r="Z19" i="12" s="1"/>
  <c r="AB19" i="12" s="1"/>
  <c r="AD19" i="12" s="1"/>
  <c r="W19" i="12"/>
  <c r="E59" i="6"/>
  <c r="E61" i="6" s="1"/>
  <c r="E69" i="6" s="1"/>
  <c r="G59" i="6"/>
  <c r="G61" i="6" s="1"/>
  <c r="G69" i="6" s="1"/>
  <c r="N59" i="6"/>
  <c r="N61" i="6" s="1"/>
  <c r="N69" i="6" s="1"/>
  <c r="P59" i="6"/>
  <c r="P61" i="6" s="1"/>
  <c r="P69" i="6" s="1"/>
  <c r="F59" i="6"/>
  <c r="F61" i="6" s="1"/>
  <c r="F69" i="6" s="1"/>
  <c r="J59" i="6"/>
  <c r="J61" i="6" s="1"/>
  <c r="J69" i="6" s="1"/>
  <c r="O59" i="6"/>
  <c r="O61" i="6" s="1"/>
  <c r="O69" i="6" s="1"/>
  <c r="K59" i="6"/>
  <c r="K61" i="6" s="1"/>
  <c r="P29" i="4"/>
  <c r="O29" i="4"/>
  <c r="G30" i="4"/>
  <c r="F30" i="4"/>
  <c r="E30" i="4"/>
  <c r="Q4" i="11"/>
  <c r="P43" i="11"/>
  <c r="G97" i="1" s="1"/>
  <c r="E28" i="4"/>
  <c r="E31" i="4" s="1"/>
  <c r="E61" i="4" s="1"/>
  <c r="D138" i="10"/>
  <c r="C139" i="10" a="1"/>
  <c r="C139" i="10" s="1"/>
  <c r="D139" i="10" a="1"/>
  <c r="D139" i="10" s="1"/>
  <c r="K5" i="10"/>
  <c r="J47" i="10"/>
  <c r="J45" i="10" s="1"/>
  <c r="J48" i="10"/>
  <c r="E26" i="9"/>
  <c r="L129" i="17"/>
  <c r="L128" i="17" s="1"/>
  <c r="L123" i="17"/>
  <c r="L109" i="17" s="1"/>
  <c r="L135" i="17" s="1"/>
  <c r="M124" i="17"/>
  <c r="I113" i="17"/>
  <c r="E61" i="17" s="1"/>
  <c r="E62" i="17"/>
  <c r="C25" i="1" s="1"/>
  <c r="J112" i="17"/>
  <c r="D70" i="17"/>
  <c r="D84" i="17" s="1"/>
  <c r="D83" i="17"/>
  <c r="K96" i="17"/>
  <c r="L96" i="17" s="1"/>
  <c r="M96" i="17" s="1"/>
  <c r="N96" i="17" s="1"/>
  <c r="O96" i="17" s="1"/>
  <c r="D24" i="1"/>
  <c r="I95" i="17"/>
  <c r="H101" i="17"/>
  <c r="G59" i="17"/>
  <c r="G104" i="17"/>
  <c r="G105" i="17" s="1"/>
  <c r="I44" i="13"/>
  <c r="M64" i="17"/>
  <c r="O52" i="17"/>
  <c r="P51" i="17"/>
  <c r="K54" i="17"/>
  <c r="I151" i="1"/>
  <c r="M45" i="17"/>
  <c r="L49" i="17"/>
  <c r="O57" i="17"/>
  <c r="M151" i="1"/>
  <c r="O54" i="17"/>
  <c r="H30" i="17"/>
  <c r="F16" i="1"/>
  <c r="D16" i="1"/>
  <c r="F30" i="17"/>
  <c r="J65" i="24"/>
  <c r="I90" i="24"/>
  <c r="E87" i="1"/>
  <c r="D59" i="22"/>
  <c r="H111" i="24"/>
  <c r="D64" i="22"/>
  <c r="J28" i="24"/>
  <c r="I89" i="24"/>
  <c r="I91" i="24" s="1"/>
  <c r="I110" i="24"/>
  <c r="G13" i="4"/>
  <c r="G12" i="4" s="1"/>
  <c r="F13" i="4"/>
  <c r="F12" i="4" s="1"/>
  <c r="E13" i="4"/>
  <c r="E12" i="4" s="1"/>
  <c r="M77" i="1"/>
  <c r="P51" i="25"/>
  <c r="G69" i="23"/>
  <c r="G73" i="23" s="1"/>
  <c r="G79" i="23" s="1"/>
  <c r="G96" i="24"/>
  <c r="G100" i="24" s="1"/>
  <c r="G107" i="24" s="1"/>
  <c r="G43" i="25"/>
  <c r="D59" i="1"/>
  <c r="L77" i="1"/>
  <c r="O51" i="25"/>
  <c r="K77" i="1"/>
  <c r="N51" i="25"/>
  <c r="J77" i="1"/>
  <c r="M51" i="25"/>
  <c r="I77" i="1"/>
  <c r="L51" i="25"/>
  <c r="H77" i="1"/>
  <c r="K51" i="25"/>
  <c r="M45" i="6"/>
  <c r="M49" i="6" s="1"/>
  <c r="K150" i="1"/>
  <c r="J68" i="15"/>
  <c r="K43" i="6"/>
  <c r="K49" i="6" s="1"/>
  <c r="Y11" i="12"/>
  <c r="Z11" i="12" s="1"/>
  <c r="AB11" i="12" s="1"/>
  <c r="AD11" i="12" s="1"/>
  <c r="Y18" i="11"/>
  <c r="AA18" i="11" s="1"/>
  <c r="AC18" i="11" s="1"/>
  <c r="AE18" i="11" s="1"/>
  <c r="X18" i="11"/>
  <c r="X20" i="11"/>
  <c r="Y20" i="11" s="1"/>
  <c r="AA20" i="11" s="1"/>
  <c r="AC20" i="11" s="1"/>
  <c r="AE20" i="11" s="1"/>
  <c r="E64" i="6"/>
  <c r="E67" i="6" s="1"/>
  <c r="H124" i="23"/>
  <c r="G15" i="22"/>
  <c r="D144" i="22" s="1"/>
  <c r="C60" i="22"/>
  <c r="L21" i="23"/>
  <c r="L22" i="23" s="1"/>
  <c r="D142" i="22"/>
  <c r="D145" i="22" s="1"/>
  <c r="F146" i="22" s="1"/>
  <c r="F148" i="22" s="1"/>
  <c r="G33" i="22"/>
  <c r="K62" i="16"/>
  <c r="D39" i="5" s="1"/>
  <c r="J62" i="16"/>
  <c r="C39" i="5" s="1"/>
  <c r="N28" i="15"/>
  <c r="F108" i="24"/>
  <c r="C86" i="1" s="1"/>
  <c r="D59" i="25"/>
  <c r="E59" i="25" s="1"/>
  <c r="F59" i="25" s="1"/>
  <c r="G59" i="25" s="1"/>
  <c r="H59" i="25" s="1"/>
  <c r="I59" i="25" s="1"/>
  <c r="J59" i="25" s="1"/>
  <c r="Z43" i="11"/>
  <c r="L97" i="1" s="1"/>
  <c r="D88" i="1"/>
  <c r="G112" i="24"/>
  <c r="G113" i="24" s="1"/>
  <c r="L100" i="23"/>
  <c r="L35" i="23"/>
  <c r="L36" i="23" s="1"/>
  <c r="I114" i="10" a="1"/>
  <c r="I114" i="10" s="1"/>
  <c r="I110" i="10" a="1"/>
  <c r="I110" i="10" s="1"/>
  <c r="E136" i="10" a="1"/>
  <c r="E136" i="10" s="1"/>
  <c r="L136" i="10" a="1"/>
  <c r="L136" i="10" s="1"/>
  <c r="L134" i="10" a="1"/>
  <c r="L134" i="10" s="1"/>
  <c r="H131" i="10" a="1"/>
  <c r="H131" i="10" s="1"/>
  <c r="E130" i="10" a="1"/>
  <c r="E130" i="10" s="1"/>
  <c r="E129" i="10" a="1"/>
  <c r="E129" i="10" s="1"/>
  <c r="K126" i="10" a="1"/>
  <c r="K126" i="10" s="1"/>
  <c r="E106" i="10" a="1"/>
  <c r="E106" i="10" s="1"/>
  <c r="K82" i="10"/>
  <c r="K81" i="10"/>
  <c r="K61" i="10"/>
  <c r="K69" i="10"/>
  <c r="K62" i="10"/>
  <c r="K63" i="10"/>
  <c r="K64" i="10"/>
  <c r="K73" i="10"/>
  <c r="K68" i="10"/>
  <c r="K83" i="10"/>
  <c r="K74" i="10"/>
  <c r="K71" i="10"/>
  <c r="K75" i="10"/>
  <c r="K70" i="10"/>
  <c r="K76" i="10"/>
  <c r="K95" i="10"/>
  <c r="K94" i="10"/>
  <c r="K77" i="10"/>
  <c r="K92" i="10"/>
  <c r="K91" i="10"/>
  <c r="K90" i="10"/>
  <c r="K80" i="10"/>
  <c r="K72" i="10"/>
  <c r="K84" i="10"/>
  <c r="L15" i="17"/>
  <c r="L10" i="17"/>
  <c r="L11" i="17" s="1"/>
  <c r="M11" i="17" s="1"/>
  <c r="N11" i="17" s="1"/>
  <c r="O48" i="24"/>
  <c r="O45" i="24"/>
  <c r="Q33" i="12"/>
  <c r="H102" i="1" s="1"/>
  <c r="P29" i="12" a="1"/>
  <c r="P29" i="12" s="1"/>
  <c r="H101" i="1" s="1"/>
  <c r="R13" i="12"/>
  <c r="T13" i="12" s="1"/>
  <c r="V13" i="12" s="1"/>
  <c r="X13" i="12" s="1"/>
  <c r="O33" i="12"/>
  <c r="G102" i="1" s="1"/>
  <c r="N23" i="12"/>
  <c r="G100" i="1" s="1"/>
  <c r="N29" i="12" a="1"/>
  <c r="N29" i="12" s="1"/>
  <c r="G101" i="1" s="1"/>
  <c r="P7" i="12"/>
  <c r="X10" i="12"/>
  <c r="Z10" i="12" s="1"/>
  <c r="AB10" i="12" s="1"/>
  <c r="AD10" i="12" s="1"/>
  <c r="V43" i="11"/>
  <c r="J97" i="1" s="1"/>
  <c r="W17" i="11"/>
  <c r="M12" i="11"/>
  <c r="K34" i="11"/>
  <c r="K33" i="11"/>
  <c r="E95" i="1" s="1"/>
  <c r="R74" i="25" l="1"/>
  <c r="R87" i="25"/>
  <c r="R95" i="25" s="1"/>
  <c r="M26" i="22"/>
  <c r="N54" i="1" s="1"/>
  <c r="Q42" i="25"/>
  <c r="J74" i="25"/>
  <c r="J87" i="25"/>
  <c r="J95" i="25" s="1"/>
  <c r="E26" i="22"/>
  <c r="F54" i="1" s="1"/>
  <c r="I42" i="25"/>
  <c r="N17" i="6"/>
  <c r="M17" i="6"/>
  <c r="L17" i="6"/>
  <c r="K17" i="6"/>
  <c r="J17" i="6"/>
  <c r="I17" i="6"/>
  <c r="R33" i="25"/>
  <c r="R28" i="25"/>
  <c r="R29" i="25" s="1"/>
  <c r="R26" i="25"/>
  <c r="R38" i="25"/>
  <c r="R57" i="25" s="1"/>
  <c r="O81" i="1" s="1"/>
  <c r="R56" i="25"/>
  <c r="Q34" i="25"/>
  <c r="M13" i="22"/>
  <c r="Q51" i="25"/>
  <c r="N77" i="1"/>
  <c r="Q58" i="25"/>
  <c r="N80" i="1"/>
  <c r="R129" i="24"/>
  <c r="R153" i="24" s="1"/>
  <c r="Q153" i="24"/>
  <c r="O128" i="24"/>
  <c r="N152" i="24"/>
  <c r="O127" i="24"/>
  <c r="N151" i="24"/>
  <c r="O126" i="24"/>
  <c r="N150" i="24"/>
  <c r="O125" i="24"/>
  <c r="N149" i="24"/>
  <c r="O124" i="24"/>
  <c r="N148" i="24"/>
  <c r="O123" i="24"/>
  <c r="N147" i="24"/>
  <c r="O122" i="24"/>
  <c r="N146" i="24"/>
  <c r="N87" i="24"/>
  <c r="N106" i="24" s="1"/>
  <c r="O121" i="24"/>
  <c r="N131" i="24"/>
  <c r="N145" i="24"/>
  <c r="N156" i="24" s="1"/>
  <c r="I27" i="22"/>
  <c r="J55" i="1" s="1"/>
  <c r="M95" i="24"/>
  <c r="J87" i="24"/>
  <c r="J106" i="24" s="1"/>
  <c r="J131" i="24"/>
  <c r="J145" i="24"/>
  <c r="J156" i="24" s="1"/>
  <c r="E27" i="22"/>
  <c r="F55" i="1" s="1"/>
  <c r="I95" i="24"/>
  <c r="F18" i="6"/>
  <c r="E18" i="6"/>
  <c r="C121" i="22"/>
  <c r="D86" i="1"/>
  <c r="H18" i="6"/>
  <c r="K77" i="24"/>
  <c r="H85" i="1"/>
  <c r="K105" i="24"/>
  <c r="I7" i="6"/>
  <c r="G18" i="6"/>
  <c r="O112" i="23"/>
  <c r="P109" i="23"/>
  <c r="R98" i="23"/>
  <c r="R122" i="23" s="1"/>
  <c r="Q122" i="23"/>
  <c r="Q96" i="23"/>
  <c r="P120" i="23"/>
  <c r="S120" i="23" s="1"/>
  <c r="M35" i="23"/>
  <c r="M36" i="23" s="1"/>
  <c r="M100" i="23"/>
  <c r="N97" i="23"/>
  <c r="M121" i="23"/>
  <c r="M124" i="23" s="1"/>
  <c r="Q95" i="23"/>
  <c r="P119" i="23"/>
  <c r="S119" i="23" s="1"/>
  <c r="Q94" i="23"/>
  <c r="P118" i="23"/>
  <c r="S118" i="23" s="1"/>
  <c r="Q93" i="23"/>
  <c r="P117" i="23"/>
  <c r="S117" i="23" s="1"/>
  <c r="Q92" i="23"/>
  <c r="P116" i="23"/>
  <c r="J100" i="23"/>
  <c r="J116" i="23"/>
  <c r="J124" i="23" s="1"/>
  <c r="J35" i="23"/>
  <c r="J36" i="23" s="1"/>
  <c r="J53" i="23" s="1"/>
  <c r="J77" i="23" s="1"/>
  <c r="G40" i="22"/>
  <c r="H53" i="1"/>
  <c r="D127" i="1"/>
  <c r="C22" i="22"/>
  <c r="C49" i="22" s="1"/>
  <c r="K48" i="23"/>
  <c r="K82" i="23" s="1"/>
  <c r="J62" i="23"/>
  <c r="G66" i="1"/>
  <c r="F5" i="22"/>
  <c r="F9" i="22" s="1"/>
  <c r="J58" i="23"/>
  <c r="L19" i="23"/>
  <c r="K61" i="23"/>
  <c r="G69" i="1"/>
  <c r="F58" i="22"/>
  <c r="F66" i="1"/>
  <c r="I77" i="23"/>
  <c r="E5" i="22"/>
  <c r="E9" i="22" s="1"/>
  <c r="I58" i="23"/>
  <c r="I63" i="23"/>
  <c r="I83" i="23"/>
  <c r="F70" i="1" s="1"/>
  <c r="F69" i="1"/>
  <c r="E58" i="22"/>
  <c r="E60" i="22" s="1"/>
  <c r="E66" i="1"/>
  <c r="H77" i="23"/>
  <c r="D5" i="22"/>
  <c r="D9" i="22" s="1"/>
  <c r="H58" i="23"/>
  <c r="H63" i="23"/>
  <c r="H83" i="23"/>
  <c r="E70" i="1" s="1"/>
  <c r="E69" i="1"/>
  <c r="D58" i="22"/>
  <c r="D60" i="22" s="1"/>
  <c r="C66" i="22"/>
  <c r="C46" i="13"/>
  <c r="O6" i="23"/>
  <c r="N15" i="23"/>
  <c r="N17" i="23"/>
  <c r="H66" i="1"/>
  <c r="K77" i="23"/>
  <c r="K58" i="23"/>
  <c r="X106" i="23"/>
  <c r="G5" i="22"/>
  <c r="M89" i="22"/>
  <c r="L109" i="22"/>
  <c r="E58" i="1"/>
  <c r="D46" i="22"/>
  <c r="H69" i="23"/>
  <c r="H96" i="24"/>
  <c r="H100" i="24" s="1"/>
  <c r="H107" i="24" s="1"/>
  <c r="H43" i="25"/>
  <c r="E59" i="1"/>
  <c r="M88" i="22"/>
  <c r="L108" i="22"/>
  <c r="M87" i="22"/>
  <c r="L107" i="22"/>
  <c r="M86" i="22"/>
  <c r="L106" i="22"/>
  <c r="F113" i="22"/>
  <c r="F44" i="22"/>
  <c r="F58" i="1"/>
  <c r="E46" i="22"/>
  <c r="F59" i="1"/>
  <c r="I43" i="25"/>
  <c r="F79" i="1" s="1"/>
  <c r="I96" i="24"/>
  <c r="I69" i="23"/>
  <c r="I46" i="22"/>
  <c r="J58" i="1"/>
  <c r="M69" i="23"/>
  <c r="M96" i="24"/>
  <c r="M43" i="25"/>
  <c r="J59" i="1"/>
  <c r="H46" i="22"/>
  <c r="I58" i="1"/>
  <c r="L69" i="23"/>
  <c r="L96" i="24"/>
  <c r="L100" i="24" s="1"/>
  <c r="L107" i="24" s="1"/>
  <c r="L43" i="25"/>
  <c r="I59" i="1"/>
  <c r="M85" i="22"/>
  <c r="L93" i="22"/>
  <c r="L105" i="22"/>
  <c r="L113" i="22" s="1"/>
  <c r="L33" i="22" s="1"/>
  <c r="O69" i="23"/>
  <c r="O96" i="24"/>
  <c r="O43" i="25"/>
  <c r="L59" i="1"/>
  <c r="N69" i="23"/>
  <c r="N96" i="24"/>
  <c r="N43" i="25"/>
  <c r="K59" i="1"/>
  <c r="L43" i="22"/>
  <c r="K46" i="22"/>
  <c r="N31" i="22"/>
  <c r="Q71" i="23"/>
  <c r="Q98" i="24"/>
  <c r="Q45" i="25"/>
  <c r="N57" i="1"/>
  <c r="Q67" i="23"/>
  <c r="Q94" i="24"/>
  <c r="Q41" i="25"/>
  <c r="N61" i="1"/>
  <c r="H77" i="20"/>
  <c r="G79" i="20"/>
  <c r="G78" i="20" s="1"/>
  <c r="G72" i="20"/>
  <c r="G73" i="20"/>
  <c r="F74" i="20"/>
  <c r="K36" i="13"/>
  <c r="D55" i="5" s="1"/>
  <c r="L33" i="20"/>
  <c r="L108" i="1"/>
  <c r="L19" i="4"/>
  <c r="L18" i="4" s="1"/>
  <c r="K68" i="19"/>
  <c r="J70" i="19"/>
  <c r="J69" i="19" s="1"/>
  <c r="J63" i="19"/>
  <c r="J64" i="19"/>
  <c r="G48" i="19" s="1"/>
  <c r="I65" i="19"/>
  <c r="F47" i="19"/>
  <c r="E52" i="19"/>
  <c r="F146" i="1"/>
  <c r="D54" i="19"/>
  <c r="D58" i="19" s="1"/>
  <c r="D60" i="19" s="1"/>
  <c r="E38" i="1" s="1"/>
  <c r="E145" i="1"/>
  <c r="J34" i="19"/>
  <c r="J38" i="19" s="1"/>
  <c r="J42" i="19" s="1"/>
  <c r="I38" i="19"/>
  <c r="I42" i="19" s="1"/>
  <c r="I154" i="1"/>
  <c r="H64" i="18"/>
  <c r="G66" i="18"/>
  <c r="G70" i="18" s="1"/>
  <c r="H13" i="4"/>
  <c r="H12" i="4" s="1"/>
  <c r="L58" i="18"/>
  <c r="L62" i="18" s="1"/>
  <c r="M152" i="1"/>
  <c r="N153" i="1"/>
  <c r="M53" i="16"/>
  <c r="N47" i="16"/>
  <c r="N51" i="16"/>
  <c r="L56" i="16"/>
  <c r="L61" i="16" s="1"/>
  <c r="M45" i="1"/>
  <c r="D9" i="1"/>
  <c r="D10" i="1"/>
  <c r="G68" i="15"/>
  <c r="H11" i="1"/>
  <c r="H141" i="1"/>
  <c r="I11" i="1"/>
  <c r="I141" i="1"/>
  <c r="I63" i="15"/>
  <c r="I68" i="15" s="1"/>
  <c r="J21" i="15"/>
  <c r="J25" i="15" s="1"/>
  <c r="F68" i="15"/>
  <c r="G11" i="1"/>
  <c r="G141" i="1"/>
  <c r="J150" i="1"/>
  <c r="I10" i="1"/>
  <c r="I9" i="1"/>
  <c r="G7" i="4"/>
  <c r="G6" i="4" s="1"/>
  <c r="F7" i="4"/>
  <c r="F6" i="4" s="1"/>
  <c r="H32" i="15"/>
  <c r="H128" i="1"/>
  <c r="H30" i="6"/>
  <c r="O35" i="6"/>
  <c r="O41" i="6" s="1"/>
  <c r="O51" i="6" s="1"/>
  <c r="N35" i="6"/>
  <c r="M35" i="6"/>
  <c r="N27" i="15"/>
  <c r="O6" i="1"/>
  <c r="N44" i="15"/>
  <c r="M52" i="15"/>
  <c r="M54" i="15"/>
  <c r="L68" i="15"/>
  <c r="M150" i="1"/>
  <c r="K69" i="15"/>
  <c r="D35" i="5" s="1"/>
  <c r="L9" i="1"/>
  <c r="L10" i="1"/>
  <c r="H11" i="14"/>
  <c r="G15" i="14"/>
  <c r="F17" i="14"/>
  <c r="F73" i="1" s="1"/>
  <c r="F19" i="14"/>
  <c r="G147" i="1" s="1"/>
  <c r="F72" i="1"/>
  <c r="F23" i="4"/>
  <c r="F22" i="4" s="1"/>
  <c r="Q34" i="11"/>
  <c r="R4" i="11"/>
  <c r="S4" i="11"/>
  <c r="H64" i="6"/>
  <c r="C142" i="10"/>
  <c r="C50" i="9"/>
  <c r="D50" i="9"/>
  <c r="L5" i="10"/>
  <c r="K47" i="10"/>
  <c r="K45" i="10" s="1"/>
  <c r="K48" i="10"/>
  <c r="F26" i="9"/>
  <c r="M129" i="17"/>
  <c r="M128" i="17" s="1"/>
  <c r="N124" i="17"/>
  <c r="M123" i="17"/>
  <c r="M109" i="17" s="1"/>
  <c r="M135" i="17" s="1"/>
  <c r="E82" i="17"/>
  <c r="E65" i="17"/>
  <c r="J113" i="17"/>
  <c r="F61" i="17" s="1"/>
  <c r="K112" i="17"/>
  <c r="F62" i="17"/>
  <c r="D25" i="1" s="1"/>
  <c r="I101" i="17"/>
  <c r="D95" i="17"/>
  <c r="D101" i="17" s="1"/>
  <c r="D80" i="17" s="1"/>
  <c r="D85" i="17" s="1"/>
  <c r="J95" i="17"/>
  <c r="H59" i="17"/>
  <c r="H104" i="17"/>
  <c r="H105" i="17" s="1"/>
  <c r="E24" i="1"/>
  <c r="N64" i="17"/>
  <c r="J44" i="13"/>
  <c r="Q51" i="17"/>
  <c r="Q52" i="17" s="1"/>
  <c r="P52" i="17"/>
  <c r="N45" i="17"/>
  <c r="N49" i="17" s="1"/>
  <c r="M49" i="17"/>
  <c r="J151" i="1"/>
  <c r="L54" i="17"/>
  <c r="P57" i="17"/>
  <c r="O55" i="17"/>
  <c r="Q57" i="17"/>
  <c r="M23" i="1"/>
  <c r="O6" i="17"/>
  <c r="O8" i="17" s="1"/>
  <c r="O56" i="17"/>
  <c r="G36" i="6"/>
  <c r="G41" i="6" s="1"/>
  <c r="G51" i="6" s="1"/>
  <c r="E36" i="6"/>
  <c r="E41" i="6" s="1"/>
  <c r="E51" i="6" s="1"/>
  <c r="J90" i="24"/>
  <c r="K65" i="24"/>
  <c r="K28" i="24"/>
  <c r="L29" i="24"/>
  <c r="L31" i="24" s="1"/>
  <c r="M29" i="24"/>
  <c r="M31" i="24" s="1"/>
  <c r="N29" i="24"/>
  <c r="N31" i="24" s="1"/>
  <c r="J89" i="24"/>
  <c r="J110" i="24"/>
  <c r="I111" i="24"/>
  <c r="F88" i="1" s="1"/>
  <c r="E64" i="22"/>
  <c r="I112" i="24"/>
  <c r="F87" i="1"/>
  <c r="E59" i="22"/>
  <c r="N6" i="6"/>
  <c r="G47" i="25"/>
  <c r="G53" i="25" s="1"/>
  <c r="D79" i="1"/>
  <c r="M6" i="6"/>
  <c r="L6" i="6"/>
  <c r="K6" i="6"/>
  <c r="J6" i="6"/>
  <c r="I6" i="6"/>
  <c r="K10" i="1"/>
  <c r="K9" i="1"/>
  <c r="H68" i="23"/>
  <c r="D25" i="22"/>
  <c r="L68" i="23"/>
  <c r="H25" i="22"/>
  <c r="C45" i="13"/>
  <c r="D63" i="1"/>
  <c r="L56" i="23"/>
  <c r="L53" i="23"/>
  <c r="H59" i="1"/>
  <c r="K43" i="25"/>
  <c r="K96" i="24"/>
  <c r="K100" i="24" s="1"/>
  <c r="K107" i="24" s="1"/>
  <c r="K102" i="24" s="1"/>
  <c r="K69" i="23"/>
  <c r="K73" i="23" s="1"/>
  <c r="K79" i="23" s="1"/>
  <c r="M64" i="6"/>
  <c r="J114" i="10" a="1"/>
  <c r="J114" i="10" s="1"/>
  <c r="J110" i="10" a="1"/>
  <c r="J110" i="10" s="1"/>
  <c r="F136" i="10" a="1"/>
  <c r="F136" i="10" s="1"/>
  <c r="M136" i="10" a="1"/>
  <c r="M136" i="10" s="1"/>
  <c r="M134" i="10" a="1"/>
  <c r="M134" i="10" s="1"/>
  <c r="I131" i="10" a="1"/>
  <c r="I131" i="10" s="1"/>
  <c r="F130" i="10" a="1"/>
  <c r="F130" i="10" s="1"/>
  <c r="F129" i="10" a="1"/>
  <c r="F129" i="10" s="1"/>
  <c r="L126" i="10" a="1"/>
  <c r="L126" i="10" s="1"/>
  <c r="F106" i="10" a="1"/>
  <c r="F106" i="10" s="1"/>
  <c r="P46" i="24"/>
  <c r="P48" i="24" s="1"/>
  <c r="P45" i="24"/>
  <c r="I65" i="6"/>
  <c r="I59" i="6"/>
  <c r="I61" i="6" s="1"/>
  <c r="Y13" i="12"/>
  <c r="Z13" i="12"/>
  <c r="AB13" i="12" s="1"/>
  <c r="AD13" i="12" s="1"/>
  <c r="H65" i="6"/>
  <c r="H30" i="4"/>
  <c r="H59" i="6"/>
  <c r="H61" i="6" s="1"/>
  <c r="P24" i="12"/>
  <c r="P23" i="12"/>
  <c r="H100" i="1" s="1"/>
  <c r="R7" i="12"/>
  <c r="K64" i="6"/>
  <c r="K67" i="6" s="1"/>
  <c r="K69" i="6" s="1"/>
  <c r="X17" i="11"/>
  <c r="X43" i="11" s="1"/>
  <c r="K97" i="1" s="1"/>
  <c r="Y17" i="11"/>
  <c r="AA17" i="11" s="1"/>
  <c r="AC17" i="11" s="1"/>
  <c r="AE17" i="11" s="1"/>
  <c r="M34" i="11"/>
  <c r="M33" i="11"/>
  <c r="F95" i="1" s="1"/>
  <c r="O12" i="11"/>
  <c r="F28" i="4"/>
  <c r="F31" i="4" s="1"/>
  <c r="F61" i="4" s="1"/>
  <c r="K59" i="25"/>
  <c r="L59" i="25" s="1"/>
  <c r="M59" i="25" s="1"/>
  <c r="N59" i="25" s="1"/>
  <c r="O59" i="25" s="1"/>
  <c r="P59" i="25" s="1"/>
  <c r="I124" i="23"/>
  <c r="E8" i="6"/>
  <c r="E19" i="6"/>
  <c r="M21" i="23"/>
  <c r="M22" i="23" s="1"/>
  <c r="D140" i="10"/>
  <c r="L132" i="17"/>
  <c r="K97" i="10" a="1"/>
  <c r="K97" i="10" s="1"/>
  <c r="X101" i="23"/>
  <c r="Z102" i="23" s="1"/>
  <c r="X104" i="23"/>
  <c r="X107" i="23" s="1"/>
  <c r="Z108" i="23" s="1"/>
  <c r="Z110" i="23" s="1"/>
  <c r="E73" i="1"/>
  <c r="E19" i="14"/>
  <c r="F147" i="1" s="1"/>
  <c r="W33" i="12"/>
  <c r="K102" i="1" s="1"/>
  <c r="V29" i="12" a="1"/>
  <c r="V29" i="12" s="1"/>
  <c r="K101" i="1" s="1"/>
  <c r="G60" i="17"/>
  <c r="G79" i="17"/>
  <c r="E88" i="1"/>
  <c r="H112" i="24"/>
  <c r="H113" i="24" s="1"/>
  <c r="G75" i="23"/>
  <c r="G80" i="23"/>
  <c r="E139" i="10" a="1"/>
  <c r="E139" i="10" s="1"/>
  <c r="N26" i="22" l="1"/>
  <c r="O54" i="1" s="1"/>
  <c r="R42" i="25"/>
  <c r="F26" i="22"/>
  <c r="G54" i="1" s="1"/>
  <c r="J42" i="25"/>
  <c r="R34" i="25"/>
  <c r="N13" i="22"/>
  <c r="R51" i="25"/>
  <c r="O77" i="1"/>
  <c r="R58" i="25"/>
  <c r="R59" i="25" s="1"/>
  <c r="O80" i="1"/>
  <c r="N78" i="1"/>
  <c r="Q52" i="25"/>
  <c r="Q35" i="25"/>
  <c r="O6" i="6"/>
  <c r="P128" i="24"/>
  <c r="O152" i="24"/>
  <c r="P127" i="24"/>
  <c r="O151" i="24"/>
  <c r="P126" i="24"/>
  <c r="O150" i="24"/>
  <c r="P125" i="24"/>
  <c r="O149" i="24"/>
  <c r="P124" i="24"/>
  <c r="O148" i="24"/>
  <c r="P123" i="24"/>
  <c r="O147" i="24"/>
  <c r="P122" i="24"/>
  <c r="O146" i="24"/>
  <c r="O87" i="24"/>
  <c r="O106" i="24" s="1"/>
  <c r="P121" i="24"/>
  <c r="O131" i="24"/>
  <c r="O145" i="24"/>
  <c r="O156" i="24" s="1"/>
  <c r="J27" i="22"/>
  <c r="K55" i="1" s="1"/>
  <c r="N95" i="24"/>
  <c r="N100" i="24" s="1"/>
  <c r="N107" i="24" s="1"/>
  <c r="F27" i="22"/>
  <c r="G55" i="1" s="1"/>
  <c r="J95" i="24"/>
  <c r="I18" i="6"/>
  <c r="P112" i="23"/>
  <c r="Q109" i="23"/>
  <c r="R96" i="23"/>
  <c r="R120" i="23" s="1"/>
  <c r="Q120" i="23"/>
  <c r="N35" i="23"/>
  <c r="N36" i="23" s="1"/>
  <c r="N100" i="23"/>
  <c r="O97" i="23"/>
  <c r="N121" i="23"/>
  <c r="N124" i="23" s="1"/>
  <c r="M68" i="23"/>
  <c r="M73" i="23" s="1"/>
  <c r="M79" i="23" s="1"/>
  <c r="I25" i="22"/>
  <c r="R95" i="23"/>
  <c r="R119" i="23" s="1"/>
  <c r="Q119" i="23"/>
  <c r="R94" i="23"/>
  <c r="R118" i="23" s="1"/>
  <c r="Q118" i="23"/>
  <c r="R93" i="23"/>
  <c r="R117" i="23" s="1"/>
  <c r="Q117" i="23"/>
  <c r="R92" i="23"/>
  <c r="Q116" i="23"/>
  <c r="S116" i="23"/>
  <c r="J68" i="23"/>
  <c r="F25" i="22"/>
  <c r="G22" i="22"/>
  <c r="H127" i="1"/>
  <c r="E57" i="4"/>
  <c r="C54" i="22"/>
  <c r="C55" i="22" s="1"/>
  <c r="C43" i="13" s="1"/>
  <c r="E21" i="6"/>
  <c r="E23" i="6" s="1"/>
  <c r="E25" i="6" s="1"/>
  <c r="L48" i="23"/>
  <c r="K62" i="23"/>
  <c r="H5" i="6"/>
  <c r="H8" i="6" s="1"/>
  <c r="J59" i="23"/>
  <c r="J78" i="23"/>
  <c r="G67" i="1"/>
  <c r="M19" i="23"/>
  <c r="L82" i="23"/>
  <c r="L61" i="23"/>
  <c r="K63" i="23"/>
  <c r="K83" i="23"/>
  <c r="H70" i="1" s="1"/>
  <c r="H69" i="1"/>
  <c r="G58" i="22"/>
  <c r="G5" i="6"/>
  <c r="G8" i="6" s="1"/>
  <c r="I59" i="23"/>
  <c r="I78" i="23"/>
  <c r="F67" i="1"/>
  <c r="I64" i="23"/>
  <c r="E63" i="22"/>
  <c r="E65" i="22" s="1"/>
  <c r="F63" i="1"/>
  <c r="E45" i="13"/>
  <c r="F5" i="6"/>
  <c r="F8" i="6" s="1"/>
  <c r="H59" i="23"/>
  <c r="H78" i="23"/>
  <c r="E67" i="1"/>
  <c r="H64" i="23"/>
  <c r="D63" i="22"/>
  <c r="D65" i="22" s="1"/>
  <c r="E63" i="1"/>
  <c r="D45" i="13"/>
  <c r="O15" i="23"/>
  <c r="P6" i="23"/>
  <c r="O17" i="23"/>
  <c r="P20" i="23"/>
  <c r="I5" i="6"/>
  <c r="I8" i="6" s="1"/>
  <c r="K59" i="23"/>
  <c r="K75" i="23"/>
  <c r="K78" i="23"/>
  <c r="K80" i="23" s="1"/>
  <c r="H67" i="1"/>
  <c r="G9" i="22"/>
  <c r="G49" i="22" s="1"/>
  <c r="G10" i="22"/>
  <c r="N89" i="22"/>
  <c r="N109" i="22" s="1"/>
  <c r="M109" i="22"/>
  <c r="H108" i="24"/>
  <c r="H102" i="24"/>
  <c r="H47" i="25"/>
  <c r="H53" i="25" s="1"/>
  <c r="E79" i="1"/>
  <c r="N88" i="22"/>
  <c r="N108" i="22" s="1"/>
  <c r="M108" i="22"/>
  <c r="N87" i="22"/>
  <c r="N107" i="22" s="1"/>
  <c r="M107" i="22"/>
  <c r="N86" i="22"/>
  <c r="N106" i="22" s="1"/>
  <c r="M106" i="22"/>
  <c r="G58" i="1"/>
  <c r="F46" i="22"/>
  <c r="M47" i="25"/>
  <c r="M53" i="25" s="1"/>
  <c r="J79" i="1"/>
  <c r="L47" i="25"/>
  <c r="L53" i="25" s="1"/>
  <c r="I79" i="1"/>
  <c r="N85" i="22"/>
  <c r="M93" i="22"/>
  <c r="M105" i="22"/>
  <c r="M113" i="22" s="1"/>
  <c r="M33" i="22" s="1"/>
  <c r="P69" i="23"/>
  <c r="P96" i="24"/>
  <c r="P43" i="25"/>
  <c r="M59" i="1"/>
  <c r="O47" i="25"/>
  <c r="O53" i="25" s="1"/>
  <c r="L79" i="1"/>
  <c r="N47" i="25"/>
  <c r="N53" i="25" s="1"/>
  <c r="K79" i="1"/>
  <c r="M43" i="22"/>
  <c r="L46" i="22"/>
  <c r="R71" i="23"/>
  <c r="R98" i="24"/>
  <c r="R45" i="25"/>
  <c r="O57" i="1"/>
  <c r="I77" i="20"/>
  <c r="H79" i="20"/>
  <c r="H78" i="20" s="1"/>
  <c r="H72" i="20"/>
  <c r="H73" i="20"/>
  <c r="G74" i="20"/>
  <c r="M33" i="20"/>
  <c r="P35" i="20"/>
  <c r="M108" i="1"/>
  <c r="M19" i="4"/>
  <c r="M18" i="4" s="1"/>
  <c r="L68" i="19"/>
  <c r="K70" i="19"/>
  <c r="K69" i="19" s="1"/>
  <c r="K63" i="19"/>
  <c r="K64" i="19"/>
  <c r="H48" i="19" s="1"/>
  <c r="J65" i="19"/>
  <c r="G47" i="19"/>
  <c r="F52" i="19"/>
  <c r="G146" i="1"/>
  <c r="E54" i="19"/>
  <c r="E58" i="19" s="1"/>
  <c r="E60" i="19" s="1"/>
  <c r="F38" i="1" s="1"/>
  <c r="F145" i="1"/>
  <c r="F17" i="4"/>
  <c r="F16" i="4" s="1"/>
  <c r="K154" i="1"/>
  <c r="J154" i="1"/>
  <c r="I64" i="18"/>
  <c r="H66" i="18"/>
  <c r="H70" i="18" s="1"/>
  <c r="I32" i="1" s="1"/>
  <c r="H32" i="1"/>
  <c r="M56" i="16"/>
  <c r="M61" i="16" s="1"/>
  <c r="N45" i="1"/>
  <c r="N53" i="16"/>
  <c r="O46" i="1"/>
  <c r="O144" i="1"/>
  <c r="L63" i="16"/>
  <c r="E40" i="5" s="1"/>
  <c r="L62" i="16"/>
  <c r="E39" i="5" s="1"/>
  <c r="N15" i="4"/>
  <c r="N14" i="4" s="1"/>
  <c r="E7" i="4"/>
  <c r="E6" i="4" s="1"/>
  <c r="H9" i="1"/>
  <c r="H10" i="1"/>
  <c r="L70" i="15"/>
  <c r="E36" i="5" s="1"/>
  <c r="K70" i="15"/>
  <c r="D36" i="5" s="1"/>
  <c r="J141" i="1"/>
  <c r="J11" i="1"/>
  <c r="J27" i="15"/>
  <c r="J70" i="15" s="1"/>
  <c r="C36" i="5" s="1"/>
  <c r="K7" i="1"/>
  <c r="G10" i="1"/>
  <c r="G9" i="1"/>
  <c r="L72" i="15"/>
  <c r="J10" i="1"/>
  <c r="J9" i="1"/>
  <c r="J7" i="4"/>
  <c r="J6" i="4" s="1"/>
  <c r="I32" i="15"/>
  <c r="I128" i="1"/>
  <c r="I30" i="6"/>
  <c r="P35" i="6"/>
  <c r="P41" i="6" s="1"/>
  <c r="P51" i="6" s="1"/>
  <c r="N52" i="15"/>
  <c r="N54" i="15"/>
  <c r="M68" i="15"/>
  <c r="M70" i="15" s="1"/>
  <c r="F36" i="5" s="1"/>
  <c r="N150" i="1"/>
  <c r="L69" i="15"/>
  <c r="E35" i="5" s="1"/>
  <c r="M10" i="1"/>
  <c r="M9" i="1"/>
  <c r="M7" i="4"/>
  <c r="M6" i="4" s="1"/>
  <c r="I11" i="14"/>
  <c r="H15" i="14"/>
  <c r="G17" i="14"/>
  <c r="G73" i="1" s="1"/>
  <c r="G19" i="14"/>
  <c r="H147" i="1" s="1"/>
  <c r="G72" i="1"/>
  <c r="G41" i="4"/>
  <c r="G23" i="4"/>
  <c r="G22" i="4" s="1"/>
  <c r="S34" i="11"/>
  <c r="S33" i="11"/>
  <c r="I95" i="1" s="1"/>
  <c r="U4" i="11"/>
  <c r="C186" i="10"/>
  <c r="C52" i="9"/>
  <c r="D51" i="9"/>
  <c r="C27" i="9"/>
  <c r="C28" i="9" s="1"/>
  <c r="E51" i="9"/>
  <c r="D27" i="9"/>
  <c r="G61" i="10"/>
  <c r="H61" i="10" s="1"/>
  <c r="M5" i="10"/>
  <c r="L47" i="10"/>
  <c r="L48" i="10"/>
  <c r="G26" i="9"/>
  <c r="N129" i="17"/>
  <c r="N128" i="17" s="1"/>
  <c r="N123" i="17"/>
  <c r="N109" i="17" s="1"/>
  <c r="N135" i="17" s="1"/>
  <c r="O124" i="17"/>
  <c r="E68" i="17"/>
  <c r="C142" i="1"/>
  <c r="F65" i="17"/>
  <c r="F82" i="17"/>
  <c r="K113" i="17"/>
  <c r="G61" i="17" s="1"/>
  <c r="G62" i="17"/>
  <c r="E25" i="1" s="1"/>
  <c r="L112" i="17"/>
  <c r="I59" i="17"/>
  <c r="I104" i="17"/>
  <c r="I105" i="17" s="1"/>
  <c r="I60" i="17" s="1"/>
  <c r="K95" i="17"/>
  <c r="J101" i="17"/>
  <c r="F24" i="1"/>
  <c r="O64" i="17"/>
  <c r="K44" i="13"/>
  <c r="N56" i="17"/>
  <c r="L151" i="1"/>
  <c r="N54" i="17"/>
  <c r="K151" i="1"/>
  <c r="M54" i="17"/>
  <c r="P6" i="17"/>
  <c r="P8" i="17" s="1"/>
  <c r="P56" i="17"/>
  <c r="N23" i="1"/>
  <c r="Q6" i="17"/>
  <c r="Q8" i="17" s="1"/>
  <c r="O23" i="1"/>
  <c r="Q56" i="17"/>
  <c r="O9" i="17"/>
  <c r="O10" i="17"/>
  <c r="O11" i="17" s="1"/>
  <c r="L65" i="24"/>
  <c r="K90" i="24"/>
  <c r="L28" i="24"/>
  <c r="K89" i="24"/>
  <c r="K91" i="24" s="1"/>
  <c r="K110" i="24"/>
  <c r="L70" i="24"/>
  <c r="L74" i="24"/>
  <c r="M70" i="24"/>
  <c r="M74" i="24"/>
  <c r="N70" i="24"/>
  <c r="N74" i="24"/>
  <c r="G87" i="1"/>
  <c r="F59" i="22"/>
  <c r="F60" i="22" s="1"/>
  <c r="G54" i="25"/>
  <c r="C122" i="22" s="1"/>
  <c r="G49" i="25"/>
  <c r="L7" i="4"/>
  <c r="L6" i="4" s="1"/>
  <c r="E53" i="1"/>
  <c r="D38" i="22"/>
  <c r="D40" i="22" s="1"/>
  <c r="H35" i="22"/>
  <c r="H40" i="22" s="1"/>
  <c r="I53" i="1"/>
  <c r="H5" i="22"/>
  <c r="L58" i="23"/>
  <c r="I66" i="1"/>
  <c r="L77" i="23"/>
  <c r="K47" i="25"/>
  <c r="K53" i="25" s="1"/>
  <c r="H79" i="1"/>
  <c r="K114" i="10" a="1"/>
  <c r="K114" i="10" s="1"/>
  <c r="K110" i="10" a="1"/>
  <c r="K110" i="10" s="1"/>
  <c r="N136" i="10" a="1"/>
  <c r="N136" i="10" s="1"/>
  <c r="N134" i="10" a="1"/>
  <c r="N134" i="10" s="1"/>
  <c r="J131" i="10" a="1"/>
  <c r="J131" i="10" s="1"/>
  <c r="G130" i="10" a="1"/>
  <c r="G130" i="10" s="1"/>
  <c r="G129" i="10" a="1"/>
  <c r="G129" i="10" s="1"/>
  <c r="M126" i="10" a="1"/>
  <c r="M126" i="10" s="1"/>
  <c r="F139" i="10" a="1"/>
  <c r="F139" i="10" s="1"/>
  <c r="G106" i="10" a="1"/>
  <c r="G106" i="10" s="1"/>
  <c r="Q46" i="24"/>
  <c r="I30" i="4"/>
  <c r="R23" i="12"/>
  <c r="I100" i="1" s="1"/>
  <c r="R24" i="12"/>
  <c r="T7" i="12"/>
  <c r="L64" i="6"/>
  <c r="G28" i="4"/>
  <c r="G31" i="4" s="1"/>
  <c r="G61" i="4" s="1"/>
  <c r="O33" i="11"/>
  <c r="G95" i="1" s="1"/>
  <c r="O34" i="11"/>
  <c r="Q12" i="11"/>
  <c r="S12" i="11" s="1"/>
  <c r="U12" i="11" s="1"/>
  <c r="W12" i="11" s="1"/>
  <c r="Y12" i="11" s="1"/>
  <c r="AA12" i="11" s="1"/>
  <c r="AC12" i="11" s="1"/>
  <c r="AE12" i="11" s="1"/>
  <c r="E25" i="22"/>
  <c r="I68" i="23"/>
  <c r="I73" i="23" s="1"/>
  <c r="I79" i="23" s="1"/>
  <c r="I75" i="23" s="1"/>
  <c r="C117" i="22"/>
  <c r="M56" i="23"/>
  <c r="M53" i="23"/>
  <c r="F41" i="4"/>
  <c r="L65" i="6"/>
  <c r="L59" i="6"/>
  <c r="L61" i="6" s="1"/>
  <c r="D68" i="1"/>
  <c r="C120" i="22"/>
  <c r="C123" i="22" s="1"/>
  <c r="E50" i="9"/>
  <c r="I47" i="25"/>
  <c r="I53" i="25" s="1"/>
  <c r="Q59" i="25"/>
  <c r="M100" i="24"/>
  <c r="M107" i="24" s="1"/>
  <c r="I100" i="24"/>
  <c r="I107" i="24" s="1"/>
  <c r="K108" i="24"/>
  <c r="N21" i="23"/>
  <c r="N22" i="23" s="1"/>
  <c r="F33" i="22"/>
  <c r="H67" i="6"/>
  <c r="H69" i="6" s="1"/>
  <c r="M132" i="17"/>
  <c r="J91" i="24"/>
  <c r="I113" i="24"/>
  <c r="H73" i="23"/>
  <c r="H79" i="23" s="1"/>
  <c r="H75" i="23" s="1"/>
  <c r="L73" i="23"/>
  <c r="L79" i="23" s="1"/>
  <c r="J63" i="23"/>
  <c r="J83" i="23"/>
  <c r="G70" i="1" s="1"/>
  <c r="R43" i="11"/>
  <c r="H97" i="1" s="1"/>
  <c r="Q33" i="11"/>
  <c r="H95" i="1" s="1"/>
  <c r="H60" i="17"/>
  <c r="H79" i="17"/>
  <c r="X29" i="12" a="1"/>
  <c r="X29" i="12" s="1"/>
  <c r="L101" i="1" s="1"/>
  <c r="Y33" i="12"/>
  <c r="L102" i="1" s="1"/>
  <c r="E140" i="10"/>
  <c r="D142" i="10"/>
  <c r="O78" i="1" l="1"/>
  <c r="R52" i="25"/>
  <c r="R35" i="25"/>
  <c r="P6" i="6"/>
  <c r="O17" i="6"/>
  <c r="Q128" i="24"/>
  <c r="P152" i="24"/>
  <c r="S152" i="24" s="1"/>
  <c r="Q127" i="24"/>
  <c r="P151" i="24"/>
  <c r="S151" i="24" s="1"/>
  <c r="Q126" i="24"/>
  <c r="P150" i="24"/>
  <c r="S150" i="24" s="1"/>
  <c r="Q125" i="24"/>
  <c r="P149" i="24"/>
  <c r="S149" i="24" s="1"/>
  <c r="Q124" i="24"/>
  <c r="P148" i="24"/>
  <c r="S148" i="24" s="1"/>
  <c r="Q123" i="24"/>
  <c r="P147" i="24"/>
  <c r="S147" i="24" s="1"/>
  <c r="Q122" i="24"/>
  <c r="P146" i="24"/>
  <c r="S146" i="24" s="1"/>
  <c r="P87" i="24"/>
  <c r="P106" i="24" s="1"/>
  <c r="Q121" i="24"/>
  <c r="P131" i="24"/>
  <c r="P145" i="24"/>
  <c r="K27" i="22"/>
  <c r="L55" i="1" s="1"/>
  <c r="O95" i="24"/>
  <c r="O100" i="24" s="1"/>
  <c r="O107" i="24" s="1"/>
  <c r="Q112" i="23"/>
  <c r="R109" i="23"/>
  <c r="R112" i="23" s="1"/>
  <c r="O35" i="23"/>
  <c r="O36" i="23" s="1"/>
  <c r="O100" i="23"/>
  <c r="P97" i="23"/>
  <c r="O121" i="23"/>
  <c r="O124" i="23" s="1"/>
  <c r="J25" i="22"/>
  <c r="N68" i="23"/>
  <c r="N73" i="23" s="1"/>
  <c r="N79" i="23" s="1"/>
  <c r="I35" i="22"/>
  <c r="I40" i="22" s="1"/>
  <c r="J53" i="1"/>
  <c r="R116" i="23"/>
  <c r="F38" i="22"/>
  <c r="F40" i="22" s="1"/>
  <c r="G53" i="1"/>
  <c r="I21" i="6"/>
  <c r="C23" i="13"/>
  <c r="C24" i="13" s="1"/>
  <c r="C26" i="13" s="1"/>
  <c r="D133" i="1" s="1"/>
  <c r="C47" i="13"/>
  <c r="D107" i="1" s="1"/>
  <c r="M48" i="23"/>
  <c r="L62" i="23"/>
  <c r="H16" i="6"/>
  <c r="H19" i="6" s="1"/>
  <c r="N19" i="23"/>
  <c r="M82" i="23"/>
  <c r="M61" i="23"/>
  <c r="I69" i="1"/>
  <c r="H58" i="22"/>
  <c r="L63" i="23"/>
  <c r="L83" i="23"/>
  <c r="I70" i="1" s="1"/>
  <c r="K64" i="23"/>
  <c r="G63" i="22"/>
  <c r="G65" i="22" s="1"/>
  <c r="G16" i="6"/>
  <c r="G19" i="6" s="1"/>
  <c r="E66" i="22"/>
  <c r="E46" i="13"/>
  <c r="F16" i="6"/>
  <c r="F19" i="6" s="1"/>
  <c r="D66" i="22"/>
  <c r="D46" i="13"/>
  <c r="P15" i="23"/>
  <c r="Q6" i="23"/>
  <c r="P17" i="23"/>
  <c r="Q20" i="23"/>
  <c r="G120" i="22"/>
  <c r="G123" i="22" s="1"/>
  <c r="H68" i="1"/>
  <c r="I16" i="6"/>
  <c r="I19" i="6" s="1"/>
  <c r="I23" i="6" s="1"/>
  <c r="I25" i="6" s="1"/>
  <c r="G54" i="22"/>
  <c r="I57" i="4"/>
  <c r="D121" i="22"/>
  <c r="E86" i="1"/>
  <c r="H54" i="25"/>
  <c r="D122" i="22" s="1"/>
  <c r="H49" i="25"/>
  <c r="M54" i="25"/>
  <c r="I122" i="22" s="1"/>
  <c r="M49" i="25"/>
  <c r="L54" i="25"/>
  <c r="H122" i="22" s="1"/>
  <c r="L49" i="25"/>
  <c r="N93" i="22"/>
  <c r="N105" i="22"/>
  <c r="N113" i="22" s="1"/>
  <c r="N33" i="22" s="1"/>
  <c r="Q69" i="23"/>
  <c r="Q96" i="24"/>
  <c r="Q43" i="25"/>
  <c r="N59" i="1"/>
  <c r="P47" i="25"/>
  <c r="P53" i="25" s="1"/>
  <c r="M79" i="1"/>
  <c r="O54" i="25"/>
  <c r="K122" i="22" s="1"/>
  <c r="O49" i="25"/>
  <c r="N54" i="25"/>
  <c r="J122" i="22" s="1"/>
  <c r="N49" i="25"/>
  <c r="N43" i="22"/>
  <c r="N46" i="22" s="1"/>
  <c r="M46" i="22"/>
  <c r="J77" i="20"/>
  <c r="I79" i="20"/>
  <c r="I78" i="20" s="1"/>
  <c r="I72" i="20"/>
  <c r="I73" i="20"/>
  <c r="H74" i="20"/>
  <c r="N108" i="1"/>
  <c r="N33" i="20"/>
  <c r="P36" i="20"/>
  <c r="L23" i="20" s="1"/>
  <c r="L24" i="20" s="1"/>
  <c r="P34" i="20"/>
  <c r="N19" i="4"/>
  <c r="N18" i="4" s="1"/>
  <c r="M68" i="19"/>
  <c r="L70" i="19"/>
  <c r="L69" i="19" s="1"/>
  <c r="L63" i="19"/>
  <c r="L64" i="19"/>
  <c r="K65" i="19"/>
  <c r="H47" i="19"/>
  <c r="G52" i="19"/>
  <c r="H146" i="1"/>
  <c r="F54" i="19"/>
  <c r="F58" i="19" s="1"/>
  <c r="F60" i="19" s="1"/>
  <c r="G38" i="1" s="1"/>
  <c r="G145" i="1"/>
  <c r="G17" i="4"/>
  <c r="G16" i="4" s="1"/>
  <c r="J64" i="18"/>
  <c r="I66" i="18"/>
  <c r="I70" i="18" s="1"/>
  <c r="J32" i="1" s="1"/>
  <c r="J13" i="4"/>
  <c r="J12" i="4" s="1"/>
  <c r="I13" i="4"/>
  <c r="I12" i="4" s="1"/>
  <c r="M63" i="16"/>
  <c r="F40" i="5" s="1"/>
  <c r="M62" i="16"/>
  <c r="F39" i="5" s="1"/>
  <c r="O15" i="4"/>
  <c r="O14" i="4" s="1"/>
  <c r="O45" i="1"/>
  <c r="N56" i="16"/>
  <c r="N61" i="16" s="1"/>
  <c r="I7" i="4"/>
  <c r="I6" i="4" s="1"/>
  <c r="J69" i="15"/>
  <c r="C35" i="5" s="1"/>
  <c r="M72" i="15"/>
  <c r="L43" i="6"/>
  <c r="L49" i="6" s="1"/>
  <c r="H7" i="4"/>
  <c r="H6" i="4" s="1"/>
  <c r="K7" i="4"/>
  <c r="K6" i="4" s="1"/>
  <c r="J32" i="15"/>
  <c r="J128" i="1"/>
  <c r="J30" i="6"/>
  <c r="N68" i="15"/>
  <c r="O150" i="1"/>
  <c r="M69" i="15"/>
  <c r="F35" i="5" s="1"/>
  <c r="N9" i="1"/>
  <c r="N10" i="1"/>
  <c r="N7" i="4"/>
  <c r="N6" i="4" s="1"/>
  <c r="J11" i="14"/>
  <c r="I15" i="14"/>
  <c r="H17" i="14"/>
  <c r="H73" i="1" s="1"/>
  <c r="H19" i="14"/>
  <c r="I147" i="1" s="1"/>
  <c r="H72" i="1"/>
  <c r="H41" i="4"/>
  <c r="H23" i="4"/>
  <c r="H22" i="4" s="1"/>
  <c r="J28" i="4"/>
  <c r="U34" i="11"/>
  <c r="U33" i="11"/>
  <c r="J95" i="1" s="1"/>
  <c r="W4" i="11"/>
  <c r="C29" i="9"/>
  <c r="C40" i="9" s="1"/>
  <c r="D28" i="9"/>
  <c r="N5" i="10"/>
  <c r="M47" i="10"/>
  <c r="D91" i="1" s="1"/>
  <c r="M48" i="10"/>
  <c r="C91" i="1"/>
  <c r="L45" i="10"/>
  <c r="L49" i="10" s="1"/>
  <c r="H26" i="9"/>
  <c r="O129" i="17"/>
  <c r="O128" i="17" s="1"/>
  <c r="P124" i="17"/>
  <c r="O123" i="17"/>
  <c r="O109" i="17" s="1"/>
  <c r="O135" i="17" s="1"/>
  <c r="E69" i="17"/>
  <c r="E71" i="17"/>
  <c r="E80" i="17" s="1"/>
  <c r="E75" i="17"/>
  <c r="D142" i="1"/>
  <c r="F68" i="17"/>
  <c r="G65" i="17"/>
  <c r="G82" i="17"/>
  <c r="L113" i="17"/>
  <c r="H61" i="17" s="1"/>
  <c r="M112" i="17"/>
  <c r="H62" i="17"/>
  <c r="F25" i="1" s="1"/>
  <c r="G24" i="1"/>
  <c r="L95" i="17"/>
  <c r="K101" i="17"/>
  <c r="J59" i="17"/>
  <c r="J104" i="17"/>
  <c r="J105" i="17" s="1"/>
  <c r="O103" i="17"/>
  <c r="P91" i="17" s="1"/>
  <c r="O25" i="17" s="1"/>
  <c r="O28" i="17" s="1"/>
  <c r="L44" i="13"/>
  <c r="P9" i="17"/>
  <c r="P10" i="17" s="1"/>
  <c r="P11" i="17" s="1"/>
  <c r="Q9" i="17"/>
  <c r="Q10" i="17" s="1"/>
  <c r="M65" i="24"/>
  <c r="L90" i="24"/>
  <c r="L110" i="24"/>
  <c r="L89" i="24"/>
  <c r="L91" i="24" s="1"/>
  <c r="M28" i="24"/>
  <c r="K111" i="24"/>
  <c r="H88" i="1" s="1"/>
  <c r="G64" i="22"/>
  <c r="K112" i="24"/>
  <c r="H87" i="1"/>
  <c r="G59" i="22"/>
  <c r="G60" i="22" s="1"/>
  <c r="L104" i="24"/>
  <c r="I84" i="1"/>
  <c r="L76" i="24"/>
  <c r="H7" i="22"/>
  <c r="M104" i="24"/>
  <c r="J84" i="1"/>
  <c r="M76" i="24"/>
  <c r="I7" i="22"/>
  <c r="N104" i="24"/>
  <c r="K84" i="1"/>
  <c r="N76" i="24"/>
  <c r="J7" i="22"/>
  <c r="F45" i="13"/>
  <c r="G63" i="1"/>
  <c r="E127" i="1"/>
  <c r="D22" i="22"/>
  <c r="D49" i="22" s="1"/>
  <c r="H22" i="22"/>
  <c r="I127" i="1"/>
  <c r="H9" i="22"/>
  <c r="H49" i="22" s="1"/>
  <c r="L59" i="23"/>
  <c r="L75" i="23"/>
  <c r="L78" i="23"/>
  <c r="L80" i="23" s="1"/>
  <c r="I67" i="1"/>
  <c r="J5" i="6"/>
  <c r="I68" i="1"/>
  <c r="H120" i="22"/>
  <c r="K54" i="25"/>
  <c r="G122" i="22" s="1"/>
  <c r="K49" i="25"/>
  <c r="L114" i="10" a="1"/>
  <c r="L114" i="10" s="1"/>
  <c r="L110" i="10" a="1"/>
  <c r="L110" i="10" s="1"/>
  <c r="K131" i="10" a="1"/>
  <c r="K131" i="10" s="1"/>
  <c r="H130" i="10" a="1"/>
  <c r="H130" i="10" s="1"/>
  <c r="H129" i="10" a="1"/>
  <c r="H129" i="10" s="1"/>
  <c r="N126" i="10" a="1"/>
  <c r="N126" i="10" s="1"/>
  <c r="F50" i="9"/>
  <c r="G139" i="10" a="1"/>
  <c r="G139" i="10" s="1"/>
  <c r="H106" i="10" a="1"/>
  <c r="H106" i="10" s="1"/>
  <c r="J30" i="4"/>
  <c r="T24" i="12"/>
  <c r="T23" i="12"/>
  <c r="J100" i="1" s="1"/>
  <c r="V7" i="12"/>
  <c r="H28" i="4"/>
  <c r="H31" i="4" s="1"/>
  <c r="H61" i="4" s="1"/>
  <c r="E38" i="22"/>
  <c r="E40" i="22" s="1"/>
  <c r="F53" i="1"/>
  <c r="I5" i="22"/>
  <c r="M58" i="23"/>
  <c r="J66" i="1"/>
  <c r="M77" i="23"/>
  <c r="F51" i="9"/>
  <c r="E27" i="9"/>
  <c r="I49" i="25"/>
  <c r="I54" i="25"/>
  <c r="E122" i="22" s="1"/>
  <c r="I102" i="24"/>
  <c r="I108" i="24"/>
  <c r="H86" i="1"/>
  <c r="G121" i="22"/>
  <c r="N56" i="23"/>
  <c r="N53" i="23"/>
  <c r="J69" i="23"/>
  <c r="J73" i="23" s="1"/>
  <c r="J79" i="23" s="1"/>
  <c r="J96" i="24"/>
  <c r="J100" i="24" s="1"/>
  <c r="J107" i="24" s="1"/>
  <c r="J43" i="25"/>
  <c r="G59" i="1"/>
  <c r="F64" i="22"/>
  <c r="J111" i="24"/>
  <c r="F63" i="22"/>
  <c r="F65" i="22" s="1"/>
  <c r="J64" i="23"/>
  <c r="I64" i="6"/>
  <c r="I67" i="6" s="1"/>
  <c r="I69" i="6" s="1"/>
  <c r="I28" i="4"/>
  <c r="I31" i="4" s="1"/>
  <c r="I61" i="4" s="1"/>
  <c r="M59" i="6"/>
  <c r="M61" i="6" s="1"/>
  <c r="M65" i="6"/>
  <c r="M67" i="6" s="1"/>
  <c r="D52" i="9"/>
  <c r="D186" i="10"/>
  <c r="I80" i="23"/>
  <c r="H80" i="23"/>
  <c r="O21" i="23"/>
  <c r="O22" i="23" s="1"/>
  <c r="N132" i="17"/>
  <c r="L67" i="6"/>
  <c r="L69" i="6" s="1"/>
  <c r="C125" i="22"/>
  <c r="Q48" i="24"/>
  <c r="Q45" i="24"/>
  <c r="E142" i="10"/>
  <c r="F140" i="10"/>
  <c r="P17" i="6" l="1"/>
  <c r="R128" i="24"/>
  <c r="R152" i="24" s="1"/>
  <c r="Q152" i="24"/>
  <c r="R127" i="24"/>
  <c r="R151" i="24" s="1"/>
  <c r="Q151" i="24"/>
  <c r="R126" i="24"/>
  <c r="R150" i="24" s="1"/>
  <c r="Q150" i="24"/>
  <c r="R125" i="24"/>
  <c r="R149" i="24" s="1"/>
  <c r="Q149" i="24"/>
  <c r="R124" i="24"/>
  <c r="R148" i="24" s="1"/>
  <c r="Q148" i="24"/>
  <c r="R123" i="24"/>
  <c r="R147" i="24" s="1"/>
  <c r="Q147" i="24"/>
  <c r="R122" i="24"/>
  <c r="R146" i="24" s="1"/>
  <c r="Q146" i="24"/>
  <c r="Q87" i="24"/>
  <c r="Q106" i="24" s="1"/>
  <c r="R121" i="24"/>
  <c r="Q131" i="24"/>
  <c r="Q145" i="24"/>
  <c r="Q156" i="24" s="1"/>
  <c r="S145" i="24"/>
  <c r="S153" i="24" s="1"/>
  <c r="P156" i="24"/>
  <c r="P35" i="23"/>
  <c r="P36" i="23" s="1"/>
  <c r="P100" i="23"/>
  <c r="Q97" i="23"/>
  <c r="P121" i="23"/>
  <c r="O68" i="23"/>
  <c r="O73" i="23" s="1"/>
  <c r="O79" i="23" s="1"/>
  <c r="K25" i="22"/>
  <c r="J35" i="22"/>
  <c r="J40" i="22" s="1"/>
  <c r="K53" i="1"/>
  <c r="I22" i="22"/>
  <c r="J127" i="1"/>
  <c r="F49" i="22"/>
  <c r="G127" i="1"/>
  <c r="F22" i="22"/>
  <c r="E73" i="6"/>
  <c r="E75" i="6" s="1"/>
  <c r="E77" i="6" s="1"/>
  <c r="E25" i="4"/>
  <c r="E24" i="4" s="1"/>
  <c r="N48" i="23"/>
  <c r="M62" i="23"/>
  <c r="O19" i="23"/>
  <c r="N82" i="23"/>
  <c r="N61" i="23"/>
  <c r="J69" i="1"/>
  <c r="I58" i="22"/>
  <c r="M63" i="23"/>
  <c r="M83" i="23"/>
  <c r="J70" i="1" s="1"/>
  <c r="L64" i="23"/>
  <c r="H63" i="22"/>
  <c r="G66" i="22"/>
  <c r="G46" i="13"/>
  <c r="Q15" i="23"/>
  <c r="R6" i="23"/>
  <c r="Q17" i="23"/>
  <c r="G117" i="22"/>
  <c r="G125" i="22" s="1"/>
  <c r="R69" i="23"/>
  <c r="R96" i="24"/>
  <c r="R43" i="25"/>
  <c r="O59" i="1"/>
  <c r="Q47" i="25"/>
  <c r="Q53" i="25" s="1"/>
  <c r="N79" i="1"/>
  <c r="P54" i="25"/>
  <c r="L122" i="22" s="1"/>
  <c r="P49" i="25"/>
  <c r="K77" i="20"/>
  <c r="J79" i="20"/>
  <c r="J78" i="20" s="1"/>
  <c r="J72" i="20"/>
  <c r="J73" i="20"/>
  <c r="I74" i="20"/>
  <c r="O19" i="4"/>
  <c r="O18" i="4" s="1"/>
  <c r="O108" i="1"/>
  <c r="L26" i="20"/>
  <c r="N36" i="13" s="1"/>
  <c r="G55" i="5" s="1"/>
  <c r="N39" i="6"/>
  <c r="N41" i="6" s="1"/>
  <c r="N68" i="19"/>
  <c r="M70" i="19"/>
  <c r="M69" i="19" s="1"/>
  <c r="M63" i="19"/>
  <c r="M64" i="19"/>
  <c r="J48" i="19" s="1"/>
  <c r="L65" i="19"/>
  <c r="I47" i="19"/>
  <c r="H52" i="19"/>
  <c r="I146" i="1"/>
  <c r="G54" i="19"/>
  <c r="G58" i="19" s="1"/>
  <c r="G60" i="19" s="1"/>
  <c r="H38" i="1" s="1"/>
  <c r="H145" i="1"/>
  <c r="H17" i="4"/>
  <c r="H16" i="4" s="1"/>
  <c r="K64" i="18"/>
  <c r="J66" i="18"/>
  <c r="J70" i="18" s="1"/>
  <c r="K13" i="4"/>
  <c r="K12" i="4" s="1"/>
  <c r="P15" i="4"/>
  <c r="P14" i="4" s="1"/>
  <c r="N63" i="16"/>
  <c r="G40" i="5" s="1"/>
  <c r="N62" i="16"/>
  <c r="G39" i="5" s="1"/>
  <c r="K32" i="15"/>
  <c r="K128" i="1"/>
  <c r="K30" i="6"/>
  <c r="N70" i="15"/>
  <c r="G36" i="5" s="1"/>
  <c r="Q72" i="15"/>
  <c r="K72" i="15" s="1"/>
  <c r="N69" i="15"/>
  <c r="G35" i="5" s="1"/>
  <c r="O9" i="1"/>
  <c r="O10" i="1"/>
  <c r="O7" i="4"/>
  <c r="O6" i="4" s="1"/>
  <c r="K11" i="14"/>
  <c r="J15" i="14"/>
  <c r="I17" i="14"/>
  <c r="I72" i="1"/>
  <c r="I41" i="4"/>
  <c r="I23" i="4"/>
  <c r="I22" i="4" s="1"/>
  <c r="K28" i="4"/>
  <c r="K31" i="4" s="1"/>
  <c r="K61" i="4" s="1"/>
  <c r="W34" i="11"/>
  <c r="W33" i="11"/>
  <c r="K95" i="1" s="1"/>
  <c r="Y4" i="11"/>
  <c r="S37" i="9"/>
  <c r="S40" i="9" s="1"/>
  <c r="C47" i="9"/>
  <c r="C53" i="9" s="1"/>
  <c r="D29" i="9"/>
  <c r="D40" i="9" s="1"/>
  <c r="E28" i="9"/>
  <c r="O5" i="10"/>
  <c r="N47" i="10"/>
  <c r="E91" i="1" s="1"/>
  <c r="N48" i="10"/>
  <c r="E35" i="4"/>
  <c r="I26" i="9"/>
  <c r="P129" i="17"/>
  <c r="P128" i="17" s="1"/>
  <c r="Q124" i="17"/>
  <c r="P123" i="17"/>
  <c r="P109" i="17" s="1"/>
  <c r="P135" i="17" s="1"/>
  <c r="E83" i="17"/>
  <c r="C21" i="1" s="1"/>
  <c r="E70" i="17"/>
  <c r="E84" i="17" s="1"/>
  <c r="E78" i="17"/>
  <c r="E16" i="17" s="1"/>
  <c r="E19" i="17" s="1"/>
  <c r="C19" i="1"/>
  <c r="C18" i="1"/>
  <c r="E76" i="17"/>
  <c r="C27" i="1" s="1"/>
  <c r="F69" i="17"/>
  <c r="F71" i="17"/>
  <c r="F80" i="17" s="1"/>
  <c r="F75" i="17"/>
  <c r="E142" i="1"/>
  <c r="G68" i="17"/>
  <c r="H65" i="17"/>
  <c r="H82" i="17"/>
  <c r="M113" i="17"/>
  <c r="I61" i="17" s="1"/>
  <c r="N112" i="17"/>
  <c r="I62" i="17"/>
  <c r="G25" i="1" s="1"/>
  <c r="L101" i="17"/>
  <c r="M95" i="17"/>
  <c r="K59" i="17"/>
  <c r="K104" i="17"/>
  <c r="K105" i="17" s="1"/>
  <c r="K60" i="17" s="1"/>
  <c r="H24" i="1"/>
  <c r="M17" i="1"/>
  <c r="O30" i="17"/>
  <c r="N65" i="24"/>
  <c r="M90" i="24"/>
  <c r="H59" i="22"/>
  <c r="H60" i="22" s="1"/>
  <c r="I87" i="1"/>
  <c r="L111" i="24"/>
  <c r="H64" i="22"/>
  <c r="N28" i="24"/>
  <c r="M89" i="24"/>
  <c r="M91" i="24" s="1"/>
  <c r="M110" i="24"/>
  <c r="G45" i="13"/>
  <c r="H63" i="1"/>
  <c r="J7" i="6"/>
  <c r="L77" i="24"/>
  <c r="L102" i="24"/>
  <c r="L105" i="24"/>
  <c r="L108" i="24" s="1"/>
  <c r="I85" i="1"/>
  <c r="K7" i="6"/>
  <c r="M77" i="24"/>
  <c r="M102" i="24"/>
  <c r="M105" i="24"/>
  <c r="M108" i="24" s="1"/>
  <c r="J85" i="1"/>
  <c r="L7" i="6"/>
  <c r="N77" i="24"/>
  <c r="N102" i="24"/>
  <c r="N105" i="24"/>
  <c r="N108" i="24" s="1"/>
  <c r="K85" i="1"/>
  <c r="F57" i="4"/>
  <c r="D54" i="22"/>
  <c r="D55" i="22" s="1"/>
  <c r="D43" i="13" s="1"/>
  <c r="F21" i="6"/>
  <c r="F23" i="6" s="1"/>
  <c r="F25" i="6" s="1"/>
  <c r="J21" i="6"/>
  <c r="H54" i="22"/>
  <c r="J57" i="4"/>
  <c r="J16" i="6"/>
  <c r="M114" i="10" a="1"/>
  <c r="M114" i="10" s="1"/>
  <c r="M110" i="10" a="1"/>
  <c r="M110" i="10" s="1"/>
  <c r="L131" i="10" a="1"/>
  <c r="L131" i="10" s="1"/>
  <c r="I130" i="10" a="1"/>
  <c r="I130" i="10" s="1"/>
  <c r="I129" i="10" a="1"/>
  <c r="I129" i="10" s="1"/>
  <c r="G51" i="9"/>
  <c r="F27" i="9"/>
  <c r="G50" i="9"/>
  <c r="G142" i="10"/>
  <c r="H140" i="10"/>
  <c r="H139" i="10" a="1"/>
  <c r="H139" i="10" s="1"/>
  <c r="I106" i="10" a="1"/>
  <c r="I106" i="10" s="1"/>
  <c r="K30" i="4"/>
  <c r="V23" i="12"/>
  <c r="K100" i="1" s="1"/>
  <c r="V24" i="12"/>
  <c r="X7" i="12"/>
  <c r="F127" i="1"/>
  <c r="E22" i="22"/>
  <c r="E49" i="22" s="1"/>
  <c r="F50" i="22" s="1"/>
  <c r="I9" i="22"/>
  <c r="I49" i="22" s="1"/>
  <c r="M59" i="23"/>
  <c r="M75" i="23"/>
  <c r="M78" i="23"/>
  <c r="M80" i="23" s="1"/>
  <c r="J67" i="1"/>
  <c r="K5" i="6"/>
  <c r="I120" i="22"/>
  <c r="J68" i="1"/>
  <c r="F86" i="1"/>
  <c r="E121" i="22"/>
  <c r="J5" i="22"/>
  <c r="N58" i="23"/>
  <c r="K66" i="1"/>
  <c r="N77" i="23"/>
  <c r="J80" i="23"/>
  <c r="J75" i="23"/>
  <c r="J102" i="24"/>
  <c r="J108" i="24"/>
  <c r="J47" i="25"/>
  <c r="J53" i="25" s="1"/>
  <c r="G79" i="1"/>
  <c r="J112" i="24"/>
  <c r="J113" i="24" s="1"/>
  <c r="K113" i="24" s="1"/>
  <c r="G88" i="1"/>
  <c r="F66" i="22"/>
  <c r="F46" i="13"/>
  <c r="F68" i="1"/>
  <c r="E120" i="22"/>
  <c r="E123" i="22" s="1"/>
  <c r="D120" i="22"/>
  <c r="D123" i="22" s="1"/>
  <c r="E68" i="1"/>
  <c r="O53" i="23"/>
  <c r="O56" i="23"/>
  <c r="Q74" i="24"/>
  <c r="R46" i="24"/>
  <c r="E52" i="9"/>
  <c r="E186" i="10"/>
  <c r="J31" i="4"/>
  <c r="J61" i="4" s="1"/>
  <c r="O132" i="17"/>
  <c r="P21" i="23"/>
  <c r="P22" i="23" s="1"/>
  <c r="I48" i="19"/>
  <c r="M69" i="6"/>
  <c r="L4" i="14" a="1"/>
  <c r="L4" i="14" s="1"/>
  <c r="J4" i="14" a="1"/>
  <c r="J4" i="14" s="1"/>
  <c r="H4" i="14" a="1"/>
  <c r="H4" i="14" s="1"/>
  <c r="K4" i="14" a="1"/>
  <c r="K4" i="14" s="1"/>
  <c r="M4" i="14" a="1"/>
  <c r="M4" i="14" s="1"/>
  <c r="F4" i="14" a="1"/>
  <c r="F4" i="14" s="1"/>
  <c r="E4" i="14" a="1"/>
  <c r="E4" i="14" s="1"/>
  <c r="G4" i="14" a="1"/>
  <c r="G4" i="14" s="1"/>
  <c r="D4" i="14" a="1"/>
  <c r="D4" i="14" s="1"/>
  <c r="N4" i="14" a="1"/>
  <c r="N4" i="14" s="1"/>
  <c r="O4" i="14" a="1"/>
  <c r="O4" i="14" s="1"/>
  <c r="J60" i="17"/>
  <c r="J102" i="17"/>
  <c r="F142" i="10"/>
  <c r="G140" i="10"/>
  <c r="Q11" i="17"/>
  <c r="R87" i="24" l="1"/>
  <c r="R106" i="24" s="1"/>
  <c r="R131" i="24"/>
  <c r="R145" i="24"/>
  <c r="R156" i="24" s="1"/>
  <c r="M27" i="22"/>
  <c r="N55" i="1" s="1"/>
  <c r="Q95" i="24"/>
  <c r="Q100" i="24" s="1"/>
  <c r="Q107" i="24" s="1"/>
  <c r="L27" i="22"/>
  <c r="M55" i="1" s="1"/>
  <c r="P95" i="24"/>
  <c r="P100" i="24" s="1"/>
  <c r="P107" i="24" s="1"/>
  <c r="Q100" i="23"/>
  <c r="Q35" i="23"/>
  <c r="Q36" i="23" s="1"/>
  <c r="R97" i="23"/>
  <c r="Q121" i="23"/>
  <c r="Q124" i="23" s="1"/>
  <c r="P124" i="23"/>
  <c r="S121" i="23"/>
  <c r="S122" i="23" s="1"/>
  <c r="K35" i="22"/>
  <c r="K40" i="22" s="1"/>
  <c r="L53" i="1"/>
  <c r="J22" i="22"/>
  <c r="K127" i="1"/>
  <c r="K21" i="6"/>
  <c r="H57" i="4"/>
  <c r="F54" i="22"/>
  <c r="F55" i="22" s="1"/>
  <c r="H21" i="6"/>
  <c r="H23" i="6" s="1"/>
  <c r="H25" i="6" s="1"/>
  <c r="D112" i="1"/>
  <c r="O48" i="23"/>
  <c r="N62" i="23"/>
  <c r="P19" i="23"/>
  <c r="O82" i="23"/>
  <c r="O61" i="23"/>
  <c r="K69" i="1"/>
  <c r="J58" i="22"/>
  <c r="N63" i="23"/>
  <c r="N83" i="23"/>
  <c r="K70" i="1" s="1"/>
  <c r="M64" i="23"/>
  <c r="I63" i="22"/>
  <c r="R47" i="25"/>
  <c r="R53" i="25" s="1"/>
  <c r="O79" i="1"/>
  <c r="Q54" i="25"/>
  <c r="M122" i="22" s="1"/>
  <c r="Q49" i="25"/>
  <c r="L77" i="20"/>
  <c r="K79" i="20"/>
  <c r="K78" i="20" s="1"/>
  <c r="K72" i="20"/>
  <c r="L73" i="20" s="1"/>
  <c r="P19" i="4"/>
  <c r="P18" i="4" s="1"/>
  <c r="M36" i="13"/>
  <c r="F55" i="5" s="1"/>
  <c r="L36" i="13"/>
  <c r="E55" i="5" s="1"/>
  <c r="O68" i="19"/>
  <c r="N70" i="19"/>
  <c r="N69" i="19" s="1"/>
  <c r="N63" i="19"/>
  <c r="O64" i="19" s="1"/>
  <c r="N64" i="19"/>
  <c r="J47" i="19"/>
  <c r="I52" i="19"/>
  <c r="J146" i="1"/>
  <c r="H54" i="19"/>
  <c r="H58" i="19" s="1"/>
  <c r="H60" i="19" s="1"/>
  <c r="I38" i="1" s="1"/>
  <c r="I145" i="1"/>
  <c r="I17" i="4"/>
  <c r="I16" i="4" s="1"/>
  <c r="L64" i="18"/>
  <c r="K66" i="18"/>
  <c r="K70" i="18" s="1"/>
  <c r="J72" i="18"/>
  <c r="C48" i="5" s="1"/>
  <c r="K32" i="1"/>
  <c r="J71" i="18"/>
  <c r="C47" i="5" s="1"/>
  <c r="L32" i="15"/>
  <c r="L128" i="1"/>
  <c r="L30" i="6"/>
  <c r="P7" i="4"/>
  <c r="P6" i="4" s="1"/>
  <c r="L11" i="14"/>
  <c r="K15" i="14"/>
  <c r="J17" i="14"/>
  <c r="J73" i="1" s="1"/>
  <c r="J19" i="14"/>
  <c r="K147" i="1" s="1"/>
  <c r="J72" i="1"/>
  <c r="J23" i="4"/>
  <c r="J22" i="4" s="1"/>
  <c r="L28" i="4"/>
  <c r="L31" i="4" s="1"/>
  <c r="L61" i="4" s="1"/>
  <c r="Y34" i="11"/>
  <c r="Y33" i="11"/>
  <c r="L95" i="1" s="1"/>
  <c r="AA4" i="11"/>
  <c r="T37" i="9"/>
  <c r="T40" i="9" s="1"/>
  <c r="D47" i="9"/>
  <c r="D53" i="9" s="1"/>
  <c r="E29" i="9"/>
  <c r="E40" i="9" s="1"/>
  <c r="E47" i="9" s="1"/>
  <c r="E53" i="9" s="1"/>
  <c r="F28" i="9"/>
  <c r="P5" i="10"/>
  <c r="O47" i="10"/>
  <c r="F91" i="1" s="1"/>
  <c r="O48" i="10"/>
  <c r="F35" i="4"/>
  <c r="E45" i="4"/>
  <c r="E48" i="4"/>
  <c r="J26" i="9"/>
  <c r="Q129" i="17"/>
  <c r="Q128" i="17" s="1"/>
  <c r="R124" i="17"/>
  <c r="Q123" i="17"/>
  <c r="Q109" i="17" s="1"/>
  <c r="Q135" i="17" s="1"/>
  <c r="E85" i="17"/>
  <c r="C22" i="1" s="1"/>
  <c r="C26" i="1"/>
  <c r="E30" i="17"/>
  <c r="C16" i="1"/>
  <c r="F83" i="17"/>
  <c r="D21" i="1" s="1"/>
  <c r="F70" i="17"/>
  <c r="F84" i="17" s="1"/>
  <c r="F78" i="17"/>
  <c r="D19" i="1"/>
  <c r="D18" i="1"/>
  <c r="F76" i="17"/>
  <c r="D27" i="1" s="1"/>
  <c r="G69" i="17"/>
  <c r="G71" i="17"/>
  <c r="G80" i="17" s="1"/>
  <c r="G75" i="17"/>
  <c r="F142" i="1"/>
  <c r="H68" i="17"/>
  <c r="I65" i="17"/>
  <c r="I82" i="17"/>
  <c r="N113" i="17"/>
  <c r="J61" i="17" s="1"/>
  <c r="O112" i="17"/>
  <c r="J62" i="17"/>
  <c r="H25" i="1" s="1"/>
  <c r="L104" i="17"/>
  <c r="L105" i="17" s="1"/>
  <c r="L60" i="17" s="1"/>
  <c r="L59" i="17"/>
  <c r="M101" i="17"/>
  <c r="N95" i="17"/>
  <c r="I24" i="1"/>
  <c r="N44" i="6"/>
  <c r="N49" i="6" s="1"/>
  <c r="N51" i="6" s="1"/>
  <c r="O66" i="24"/>
  <c r="N90" i="24"/>
  <c r="I63" i="1"/>
  <c r="H45" i="13"/>
  <c r="O29" i="24"/>
  <c r="N89" i="24"/>
  <c r="N91" i="24" s="1"/>
  <c r="N110" i="24"/>
  <c r="M111" i="24"/>
  <c r="J88" i="1" s="1"/>
  <c r="I64" i="22"/>
  <c r="M112" i="24"/>
  <c r="M113" i="24" s="1"/>
  <c r="J87" i="1"/>
  <c r="I59" i="22"/>
  <c r="I60" i="22" s="1"/>
  <c r="H10" i="22"/>
  <c r="J8" i="6"/>
  <c r="I86" i="1"/>
  <c r="H121" i="22"/>
  <c r="H123" i="22" s="1"/>
  <c r="J18" i="6"/>
  <c r="J19" i="6" s="1"/>
  <c r="J23" i="6" s="1"/>
  <c r="I121" i="22"/>
  <c r="I123" i="22" s="1"/>
  <c r="J86" i="1"/>
  <c r="K18" i="6"/>
  <c r="J121" i="22"/>
  <c r="K86" i="1"/>
  <c r="L18" i="6"/>
  <c r="D47" i="13"/>
  <c r="E107" i="1" s="1"/>
  <c r="D23" i="13"/>
  <c r="D24" i="13" s="1"/>
  <c r="D26" i="13" s="1"/>
  <c r="E133" i="1" s="1"/>
  <c r="D117" i="22"/>
  <c r="D125" i="22" s="1"/>
  <c r="N114" i="10" a="1"/>
  <c r="N114" i="10" s="1"/>
  <c r="N110" i="10" a="1"/>
  <c r="N110" i="10" s="1"/>
  <c r="M131" i="10" a="1"/>
  <c r="M131" i="10" s="1"/>
  <c r="J130" i="10" a="1"/>
  <c r="J130" i="10" s="1"/>
  <c r="J129" i="10" a="1"/>
  <c r="J129" i="10" s="1"/>
  <c r="H51" i="9"/>
  <c r="G27" i="9"/>
  <c r="G186" i="10"/>
  <c r="G52" i="9"/>
  <c r="H50" i="9"/>
  <c r="H142" i="10"/>
  <c r="I140" i="10"/>
  <c r="I139" i="10" a="1"/>
  <c r="I139" i="10" s="1"/>
  <c r="J106" i="10" a="1"/>
  <c r="J106" i="10" s="1"/>
  <c r="L30" i="4"/>
  <c r="X24" i="12"/>
  <c r="X23" i="12"/>
  <c r="L100" i="1" s="1"/>
  <c r="Z7" i="12"/>
  <c r="G57" i="4"/>
  <c r="E54" i="22"/>
  <c r="E55" i="22" s="1"/>
  <c r="E43" i="13" s="1"/>
  <c r="G21" i="6"/>
  <c r="G23" i="6" s="1"/>
  <c r="G25" i="6" s="1"/>
  <c r="I54" i="22"/>
  <c r="K57" i="4"/>
  <c r="K16" i="6"/>
  <c r="K19" i="6" s="1"/>
  <c r="J9" i="22"/>
  <c r="N59" i="23"/>
  <c r="N75" i="23"/>
  <c r="N78" i="23"/>
  <c r="N80" i="23" s="1"/>
  <c r="K67" i="1"/>
  <c r="L5" i="6"/>
  <c r="K68" i="1"/>
  <c r="J120" i="22"/>
  <c r="J123" i="22" s="1"/>
  <c r="G68" i="1"/>
  <c r="F120" i="22"/>
  <c r="G86" i="1"/>
  <c r="F121" i="22"/>
  <c r="J49" i="25"/>
  <c r="J54" i="25"/>
  <c r="F122" i="22" s="1"/>
  <c r="L66" i="1"/>
  <c r="O77" i="23"/>
  <c r="K5" i="22"/>
  <c r="O58" i="23"/>
  <c r="M7" i="22"/>
  <c r="P56" i="23"/>
  <c r="P53" i="23"/>
  <c r="F52" i="9"/>
  <c r="F186" i="10"/>
  <c r="H65" i="22"/>
  <c r="Q21" i="23"/>
  <c r="Q22" i="23" s="1"/>
  <c r="K73" i="20"/>
  <c r="P132" i="17"/>
  <c r="R15" i="23"/>
  <c r="R21" i="23" s="1"/>
  <c r="I4" i="14" a="1"/>
  <c r="I4" i="14" s="1"/>
  <c r="I73" i="1"/>
  <c r="I19" i="14"/>
  <c r="J147" i="1" s="1"/>
  <c r="I88" i="1"/>
  <c r="L112" i="24"/>
  <c r="L113" i="24" s="1"/>
  <c r="K8" i="6"/>
  <c r="I10" i="22"/>
  <c r="R48" i="24"/>
  <c r="R45" i="24"/>
  <c r="N27" i="22" l="1"/>
  <c r="O55" i="1" s="1"/>
  <c r="R95" i="24"/>
  <c r="R100" i="24" s="1"/>
  <c r="R107" i="24" s="1"/>
  <c r="R100" i="23"/>
  <c r="R35" i="23"/>
  <c r="R36" i="23" s="1"/>
  <c r="R121" i="23"/>
  <c r="R124" i="23" s="1"/>
  <c r="M25" i="22"/>
  <c r="Q68" i="23"/>
  <c r="Q73" i="23" s="1"/>
  <c r="Q79" i="23" s="1"/>
  <c r="L25" i="22"/>
  <c r="P68" i="23"/>
  <c r="P73" i="23" s="1"/>
  <c r="P79" i="23" s="1"/>
  <c r="K22" i="22"/>
  <c r="L127" i="1"/>
  <c r="L21" i="6"/>
  <c r="G55" i="22"/>
  <c r="F43" i="13"/>
  <c r="F117" i="22"/>
  <c r="E5" i="4"/>
  <c r="P48" i="23"/>
  <c r="O62" i="23"/>
  <c r="Q19" i="23"/>
  <c r="P82" i="23"/>
  <c r="P61" i="23"/>
  <c r="L69" i="1"/>
  <c r="K58" i="22"/>
  <c r="O63" i="23"/>
  <c r="O83" i="23"/>
  <c r="L70" i="1" s="1"/>
  <c r="N64" i="23"/>
  <c r="J63" i="22"/>
  <c r="R49" i="25"/>
  <c r="R54" i="25"/>
  <c r="N122" i="22" s="1"/>
  <c r="M77" i="20"/>
  <c r="L79" i="20"/>
  <c r="L78" i="20" s="1"/>
  <c r="L72" i="20"/>
  <c r="M73" i="20" s="1"/>
  <c r="P68" i="19"/>
  <c r="O70" i="19"/>
  <c r="O69" i="19" s="1"/>
  <c r="O63" i="19"/>
  <c r="P64" i="19" s="1"/>
  <c r="J52" i="19"/>
  <c r="O47" i="19"/>
  <c r="K146" i="1"/>
  <c r="I54" i="19"/>
  <c r="I58" i="19" s="1"/>
  <c r="I60" i="19" s="1"/>
  <c r="J38" i="1" s="1"/>
  <c r="J145" i="1"/>
  <c r="J17" i="4"/>
  <c r="J16" i="4" s="1"/>
  <c r="M64" i="18"/>
  <c r="L66" i="18"/>
  <c r="L70" i="18" s="1"/>
  <c r="K72" i="18"/>
  <c r="D48" i="5" s="1"/>
  <c r="L32" i="1"/>
  <c r="K71" i="18"/>
  <c r="D47" i="5" s="1"/>
  <c r="L13" i="4"/>
  <c r="L12" i="4" s="1"/>
  <c r="M32" i="15"/>
  <c r="M128" i="1"/>
  <c r="M30" i="6"/>
  <c r="M11" i="14"/>
  <c r="L15" i="14"/>
  <c r="K17" i="14"/>
  <c r="K72" i="1"/>
  <c r="K41" i="4"/>
  <c r="K23" i="4"/>
  <c r="K22" i="4" s="1"/>
  <c r="M28" i="4"/>
  <c r="AA34" i="11"/>
  <c r="AA33" i="11"/>
  <c r="M95" i="1" s="1"/>
  <c r="AC4" i="11"/>
  <c r="F29" i="9"/>
  <c r="F40" i="9" s="1"/>
  <c r="F47" i="9" s="1"/>
  <c r="F53" i="9" s="1"/>
  <c r="G28" i="9"/>
  <c r="Q5" i="10"/>
  <c r="P47" i="10"/>
  <c r="G91" i="1" s="1"/>
  <c r="P48" i="10"/>
  <c r="G35" i="4"/>
  <c r="F45" i="4"/>
  <c r="F48" i="4"/>
  <c r="K26" i="9"/>
  <c r="R129" i="17"/>
  <c r="R128" i="17" s="1"/>
  <c r="R132" i="17" s="1"/>
  <c r="S124" i="17"/>
  <c r="R123" i="17"/>
  <c r="E10" i="4"/>
  <c r="D26" i="1"/>
  <c r="F85" i="17"/>
  <c r="D22" i="1" s="1"/>
  <c r="E11" i="4"/>
  <c r="E9" i="4"/>
  <c r="E8" i="4" s="1"/>
  <c r="E40" i="4"/>
  <c r="G83" i="17"/>
  <c r="E21" i="1" s="1"/>
  <c r="G70" i="17"/>
  <c r="G84" i="17" s="1"/>
  <c r="G78" i="17"/>
  <c r="G16" i="17" s="1"/>
  <c r="G19" i="17" s="1"/>
  <c r="E19" i="1"/>
  <c r="E18" i="1"/>
  <c r="G76" i="17"/>
  <c r="E27" i="1" s="1"/>
  <c r="H69" i="17"/>
  <c r="H71" i="17"/>
  <c r="H80" i="17" s="1"/>
  <c r="H75" i="17"/>
  <c r="G142" i="1"/>
  <c r="I68" i="17"/>
  <c r="J65" i="17"/>
  <c r="J82" i="17"/>
  <c r="O113" i="17"/>
  <c r="K61" i="17" s="1"/>
  <c r="P112" i="17"/>
  <c r="K62" i="17"/>
  <c r="I25" i="1" s="1"/>
  <c r="J24" i="1"/>
  <c r="M59" i="17"/>
  <c r="M104" i="17"/>
  <c r="M105" i="17" s="1"/>
  <c r="M60" i="17" s="1"/>
  <c r="O95" i="17"/>
  <c r="N101" i="17"/>
  <c r="N111" i="24"/>
  <c r="K88" i="1" s="1"/>
  <c r="J64" i="22"/>
  <c r="N112" i="24"/>
  <c r="N113" i="24" s="1"/>
  <c r="K87" i="1"/>
  <c r="J59" i="22"/>
  <c r="J60" i="22" s="1"/>
  <c r="I45" i="13"/>
  <c r="J63" i="1"/>
  <c r="F25" i="4"/>
  <c r="F24" i="4" s="1"/>
  <c r="F73" i="6"/>
  <c r="N131" i="10" a="1"/>
  <c r="N131" i="10" s="1"/>
  <c r="K130" i="10" a="1"/>
  <c r="K130" i="10" s="1"/>
  <c r="K129" i="10" a="1"/>
  <c r="K129" i="10" s="1"/>
  <c r="I51" i="9"/>
  <c r="H27" i="9"/>
  <c r="H186" i="10"/>
  <c r="H52" i="9"/>
  <c r="I50" i="9"/>
  <c r="I142" i="10"/>
  <c r="J140" i="10"/>
  <c r="J139" i="10" a="1"/>
  <c r="J139" i="10" s="1"/>
  <c r="K106" i="10" a="1"/>
  <c r="K106" i="10" s="1"/>
  <c r="M30" i="4"/>
  <c r="Z23" i="12"/>
  <c r="M100" i="1" s="1"/>
  <c r="Z24" i="12"/>
  <c r="AB7" i="12"/>
  <c r="E47" i="13"/>
  <c r="F107" i="1" s="1"/>
  <c r="E23" i="13"/>
  <c r="E24" i="13" s="1"/>
  <c r="E26" i="13" s="1"/>
  <c r="F133" i="1" s="1"/>
  <c r="E117" i="22"/>
  <c r="E125" i="22" s="1"/>
  <c r="L16" i="6"/>
  <c r="L19" i="6" s="1"/>
  <c r="L23" i="6" s="1"/>
  <c r="L25" i="6" s="1"/>
  <c r="J117" i="22"/>
  <c r="J125" i="22" s="1"/>
  <c r="M5" i="6"/>
  <c r="O59" i="23"/>
  <c r="O75" i="23"/>
  <c r="O78" i="23"/>
  <c r="O80" i="23" s="1"/>
  <c r="L67" i="1"/>
  <c r="L5" i="22"/>
  <c r="P58" i="23"/>
  <c r="P77" i="23"/>
  <c r="M66" i="1"/>
  <c r="H46" i="13"/>
  <c r="H66" i="22"/>
  <c r="Q56" i="23"/>
  <c r="Q53" i="23"/>
  <c r="J41" i="4"/>
  <c r="R74" i="24"/>
  <c r="I65" i="22"/>
  <c r="Q132" i="17"/>
  <c r="J25" i="6"/>
  <c r="K23" i="6"/>
  <c r="K25" i="6" s="1"/>
  <c r="J49" i="22"/>
  <c r="F123" i="22"/>
  <c r="O68" i="24"/>
  <c r="O75" i="24" s="1"/>
  <c r="K14" i="22" s="1"/>
  <c r="K15" i="22" s="1"/>
  <c r="O65" i="24"/>
  <c r="O31" i="24"/>
  <c r="O28" i="24"/>
  <c r="L8" i="6"/>
  <c r="J10" i="22"/>
  <c r="N25" i="22" l="1"/>
  <c r="R68" i="23"/>
  <c r="R73" i="23" s="1"/>
  <c r="R79" i="23" s="1"/>
  <c r="M35" i="22"/>
  <c r="M40" i="22" s="1"/>
  <c r="N53" i="1"/>
  <c r="L35" i="22"/>
  <c r="L40" i="22" s="1"/>
  <c r="M53" i="1"/>
  <c r="M21" i="6"/>
  <c r="H55" i="22"/>
  <c r="G43" i="13"/>
  <c r="F47" i="13"/>
  <c r="G107" i="1" s="1"/>
  <c r="F23" i="13"/>
  <c r="F24" i="13" s="1"/>
  <c r="F26" i="13" s="1"/>
  <c r="G133" i="1" s="1"/>
  <c r="E26" i="4"/>
  <c r="F59" i="4"/>
  <c r="E63" i="4"/>
  <c r="Q48" i="23"/>
  <c r="P62" i="23"/>
  <c r="Q82" i="23"/>
  <c r="Q61" i="23"/>
  <c r="R20" i="23"/>
  <c r="R22" i="23" s="1"/>
  <c r="R19" i="23"/>
  <c r="M69" i="1"/>
  <c r="L58" i="22"/>
  <c r="P63" i="23"/>
  <c r="P83" i="23"/>
  <c r="M70" i="1" s="1"/>
  <c r="O64" i="23"/>
  <c r="K63" i="22"/>
  <c r="N77" i="20"/>
  <c r="M79" i="20"/>
  <c r="M78" i="20" s="1"/>
  <c r="M72" i="20"/>
  <c r="N73" i="20" s="1"/>
  <c r="Q68" i="19"/>
  <c r="P70" i="19"/>
  <c r="P69" i="19" s="1"/>
  <c r="P63" i="19"/>
  <c r="Q64" i="19" s="1"/>
  <c r="J54" i="19"/>
  <c r="J58" i="19" s="1"/>
  <c r="J14" i="19" s="1"/>
  <c r="J17" i="19" s="1"/>
  <c r="K145" i="1"/>
  <c r="K17" i="4"/>
  <c r="K16" i="4" s="1"/>
  <c r="N64" i="18"/>
  <c r="N66" i="18" s="1"/>
  <c r="N70" i="18" s="1"/>
  <c r="M66" i="18"/>
  <c r="M70" i="18" s="1"/>
  <c r="L72" i="18"/>
  <c r="E48" i="5" s="1"/>
  <c r="M32" i="1"/>
  <c r="L71" i="18"/>
  <c r="E47" i="5" s="1"/>
  <c r="M13" i="4"/>
  <c r="M12" i="4" s="1"/>
  <c r="N32" i="15"/>
  <c r="O128" i="1" s="1"/>
  <c r="N128" i="1"/>
  <c r="N30" i="6"/>
  <c r="N11" i="14"/>
  <c r="M15" i="14"/>
  <c r="L17" i="14"/>
  <c r="L72" i="1"/>
  <c r="L23" i="4"/>
  <c r="L22" i="4" s="1"/>
  <c r="N28" i="4"/>
  <c r="N31" i="4" s="1"/>
  <c r="N61" i="4" s="1"/>
  <c r="AC34" i="11"/>
  <c r="AC33" i="11"/>
  <c r="N95" i="1" s="1"/>
  <c r="AE4" i="11"/>
  <c r="G29" i="9"/>
  <c r="G40" i="9" s="1"/>
  <c r="G47" i="9" s="1"/>
  <c r="G53" i="9" s="1"/>
  <c r="H28" i="9"/>
  <c r="R5" i="10"/>
  <c r="Q47" i="10"/>
  <c r="H91" i="1" s="1"/>
  <c r="Q48" i="10"/>
  <c r="H35" i="4"/>
  <c r="G45" i="4"/>
  <c r="G48" i="4" s="1"/>
  <c r="L26" i="9"/>
  <c r="S129" i="17"/>
  <c r="S128" i="17" s="1"/>
  <c r="S132" i="17" s="1"/>
  <c r="T124" i="17"/>
  <c r="S123" i="17"/>
  <c r="E39" i="4"/>
  <c r="F10" i="4"/>
  <c r="E26" i="1"/>
  <c r="G85" i="17"/>
  <c r="E22" i="1" s="1"/>
  <c r="G30" i="17"/>
  <c r="E16" i="1"/>
  <c r="F11" i="4"/>
  <c r="F9" i="4"/>
  <c r="F8" i="4" s="1"/>
  <c r="F40" i="4"/>
  <c r="H83" i="17"/>
  <c r="F21" i="1" s="1"/>
  <c r="H70" i="17"/>
  <c r="H84" i="17" s="1"/>
  <c r="F19" i="1"/>
  <c r="H78" i="17"/>
  <c r="F18" i="1"/>
  <c r="H76" i="17"/>
  <c r="F27" i="1" s="1"/>
  <c r="I69" i="17"/>
  <c r="I71" i="17"/>
  <c r="I80" i="17" s="1"/>
  <c r="I75" i="17"/>
  <c r="H142" i="1"/>
  <c r="J68" i="17"/>
  <c r="K65" i="17"/>
  <c r="K82" i="17"/>
  <c r="P113" i="17"/>
  <c r="L61" i="17" s="1"/>
  <c r="L62" i="17"/>
  <c r="J25" i="1" s="1"/>
  <c r="Q112" i="17"/>
  <c r="K24" i="1"/>
  <c r="O101" i="17"/>
  <c r="P95" i="17"/>
  <c r="N104" i="17"/>
  <c r="N105" i="17" s="1"/>
  <c r="N60" i="17" s="1"/>
  <c r="N59" i="17"/>
  <c r="J45" i="13"/>
  <c r="K63" i="1"/>
  <c r="L130" i="10" a="1"/>
  <c r="L130" i="10" s="1"/>
  <c r="L129" i="10" a="1"/>
  <c r="L129" i="10" s="1"/>
  <c r="J51" i="9"/>
  <c r="I27" i="9"/>
  <c r="I186" i="10"/>
  <c r="I52" i="9"/>
  <c r="J50" i="9"/>
  <c r="J142" i="10"/>
  <c r="K140" i="10"/>
  <c r="K139" i="10" a="1"/>
  <c r="K139" i="10" s="1"/>
  <c r="L106" i="10" a="1"/>
  <c r="L106" i="10" s="1"/>
  <c r="N30" i="4"/>
  <c r="AB24" i="12"/>
  <c r="AB23" i="12"/>
  <c r="N100" i="1" s="1"/>
  <c r="AD7" i="12"/>
  <c r="G25" i="4"/>
  <c r="G24" i="4" s="1"/>
  <c r="G73" i="6"/>
  <c r="G75" i="6" s="1"/>
  <c r="K120" i="22"/>
  <c r="L68" i="1"/>
  <c r="M16" i="6"/>
  <c r="P59" i="23"/>
  <c r="P75" i="23"/>
  <c r="P78" i="23"/>
  <c r="P80" i="23" s="1"/>
  <c r="M67" i="1"/>
  <c r="L120" i="22"/>
  <c r="M68" i="1"/>
  <c r="N5" i="6"/>
  <c r="M5" i="22"/>
  <c r="Q58" i="23"/>
  <c r="Q77" i="23"/>
  <c r="N66" i="1"/>
  <c r="N7" i="22"/>
  <c r="I46" i="13"/>
  <c r="I66" i="22"/>
  <c r="H117" i="22"/>
  <c r="H125" i="22" s="1"/>
  <c r="I117" i="22"/>
  <c r="I125" i="22" s="1"/>
  <c r="L57" i="4"/>
  <c r="J54" i="22"/>
  <c r="J50" i="22"/>
  <c r="O90" i="24"/>
  <c r="P66" i="24"/>
  <c r="P68" i="24" s="1"/>
  <c r="P75" i="24" s="1"/>
  <c r="L14" i="22" s="1"/>
  <c r="L15" i="22" s="1"/>
  <c r="P65" i="24"/>
  <c r="O74" i="24"/>
  <c r="O70" i="24"/>
  <c r="P29" i="24"/>
  <c r="P31" i="24" s="1"/>
  <c r="O89" i="24"/>
  <c r="O91" i="24" s="1"/>
  <c r="O110" i="24"/>
  <c r="P28" i="24"/>
  <c r="F125" i="22"/>
  <c r="J65" i="22"/>
  <c r="M31" i="4"/>
  <c r="M61" i="4" s="1"/>
  <c r="R109" i="17"/>
  <c r="R135" i="17" s="1"/>
  <c r="K73" i="1"/>
  <c r="K19" i="14"/>
  <c r="L147" i="1" s="1"/>
  <c r="N35" i="22" l="1"/>
  <c r="N40" i="22" s="1"/>
  <c r="O53" i="1"/>
  <c r="M22" i="22"/>
  <c r="N127" i="1"/>
  <c r="L22" i="22"/>
  <c r="M127" i="1"/>
  <c r="I55" i="22"/>
  <c r="H43" i="13"/>
  <c r="G47" i="13"/>
  <c r="H107" i="1" s="1"/>
  <c r="G23" i="13"/>
  <c r="G24" i="13" s="1"/>
  <c r="G26" i="13" s="1"/>
  <c r="H133" i="1" s="1"/>
  <c r="H25" i="4"/>
  <c r="H24" i="4" s="1"/>
  <c r="H73" i="6"/>
  <c r="E32" i="4"/>
  <c r="E60" i="4"/>
  <c r="R48" i="23"/>
  <c r="R62" i="23" s="1"/>
  <c r="Q62" i="23"/>
  <c r="N69" i="1"/>
  <c r="M58" i="22"/>
  <c r="Q63" i="23"/>
  <c r="Q83" i="23"/>
  <c r="N70" i="1" s="1"/>
  <c r="R53" i="23"/>
  <c r="R56" i="23"/>
  <c r="R61" i="23"/>
  <c r="R82" i="23"/>
  <c r="P64" i="23"/>
  <c r="L63" i="22"/>
  <c r="N79" i="20"/>
  <c r="N78" i="20" s="1"/>
  <c r="N72" i="20"/>
  <c r="Q70" i="19"/>
  <c r="Q69" i="19" s="1"/>
  <c r="Q63" i="19"/>
  <c r="N72" i="18"/>
  <c r="G48" i="5" s="1"/>
  <c r="N71" i="18"/>
  <c r="G47" i="5" s="1"/>
  <c r="O32" i="1"/>
  <c r="M72" i="18"/>
  <c r="F48" i="5" s="1"/>
  <c r="N32" i="1"/>
  <c r="M71" i="18"/>
  <c r="F47" i="5" s="1"/>
  <c r="N13" i="4"/>
  <c r="N12" i="4" s="1"/>
  <c r="P30" i="6"/>
  <c r="O30" i="6"/>
  <c r="O11" i="14"/>
  <c r="O15" i="14" s="1"/>
  <c r="N15" i="14"/>
  <c r="M17" i="14"/>
  <c r="M73" i="1" s="1"/>
  <c r="M19" i="14"/>
  <c r="N147" i="1" s="1"/>
  <c r="M72" i="1"/>
  <c r="M23" i="4"/>
  <c r="M22" i="4" s="1"/>
  <c r="O28" i="4"/>
  <c r="AE34" i="11"/>
  <c r="AE33" i="11"/>
  <c r="O95" i="1" s="1"/>
  <c r="H29" i="9"/>
  <c r="H40" i="9" s="1"/>
  <c r="H47" i="9" s="1"/>
  <c r="H53" i="9" s="1"/>
  <c r="I28" i="9"/>
  <c r="S5" i="10"/>
  <c r="R47" i="10"/>
  <c r="I91" i="1" s="1"/>
  <c r="R48" i="10"/>
  <c r="I35" i="4"/>
  <c r="H45" i="4"/>
  <c r="H48" i="4"/>
  <c r="M26" i="9"/>
  <c r="T129" i="17"/>
  <c r="T128" i="17" s="1"/>
  <c r="T123" i="17"/>
  <c r="T109" i="17" s="1"/>
  <c r="T135" i="17" s="1"/>
  <c r="U124" i="17"/>
  <c r="F39" i="4"/>
  <c r="F36" i="6"/>
  <c r="F41" i="6" s="1"/>
  <c r="F51" i="6" s="1"/>
  <c r="F75" i="6" s="1"/>
  <c r="F77" i="6" s="1"/>
  <c r="G10" i="4"/>
  <c r="H85" i="17"/>
  <c r="F22" i="1" s="1"/>
  <c r="F26" i="1"/>
  <c r="G11" i="4"/>
  <c r="G9" i="4"/>
  <c r="G8" i="4" s="1"/>
  <c r="G40" i="4"/>
  <c r="I83" i="17"/>
  <c r="G21" i="1" s="1"/>
  <c r="G19" i="1"/>
  <c r="I78" i="17"/>
  <c r="I16" i="17" s="1"/>
  <c r="I19" i="17" s="1"/>
  <c r="G18" i="1"/>
  <c r="J69" i="17"/>
  <c r="J71" i="17"/>
  <c r="J80" i="17" s="1"/>
  <c r="J75" i="17"/>
  <c r="I142" i="1"/>
  <c r="K68" i="17"/>
  <c r="L65" i="17"/>
  <c r="L82" i="17"/>
  <c r="Q113" i="17"/>
  <c r="M61" i="17" s="1"/>
  <c r="R112" i="17"/>
  <c r="M62" i="17"/>
  <c r="K25" i="1" s="1"/>
  <c r="O104" i="17"/>
  <c r="O102" i="17"/>
  <c r="O59" i="17"/>
  <c r="P101" i="17"/>
  <c r="P59" i="17" s="1"/>
  <c r="Q95" i="17"/>
  <c r="Q101" i="17" s="1"/>
  <c r="Q59" i="17" s="1"/>
  <c r="L24" i="1"/>
  <c r="M130" i="10" a="1"/>
  <c r="M130" i="10" s="1"/>
  <c r="M129" i="10" a="1"/>
  <c r="M129" i="10" s="1"/>
  <c r="K51" i="9"/>
  <c r="J27" i="9"/>
  <c r="J186" i="10"/>
  <c r="J52" i="9"/>
  <c r="K50" i="9"/>
  <c r="K142" i="10"/>
  <c r="L140" i="10"/>
  <c r="L139" i="10" a="1"/>
  <c r="L139" i="10" s="1"/>
  <c r="M106" i="10" a="1"/>
  <c r="M106" i="10" s="1"/>
  <c r="O30" i="4"/>
  <c r="AD24" i="12"/>
  <c r="AD23" i="12"/>
  <c r="O100" i="1" s="1"/>
  <c r="N16" i="6"/>
  <c r="M9" i="22"/>
  <c r="Q59" i="23"/>
  <c r="Q75" i="23"/>
  <c r="Q78" i="23"/>
  <c r="Q80" i="23" s="1"/>
  <c r="N67" i="1"/>
  <c r="N68" i="1"/>
  <c r="M120" i="22"/>
  <c r="O5" i="6"/>
  <c r="Q66" i="24"/>
  <c r="P90" i="24"/>
  <c r="O76" i="24"/>
  <c r="K7" i="22"/>
  <c r="L84" i="1"/>
  <c r="O104" i="24"/>
  <c r="P70" i="24"/>
  <c r="P74" i="24"/>
  <c r="O111" i="24"/>
  <c r="K64" i="22"/>
  <c r="K65" i="22" s="1"/>
  <c r="L87" i="1"/>
  <c r="K59" i="22"/>
  <c r="K60" i="22" s="1"/>
  <c r="P110" i="24"/>
  <c r="P89" i="24"/>
  <c r="P91" i="24" s="1"/>
  <c r="Q28" i="24"/>
  <c r="J46" i="13"/>
  <c r="J66" i="22"/>
  <c r="L41" i="4"/>
  <c r="S109" i="17"/>
  <c r="S135" i="17" s="1"/>
  <c r="K36" i="1"/>
  <c r="J26" i="19"/>
  <c r="L73" i="1"/>
  <c r="L19" i="14"/>
  <c r="M147" i="1" s="1"/>
  <c r="N22" i="22" l="1"/>
  <c r="O127" i="1"/>
  <c r="O21" i="6"/>
  <c r="N21" i="6"/>
  <c r="J55" i="22"/>
  <c r="J43" i="13" s="1"/>
  <c r="I43" i="13"/>
  <c r="H23" i="13"/>
  <c r="H24" i="13" s="1"/>
  <c r="H26" i="13" s="1"/>
  <c r="I133" i="1" s="1"/>
  <c r="H47" i="13"/>
  <c r="I107" i="1" s="1"/>
  <c r="I25" i="4"/>
  <c r="I24" i="4" s="1"/>
  <c r="I73" i="6"/>
  <c r="C153" i="10"/>
  <c r="C162" i="10"/>
  <c r="C163" i="10"/>
  <c r="C164" i="10"/>
  <c r="C165" i="10"/>
  <c r="C167" i="10"/>
  <c r="C168" i="10"/>
  <c r="C169" i="10"/>
  <c r="C170" i="10"/>
  <c r="C171" i="10"/>
  <c r="C172" i="10"/>
  <c r="C173" i="10"/>
  <c r="C177" i="10"/>
  <c r="C178" i="10"/>
  <c r="C179" i="10"/>
  <c r="C174" i="10"/>
  <c r="C181" i="10"/>
  <c r="C182" i="10"/>
  <c r="C157" i="10"/>
  <c r="C158" i="10"/>
  <c r="C159" i="10"/>
  <c r="C175" i="10"/>
  <c r="C176" i="10"/>
  <c r="C180" i="10"/>
  <c r="C156" i="10"/>
  <c r="C160" i="10"/>
  <c r="C151" i="10"/>
  <c r="C154" i="10"/>
  <c r="C161" i="10"/>
  <c r="C166" i="10"/>
  <c r="C149" i="10"/>
  <c r="C150" i="10"/>
  <c r="C155" i="10"/>
  <c r="C148" i="10"/>
  <c r="C152" i="10"/>
  <c r="C4" i="7"/>
  <c r="C10" i="7" s="1"/>
  <c r="C11" i="7" s="1"/>
  <c r="D115" i="1" s="1"/>
  <c r="C185" i="10"/>
  <c r="C187" i="10" s="1"/>
  <c r="Q64" i="23"/>
  <c r="M63" i="22"/>
  <c r="O66" i="1"/>
  <c r="R77" i="23"/>
  <c r="R58" i="23"/>
  <c r="N5" i="22"/>
  <c r="R63" i="23"/>
  <c r="R83" i="23"/>
  <c r="O70" i="1" s="1"/>
  <c r="O69" i="1"/>
  <c r="N58" i="22"/>
  <c r="P13" i="4"/>
  <c r="P12" i="4" s="1"/>
  <c r="O13" i="4"/>
  <c r="O12" i="4" s="1"/>
  <c r="O17" i="14"/>
  <c r="O73" i="1" s="1"/>
  <c r="O19" i="14"/>
  <c r="O72" i="1"/>
  <c r="N17" i="14"/>
  <c r="N72" i="1"/>
  <c r="N41" i="4"/>
  <c r="N23" i="4"/>
  <c r="N22" i="4" s="1"/>
  <c r="P28" i="4"/>
  <c r="P31" i="4" s="1"/>
  <c r="P61" i="4" s="1"/>
  <c r="I29" i="9"/>
  <c r="I40" i="9" s="1"/>
  <c r="I47" i="9" s="1"/>
  <c r="I53" i="9" s="1"/>
  <c r="J28" i="9"/>
  <c r="T5" i="10"/>
  <c r="S47" i="10"/>
  <c r="J91" i="1" s="1"/>
  <c r="S48" i="10"/>
  <c r="J35" i="4"/>
  <c r="I45" i="4"/>
  <c r="I48" i="4"/>
  <c r="N26" i="9"/>
  <c r="U129" i="17"/>
  <c r="U128" i="17" s="1"/>
  <c r="U123" i="17"/>
  <c r="U109" i="17" s="1"/>
  <c r="U135" i="17" s="1"/>
  <c r="E112" i="1"/>
  <c r="G77" i="6"/>
  <c r="G39" i="4"/>
  <c r="H10" i="4"/>
  <c r="H11" i="4"/>
  <c r="G16" i="1"/>
  <c r="I30" i="17"/>
  <c r="H9" i="4"/>
  <c r="H8" i="4" s="1"/>
  <c r="J83" i="17"/>
  <c r="H21" i="1" s="1"/>
  <c r="J78" i="17"/>
  <c r="J16" i="17" s="1"/>
  <c r="J19" i="17" s="1"/>
  <c r="H19" i="1"/>
  <c r="H18" i="1"/>
  <c r="K69" i="17"/>
  <c r="K71" i="17"/>
  <c r="K80" i="17" s="1"/>
  <c r="K75" i="17"/>
  <c r="J142" i="1"/>
  <c r="L68" i="17"/>
  <c r="M65" i="17"/>
  <c r="M82" i="17"/>
  <c r="R113" i="17"/>
  <c r="N61" i="17" s="1"/>
  <c r="S112" i="17"/>
  <c r="N62" i="17"/>
  <c r="L25" i="1" s="1"/>
  <c r="P104" i="17"/>
  <c r="O105" i="17"/>
  <c r="O60" i="17" s="1"/>
  <c r="M24" i="1"/>
  <c r="N24" i="1"/>
  <c r="O24" i="1"/>
  <c r="N130" i="10" a="1"/>
  <c r="N130" i="10" s="1"/>
  <c r="N129" i="10" a="1"/>
  <c r="N129" i="10" s="1"/>
  <c r="L51" i="9"/>
  <c r="K27" i="9"/>
  <c r="K186" i="10"/>
  <c r="K52" i="9"/>
  <c r="L50" i="9"/>
  <c r="L142" i="10"/>
  <c r="M140" i="10"/>
  <c r="M139" i="10" a="1"/>
  <c r="M139" i="10" s="1"/>
  <c r="N106" i="10" a="1"/>
  <c r="N106" i="10" s="1"/>
  <c r="P30" i="4"/>
  <c r="O16" i="6"/>
  <c r="O77" i="24"/>
  <c r="O102" i="24"/>
  <c r="O105" i="24"/>
  <c r="O108" i="24" s="1"/>
  <c r="L85" i="1"/>
  <c r="K9" i="22"/>
  <c r="K49" i="22" s="1"/>
  <c r="M7" i="6"/>
  <c r="L86" i="1"/>
  <c r="K121" i="22"/>
  <c r="K123" i="22" s="1"/>
  <c r="P104" i="24"/>
  <c r="M84" i="1"/>
  <c r="P76" i="24"/>
  <c r="L7" i="22"/>
  <c r="K46" i="13"/>
  <c r="K66" i="22"/>
  <c r="K45" i="13"/>
  <c r="L63" i="1"/>
  <c r="M87" i="1"/>
  <c r="L59" i="22"/>
  <c r="L60" i="22" s="1"/>
  <c r="P111" i="24"/>
  <c r="L64" i="22"/>
  <c r="L65" i="22" s="1"/>
  <c r="R28" i="24"/>
  <c r="Q89" i="24"/>
  <c r="L38" i="6"/>
  <c r="M41" i="4"/>
  <c r="O31" i="4"/>
  <c r="O61" i="4" s="1"/>
  <c r="T132" i="17"/>
  <c r="Q68" i="24"/>
  <c r="Q65" i="24"/>
  <c r="Q110" i="24" s="1"/>
  <c r="L88" i="1"/>
  <c r="O112" i="24"/>
  <c r="O113" i="24" s="1"/>
  <c r="P21" i="6" l="1"/>
  <c r="J23" i="13"/>
  <c r="J24" i="13" s="1"/>
  <c r="J26" i="13" s="1"/>
  <c r="K133" i="1" s="1"/>
  <c r="J47" i="13"/>
  <c r="K107" i="1" s="1"/>
  <c r="I23" i="13"/>
  <c r="I24" i="13" s="1"/>
  <c r="I26" i="13" s="1"/>
  <c r="J133" i="1" s="1"/>
  <c r="I47" i="13"/>
  <c r="J107" i="1" s="1"/>
  <c r="J73" i="6"/>
  <c r="J25" i="4"/>
  <c r="J24" i="4" s="1"/>
  <c r="E34" i="4"/>
  <c r="P5" i="6"/>
  <c r="R59" i="23"/>
  <c r="R75" i="23"/>
  <c r="R78" i="23"/>
  <c r="R80" i="23" s="1"/>
  <c r="O67" i="1"/>
  <c r="N9" i="22"/>
  <c r="R64" i="23"/>
  <c r="N63" i="22"/>
  <c r="P41" i="4"/>
  <c r="P23" i="4"/>
  <c r="P22" i="4" s="1"/>
  <c r="O23" i="4"/>
  <c r="O22" i="4" s="1"/>
  <c r="J29" i="9"/>
  <c r="J40" i="9" s="1"/>
  <c r="J47" i="9" s="1"/>
  <c r="J53" i="9" s="1"/>
  <c r="K28" i="9"/>
  <c r="U5" i="10"/>
  <c r="T47" i="10"/>
  <c r="K91" i="1" s="1"/>
  <c r="T48" i="10"/>
  <c r="K35" i="4"/>
  <c r="J45" i="4"/>
  <c r="J48" i="4" s="1"/>
  <c r="F5" i="4"/>
  <c r="F112" i="1"/>
  <c r="H36" i="6"/>
  <c r="H41" i="6" s="1"/>
  <c r="H51" i="6" s="1"/>
  <c r="H75" i="6" s="1"/>
  <c r="H77" i="6" s="1"/>
  <c r="I10" i="4"/>
  <c r="J30" i="17"/>
  <c r="H16" i="1"/>
  <c r="I11" i="4"/>
  <c r="I9" i="4"/>
  <c r="I8" i="4" s="1"/>
  <c r="K83" i="17"/>
  <c r="I21" i="1" s="1"/>
  <c r="K78" i="17"/>
  <c r="K16" i="17" s="1"/>
  <c r="K19" i="17" s="1"/>
  <c r="I19" i="1"/>
  <c r="I18" i="1"/>
  <c r="L69" i="17"/>
  <c r="L71" i="17"/>
  <c r="L80" i="17" s="1"/>
  <c r="L75" i="17"/>
  <c r="K142" i="1"/>
  <c r="M68" i="17"/>
  <c r="N65" i="17"/>
  <c r="N82" i="17"/>
  <c r="S113" i="17"/>
  <c r="O61" i="17" s="1"/>
  <c r="T112" i="17"/>
  <c r="O62" i="17"/>
  <c r="M25" i="1" s="1"/>
  <c r="Q104" i="17"/>
  <c r="Q105" i="17" s="1"/>
  <c r="Q60" i="17" s="1"/>
  <c r="P105" i="17"/>
  <c r="P60" i="17" s="1"/>
  <c r="M51" i="9"/>
  <c r="L27" i="9"/>
  <c r="L186" i="10"/>
  <c r="L52" i="9"/>
  <c r="M50" i="9"/>
  <c r="M142" i="10"/>
  <c r="N140" i="10"/>
  <c r="N139" i="10" a="1"/>
  <c r="N139" i="10" s="1"/>
  <c r="M18" i="6"/>
  <c r="M19" i="6" s="1"/>
  <c r="M23" i="6" s="1"/>
  <c r="M25" i="6" s="1"/>
  <c r="M57" i="4"/>
  <c r="K54" i="22"/>
  <c r="K55" i="22" s="1"/>
  <c r="K43" i="13" s="1"/>
  <c r="K50" i="22"/>
  <c r="K117" i="22"/>
  <c r="K125" i="22" s="1"/>
  <c r="N7" i="6"/>
  <c r="N8" i="6" s="1"/>
  <c r="P77" i="24"/>
  <c r="P102" i="24"/>
  <c r="P105" i="24"/>
  <c r="P108" i="24" s="1"/>
  <c r="M85" i="1"/>
  <c r="L10" i="22"/>
  <c r="L9" i="22"/>
  <c r="L49" i="22" s="1"/>
  <c r="M63" i="1"/>
  <c r="L45" i="13"/>
  <c r="L46" i="13"/>
  <c r="L66" i="22"/>
  <c r="R89" i="24"/>
  <c r="N87" i="1"/>
  <c r="M59" i="22"/>
  <c r="M60" i="22" s="1"/>
  <c r="Q75" i="24"/>
  <c r="Q70" i="24"/>
  <c r="Q90" i="24"/>
  <c r="Q91" i="24" s="1"/>
  <c r="R66" i="24"/>
  <c r="R68" i="24" s="1"/>
  <c r="R65" i="24"/>
  <c r="U132" i="17"/>
  <c r="C184" i="10"/>
  <c r="E46" i="4" s="1"/>
  <c r="N73" i="1"/>
  <c r="N19" i="14"/>
  <c r="O147" i="1" s="1"/>
  <c r="M8" i="6"/>
  <c r="K10" i="22"/>
  <c r="M88" i="1"/>
  <c r="P112" i="24"/>
  <c r="P113" i="24" s="1"/>
  <c r="L73" i="6" l="1"/>
  <c r="L25" i="4"/>
  <c r="L24" i="4" s="1"/>
  <c r="K73" i="6"/>
  <c r="K25" i="4"/>
  <c r="K24" i="4" s="1"/>
  <c r="E37" i="4"/>
  <c r="E38" i="4"/>
  <c r="N120" i="22"/>
  <c r="O68" i="1"/>
  <c r="P16" i="6"/>
  <c r="K29" i="9"/>
  <c r="K40" i="9" s="1"/>
  <c r="K47" i="9" s="1"/>
  <c r="K53" i="9" s="1"/>
  <c r="L28" i="9"/>
  <c r="V5" i="10"/>
  <c r="U47" i="10"/>
  <c r="L91" i="1" s="1"/>
  <c r="U48" i="10"/>
  <c r="L35" i="4"/>
  <c r="K45" i="4"/>
  <c r="K48" i="4"/>
  <c r="F26" i="4"/>
  <c r="F63" i="4"/>
  <c r="G59" i="4"/>
  <c r="I77" i="6"/>
  <c r="G112" i="1"/>
  <c r="G5" i="4"/>
  <c r="I36" i="6"/>
  <c r="I41" i="6" s="1"/>
  <c r="I51" i="6" s="1"/>
  <c r="I75" i="6" s="1"/>
  <c r="J10" i="4"/>
  <c r="K30" i="17"/>
  <c r="I16" i="1"/>
  <c r="J11" i="4"/>
  <c r="J9" i="4"/>
  <c r="J8" i="4" s="1"/>
  <c r="L83" i="17"/>
  <c r="J21" i="1" s="1"/>
  <c r="J19" i="1"/>
  <c r="L78" i="17"/>
  <c r="L16" i="17" s="1"/>
  <c r="L19" i="17" s="1"/>
  <c r="J18" i="1"/>
  <c r="M69" i="17"/>
  <c r="M71" i="17"/>
  <c r="M80" i="17" s="1"/>
  <c r="M75" i="17"/>
  <c r="L142" i="1"/>
  <c r="N68" i="17"/>
  <c r="O65" i="17"/>
  <c r="O82" i="17"/>
  <c r="T113" i="17"/>
  <c r="P61" i="17" s="1"/>
  <c r="P65" i="17" s="1"/>
  <c r="P62" i="17"/>
  <c r="N25" i="1" s="1"/>
  <c r="U112" i="17"/>
  <c r="N51" i="9"/>
  <c r="M27" i="9"/>
  <c r="M186" i="10"/>
  <c r="M52" i="9"/>
  <c r="N50" i="9"/>
  <c r="N27" i="9" s="1"/>
  <c r="N142" i="10"/>
  <c r="K47" i="13"/>
  <c r="L107" i="1" s="1"/>
  <c r="K23" i="13"/>
  <c r="K24" i="13" s="1"/>
  <c r="K26" i="13" s="1"/>
  <c r="L133" i="1" s="1"/>
  <c r="M86" i="1"/>
  <c r="L121" i="22"/>
  <c r="L123" i="22" s="1"/>
  <c r="N18" i="6"/>
  <c r="N19" i="6" s="1"/>
  <c r="N23" i="6" s="1"/>
  <c r="N25" i="6" s="1"/>
  <c r="N57" i="4"/>
  <c r="L54" i="22"/>
  <c r="L55" i="22" s="1"/>
  <c r="L43" i="13" s="1"/>
  <c r="L50" i="22"/>
  <c r="M45" i="13"/>
  <c r="N63" i="1"/>
  <c r="Q76" i="24"/>
  <c r="M14" i="22"/>
  <c r="M15" i="22" s="1"/>
  <c r="M49" i="22" s="1"/>
  <c r="Q104" i="24"/>
  <c r="N84" i="1"/>
  <c r="M64" i="22"/>
  <c r="M65" i="22" s="1"/>
  <c r="Q111" i="24"/>
  <c r="R70" i="24"/>
  <c r="R75" i="24"/>
  <c r="O41" i="4"/>
  <c r="R90" i="24"/>
  <c r="R91" i="24" s="1"/>
  <c r="R110" i="24"/>
  <c r="E62" i="4" l="1"/>
  <c r="E64" i="4" s="1"/>
  <c r="E65" i="4" s="1"/>
  <c r="E43" i="4"/>
  <c r="D119" i="1"/>
  <c r="L29" i="9"/>
  <c r="L40" i="9" s="1"/>
  <c r="L47" i="9" s="1"/>
  <c r="L53" i="9" s="1"/>
  <c r="M28" i="9"/>
  <c r="W5" i="10"/>
  <c r="V47" i="10"/>
  <c r="M91" i="1" s="1"/>
  <c r="V48" i="10"/>
  <c r="M35" i="4"/>
  <c r="L45" i="4"/>
  <c r="L48" i="4"/>
  <c r="F32" i="4"/>
  <c r="F60" i="4"/>
  <c r="H112" i="1"/>
  <c r="H5" i="4"/>
  <c r="G26" i="4"/>
  <c r="H59" i="4"/>
  <c r="G63" i="4"/>
  <c r="J36" i="6"/>
  <c r="J41" i="6" s="1"/>
  <c r="J51" i="6" s="1"/>
  <c r="J75" i="6" s="1"/>
  <c r="J77" i="6" s="1"/>
  <c r="K10" i="4"/>
  <c r="K11" i="4"/>
  <c r="J16" i="1"/>
  <c r="L30" i="17"/>
  <c r="K9" i="4"/>
  <c r="K8" i="4" s="1"/>
  <c r="M83" i="17"/>
  <c r="K21" i="1" s="1"/>
  <c r="M78" i="17"/>
  <c r="M16" i="17" s="1"/>
  <c r="M19" i="17" s="1"/>
  <c r="K19" i="1"/>
  <c r="K18" i="1"/>
  <c r="N69" i="17"/>
  <c r="N71" i="17"/>
  <c r="N80" i="17" s="1"/>
  <c r="N75" i="17"/>
  <c r="O68" i="17"/>
  <c r="M142" i="1"/>
  <c r="P82" i="17"/>
  <c r="P69" i="17"/>
  <c r="U113" i="17"/>
  <c r="Q61" i="17" s="1"/>
  <c r="Q62" i="17"/>
  <c r="O25" i="1" s="1"/>
  <c r="P68" i="17"/>
  <c r="N142" i="1"/>
  <c r="N186" i="10"/>
  <c r="N52" i="9"/>
  <c r="M25" i="4"/>
  <c r="M24" i="4" s="1"/>
  <c r="M73" i="6"/>
  <c r="L117" i="22"/>
  <c r="L125" i="22" s="1"/>
  <c r="L47" i="13"/>
  <c r="M107" i="1" s="1"/>
  <c r="L23" i="13"/>
  <c r="L24" i="13" s="1"/>
  <c r="L26" i="13" s="1"/>
  <c r="M133" i="1" s="1"/>
  <c r="N85" i="1"/>
  <c r="Q105" i="24"/>
  <c r="Q108" i="24" s="1"/>
  <c r="Q102" i="24"/>
  <c r="Q77" i="24"/>
  <c r="O57" i="4"/>
  <c r="M54" i="22"/>
  <c r="M55" i="22" s="1"/>
  <c r="M43" i="13" s="1"/>
  <c r="M50" i="22"/>
  <c r="N86" i="1"/>
  <c r="M121" i="22"/>
  <c r="M123" i="22" s="1"/>
  <c r="O7" i="6"/>
  <c r="M46" i="13"/>
  <c r="M66" i="22"/>
  <c r="Q112" i="24"/>
  <c r="Q113" i="24" s="1"/>
  <c r="N88" i="1"/>
  <c r="R104" i="24"/>
  <c r="O84" i="1"/>
  <c r="R76" i="24"/>
  <c r="N14" i="22"/>
  <c r="N15" i="22" s="1"/>
  <c r="N49" i="22" s="1"/>
  <c r="N64" i="22"/>
  <c r="N65" i="22" s="1"/>
  <c r="R111" i="24"/>
  <c r="O88" i="1" s="1"/>
  <c r="N59" i="22"/>
  <c r="N60" i="22" s="1"/>
  <c r="O87" i="1"/>
  <c r="R112" i="24"/>
  <c r="C5" i="7" l="1"/>
  <c r="C15" i="7" s="1"/>
  <c r="D116" i="1" s="1"/>
  <c r="D120" i="1"/>
  <c r="M29" i="9"/>
  <c r="M40" i="9" s="1"/>
  <c r="M47" i="9" s="1"/>
  <c r="M53" i="9" s="1"/>
  <c r="N28" i="9"/>
  <c r="N29" i="9" s="1"/>
  <c r="N40" i="9" s="1"/>
  <c r="N47" i="9" s="1"/>
  <c r="N53" i="9" s="1"/>
  <c r="X5" i="10"/>
  <c r="W47" i="10"/>
  <c r="N91" i="1" s="1"/>
  <c r="W48" i="10"/>
  <c r="N35" i="4"/>
  <c r="M45" i="4"/>
  <c r="M48" i="4"/>
  <c r="D152" i="10"/>
  <c r="D155" i="10"/>
  <c r="D153" i="10"/>
  <c r="D150" i="10"/>
  <c r="D151" i="10"/>
  <c r="D164" i="10"/>
  <c r="D166" i="10"/>
  <c r="D167" i="10"/>
  <c r="D168" i="10"/>
  <c r="D169" i="10"/>
  <c r="D170" i="10"/>
  <c r="D171" i="10"/>
  <c r="D177" i="10"/>
  <c r="D178" i="10"/>
  <c r="D179" i="10"/>
  <c r="D156" i="10"/>
  <c r="D157" i="10"/>
  <c r="D158" i="10"/>
  <c r="D159" i="10"/>
  <c r="D172" i="10"/>
  <c r="D173" i="10"/>
  <c r="D180" i="10"/>
  <c r="D181" i="10"/>
  <c r="D160" i="10"/>
  <c r="D175" i="10"/>
  <c r="D149" i="10"/>
  <c r="D162" i="10"/>
  <c r="D163" i="10"/>
  <c r="D165" i="10"/>
  <c r="D154" i="10"/>
  <c r="D176" i="10"/>
  <c r="D182" i="10"/>
  <c r="D161" i="10"/>
  <c r="D148" i="10"/>
  <c r="D174" i="10"/>
  <c r="D4" i="7"/>
  <c r="D10" i="7" s="1"/>
  <c r="D11" i="7" s="1"/>
  <c r="E115" i="1" s="1"/>
  <c r="D185" i="10"/>
  <c r="D187" i="10" s="1"/>
  <c r="I112" i="1"/>
  <c r="I5" i="4"/>
  <c r="H26" i="4"/>
  <c r="I59" i="4"/>
  <c r="H63" i="4"/>
  <c r="G32" i="4"/>
  <c r="G60" i="4"/>
  <c r="K36" i="6"/>
  <c r="K41" i="6" s="1"/>
  <c r="K51" i="6" s="1"/>
  <c r="K75" i="6" s="1"/>
  <c r="K77" i="6" s="1"/>
  <c r="L10" i="4"/>
  <c r="K16" i="1"/>
  <c r="M30" i="17"/>
  <c r="L11" i="4"/>
  <c r="L9" i="4"/>
  <c r="L8" i="4" s="1"/>
  <c r="N83" i="17"/>
  <c r="L21" i="1" s="1"/>
  <c r="L19" i="1"/>
  <c r="N78" i="17"/>
  <c r="N16" i="17" s="1"/>
  <c r="N19" i="17" s="1"/>
  <c r="L18" i="1"/>
  <c r="O69" i="17"/>
  <c r="O71" i="17"/>
  <c r="O80" i="17" s="1"/>
  <c r="O75" i="17"/>
  <c r="Q65" i="17"/>
  <c r="Q82" i="17"/>
  <c r="P71" i="17"/>
  <c r="P80" i="17" s="1"/>
  <c r="P75" i="17"/>
  <c r="N25" i="4"/>
  <c r="N24" i="4" s="1"/>
  <c r="N73" i="6"/>
  <c r="N75" i="6" s="1"/>
  <c r="O18" i="6"/>
  <c r="O19" i="6" s="1"/>
  <c r="O23" i="6" s="1"/>
  <c r="M47" i="13"/>
  <c r="N107" i="1" s="1"/>
  <c r="M23" i="13"/>
  <c r="M24" i="13" s="1"/>
  <c r="M26" i="13" s="1"/>
  <c r="N133" i="1" s="1"/>
  <c r="M10" i="22"/>
  <c r="O8" i="6"/>
  <c r="O25" i="6" s="1"/>
  <c r="P7" i="6"/>
  <c r="R105" i="24"/>
  <c r="R108" i="24" s="1"/>
  <c r="R102" i="24"/>
  <c r="O85" i="1"/>
  <c r="R77" i="24"/>
  <c r="P57" i="4"/>
  <c r="N54" i="22"/>
  <c r="N55" i="22" s="1"/>
  <c r="N43" i="13" s="1"/>
  <c r="N50" i="22"/>
  <c r="N46" i="13"/>
  <c r="N66" i="22"/>
  <c r="N45" i="13"/>
  <c r="O63" i="1"/>
  <c r="P83" i="17"/>
  <c r="N21" i="1" s="1"/>
  <c r="R113" i="24"/>
  <c r="E44" i="4" l="1"/>
  <c r="X47" i="10"/>
  <c r="O91" i="1" s="1"/>
  <c r="X48" i="10"/>
  <c r="O35" i="4"/>
  <c r="N45" i="4"/>
  <c r="N48" i="4" s="1"/>
  <c r="F34" i="4"/>
  <c r="L77" i="6"/>
  <c r="J112" i="1"/>
  <c r="J5" i="4"/>
  <c r="I26" i="4"/>
  <c r="J59" i="4"/>
  <c r="I63" i="4"/>
  <c r="H32" i="4"/>
  <c r="H60" i="4"/>
  <c r="E161" i="10"/>
  <c r="E170" i="10"/>
  <c r="E156" i="10"/>
  <c r="E164" i="10"/>
  <c r="E175" i="10"/>
  <c r="E176" i="10"/>
  <c r="E181" i="10"/>
  <c r="E173" i="10"/>
  <c r="E177" i="10"/>
  <c r="E167" i="10"/>
  <c r="E165" i="10"/>
  <c r="E154" i="10"/>
  <c r="E149" i="10"/>
  <c r="E179" i="10"/>
  <c r="E150" i="10"/>
  <c r="E169" i="10"/>
  <c r="E171" i="10"/>
  <c r="E158" i="10"/>
  <c r="E160" i="10"/>
  <c r="E162" i="10"/>
  <c r="E152" i="10"/>
  <c r="E148" i="10"/>
  <c r="E180" i="10"/>
  <c r="E172" i="10"/>
  <c r="E168" i="10"/>
  <c r="E166" i="10"/>
  <c r="E155" i="10"/>
  <c r="E153" i="10"/>
  <c r="E182" i="10"/>
  <c r="E163" i="10"/>
  <c r="E178" i="10"/>
  <c r="E159" i="10"/>
  <c r="E151" i="10"/>
  <c r="E157" i="10"/>
  <c r="E4" i="7"/>
  <c r="E10" i="7" s="1"/>
  <c r="E11" i="7" s="1"/>
  <c r="F115" i="1" s="1"/>
  <c r="E174" i="10"/>
  <c r="E185" i="10"/>
  <c r="E187" i="10" s="1"/>
  <c r="L36" i="6"/>
  <c r="L41" i="6" s="1"/>
  <c r="L51" i="6" s="1"/>
  <c r="L75" i="6" s="1"/>
  <c r="M10" i="4"/>
  <c r="M11" i="4"/>
  <c r="L16" i="1"/>
  <c r="N30" i="17"/>
  <c r="M9" i="4"/>
  <c r="M8" i="4" s="1"/>
  <c r="O83" i="17"/>
  <c r="M21" i="1" s="1"/>
  <c r="O78" i="17"/>
  <c r="M19" i="1"/>
  <c r="M18" i="1"/>
  <c r="O142" i="1"/>
  <c r="Q68" i="17"/>
  <c r="N19" i="1"/>
  <c r="P78" i="17"/>
  <c r="N18" i="1"/>
  <c r="O25" i="4"/>
  <c r="O24" i="4" s="1"/>
  <c r="O73" i="6"/>
  <c r="O75" i="6" s="1"/>
  <c r="M117" i="22"/>
  <c r="M125" i="22" s="1"/>
  <c r="N10" i="22"/>
  <c r="P8" i="6"/>
  <c r="O86" i="1"/>
  <c r="N121" i="22"/>
  <c r="N123" i="22" s="1"/>
  <c r="P18" i="6"/>
  <c r="P19" i="6" s="1"/>
  <c r="P23" i="6" s="1"/>
  <c r="N47" i="13"/>
  <c r="O107" i="1" s="1"/>
  <c r="N23" i="13"/>
  <c r="N24" i="13" s="1"/>
  <c r="N26" i="13" s="1"/>
  <c r="O133" i="1" s="1"/>
  <c r="O10" i="4"/>
  <c r="D184" i="10"/>
  <c r="F46" i="4" s="1"/>
  <c r="E49" i="4" l="1"/>
  <c r="E50" i="4"/>
  <c r="P35" i="4"/>
  <c r="O45" i="4"/>
  <c r="O48" i="4" s="1"/>
  <c r="F37" i="4"/>
  <c r="F38" i="4"/>
  <c r="M77" i="6"/>
  <c r="K112" i="1"/>
  <c r="K5" i="4"/>
  <c r="J26" i="4"/>
  <c r="J63" i="4"/>
  <c r="K59" i="4"/>
  <c r="I32" i="4"/>
  <c r="I60" i="4"/>
  <c r="F182" i="10"/>
  <c r="F152" i="10"/>
  <c r="F181" i="10"/>
  <c r="F180" i="10"/>
  <c r="F177" i="10"/>
  <c r="F178" i="10"/>
  <c r="F173" i="10"/>
  <c r="F172" i="10"/>
  <c r="F168" i="10"/>
  <c r="F167" i="10"/>
  <c r="F166" i="10"/>
  <c r="F165" i="10"/>
  <c r="F155" i="10"/>
  <c r="F154" i="10"/>
  <c r="F153" i="10"/>
  <c r="F148" i="10"/>
  <c r="F161" i="10"/>
  <c r="F150" i="10"/>
  <c r="F149" i="10"/>
  <c r="F164" i="10"/>
  <c r="F163" i="10"/>
  <c r="F151" i="10"/>
  <c r="F160" i="10"/>
  <c r="F159" i="10"/>
  <c r="F158" i="10"/>
  <c r="F157" i="10"/>
  <c r="F156" i="10"/>
  <c r="F179" i="10"/>
  <c r="F171" i="10"/>
  <c r="F170" i="10"/>
  <c r="F169" i="10"/>
  <c r="F162" i="10"/>
  <c r="F175" i="10"/>
  <c r="F176" i="10"/>
  <c r="F4" i="7"/>
  <c r="F10" i="7" s="1"/>
  <c r="F11" i="7" s="1"/>
  <c r="G115" i="1" s="1"/>
  <c r="F174" i="10"/>
  <c r="F185" i="10"/>
  <c r="F187" i="10" s="1"/>
  <c r="G34" i="4"/>
  <c r="M36" i="6"/>
  <c r="M41" i="6" s="1"/>
  <c r="M51" i="6" s="1"/>
  <c r="M75" i="6" s="1"/>
  <c r="N10" i="4"/>
  <c r="N11" i="4"/>
  <c r="N9" i="4"/>
  <c r="Q69" i="17"/>
  <c r="Q71" i="17"/>
  <c r="Q80" i="17" s="1"/>
  <c r="Q75" i="17"/>
  <c r="O11" i="4"/>
  <c r="O9" i="4"/>
  <c r="P25" i="4"/>
  <c r="P24" i="4" s="1"/>
  <c r="P73" i="6"/>
  <c r="E184" i="10"/>
  <c r="G46" i="4" s="1"/>
  <c r="P25" i="6"/>
  <c r="P45" i="4" l="1"/>
  <c r="P48" i="4"/>
  <c r="F62" i="4"/>
  <c r="F64" i="4" s="1"/>
  <c r="F65" i="4" s="1"/>
  <c r="F43" i="4"/>
  <c r="E119" i="1"/>
  <c r="N77" i="6"/>
  <c r="L112" i="1"/>
  <c r="L5" i="4"/>
  <c r="K26" i="4"/>
  <c r="L59" i="4"/>
  <c r="K63" i="4"/>
  <c r="J32" i="4"/>
  <c r="J60" i="4"/>
  <c r="G152" i="10"/>
  <c r="G182" i="10"/>
  <c r="G173" i="10"/>
  <c r="G172" i="10"/>
  <c r="G181" i="10"/>
  <c r="G180" i="10"/>
  <c r="G178" i="10"/>
  <c r="G168" i="10"/>
  <c r="G167" i="10"/>
  <c r="G166" i="10"/>
  <c r="G165" i="10"/>
  <c r="G155" i="10"/>
  <c r="G154" i="10"/>
  <c r="G153" i="10"/>
  <c r="G148" i="10"/>
  <c r="G150" i="10"/>
  <c r="G149" i="10"/>
  <c r="G177" i="10"/>
  <c r="G162" i="10"/>
  <c r="G160" i="10"/>
  <c r="G156" i="10"/>
  <c r="G159" i="10"/>
  <c r="G158" i="10"/>
  <c r="G157" i="10"/>
  <c r="G179" i="10"/>
  <c r="G171" i="10"/>
  <c r="G170" i="10"/>
  <c r="G169" i="10"/>
  <c r="G164" i="10"/>
  <c r="G163" i="10"/>
  <c r="G161" i="10"/>
  <c r="G151" i="10"/>
  <c r="G175" i="10"/>
  <c r="G176" i="10"/>
  <c r="G4" i="7"/>
  <c r="G10" i="7" s="1"/>
  <c r="G11" i="7" s="1"/>
  <c r="H115" i="1" s="1"/>
  <c r="G174" i="10"/>
  <c r="G185" i="10"/>
  <c r="G187" i="10" s="1"/>
  <c r="H34" i="4"/>
  <c r="G37" i="4"/>
  <c r="G38" i="4"/>
  <c r="O70" i="17"/>
  <c r="O84" i="17" s="1"/>
  <c r="M70" i="17"/>
  <c r="M84" i="17" s="1"/>
  <c r="Q83" i="17"/>
  <c r="O21" i="1" s="1"/>
  <c r="Q70" i="17"/>
  <c r="Q84" i="17" s="1"/>
  <c r="B70" i="17"/>
  <c r="B84" i="17" s="1"/>
  <c r="B85" i="17" s="1"/>
  <c r="C70" i="17"/>
  <c r="C84" i="17" s="1"/>
  <c r="C85" i="17" s="1"/>
  <c r="I70" i="17"/>
  <c r="I84" i="17" s="1"/>
  <c r="P70" i="17"/>
  <c r="P84" i="17" s="1"/>
  <c r="J70" i="17"/>
  <c r="J84" i="17" s="1"/>
  <c r="N70" i="17"/>
  <c r="N84" i="17" s="1"/>
  <c r="L70" i="17"/>
  <c r="L84" i="17" s="1"/>
  <c r="K70" i="17"/>
  <c r="K84" i="17" s="1"/>
  <c r="O19" i="1"/>
  <c r="Q78" i="17"/>
  <c r="L76" i="17"/>
  <c r="J27" i="1" s="1"/>
  <c r="N76" i="17"/>
  <c r="L27" i="1" s="1"/>
  <c r="K76" i="17"/>
  <c r="I27" i="1" s="1"/>
  <c r="P76" i="17"/>
  <c r="N27" i="1" s="1"/>
  <c r="O76" i="17"/>
  <c r="M27" i="1" s="1"/>
  <c r="M76" i="17"/>
  <c r="K27" i="1" s="1"/>
  <c r="I76" i="17"/>
  <c r="G27" i="1" s="1"/>
  <c r="J76" i="17"/>
  <c r="H27" i="1" s="1"/>
  <c r="O18" i="1"/>
  <c r="Q76" i="17"/>
  <c r="O27" i="1" s="1"/>
  <c r="P75" i="6"/>
  <c r="N117" i="22"/>
  <c r="N125" i="22" s="1"/>
  <c r="E52" i="4"/>
  <c r="F184" i="10"/>
  <c r="H46" i="4" s="1"/>
  <c r="N8" i="4"/>
  <c r="O8" i="4"/>
  <c r="D5" i="7" l="1"/>
  <c r="D15" i="7" s="1"/>
  <c r="E116" i="1" s="1"/>
  <c r="E120" i="1"/>
  <c r="O77" i="6"/>
  <c r="M112" i="1"/>
  <c r="M5" i="4"/>
  <c r="L26" i="4"/>
  <c r="L63" i="4"/>
  <c r="M59" i="4"/>
  <c r="K32" i="4"/>
  <c r="K60" i="4"/>
  <c r="H152" i="10"/>
  <c r="H181" i="10"/>
  <c r="H182" i="10"/>
  <c r="H172" i="10"/>
  <c r="H178" i="10"/>
  <c r="H168" i="10"/>
  <c r="H167" i="10"/>
  <c r="H166" i="10"/>
  <c r="H165" i="10"/>
  <c r="H155" i="10"/>
  <c r="H154" i="10"/>
  <c r="H153" i="10"/>
  <c r="H148" i="10"/>
  <c r="H161" i="10"/>
  <c r="H149" i="10"/>
  <c r="H163" i="10"/>
  <c r="H160" i="10"/>
  <c r="H159" i="10"/>
  <c r="H157" i="10"/>
  <c r="H171" i="10"/>
  <c r="H169" i="10"/>
  <c r="H175" i="10"/>
  <c r="H180" i="10"/>
  <c r="H173" i="10"/>
  <c r="H162" i="10"/>
  <c r="H151" i="10"/>
  <c r="H164" i="10"/>
  <c r="H150" i="10"/>
  <c r="H156" i="10"/>
  <c r="H158" i="10"/>
  <c r="H179" i="10"/>
  <c r="H170" i="10"/>
  <c r="H177" i="10"/>
  <c r="H176" i="10"/>
  <c r="H4" i="7"/>
  <c r="H10" i="7" s="1"/>
  <c r="H11" i="7" s="1"/>
  <c r="I115" i="1" s="1"/>
  <c r="H174" i="10"/>
  <c r="H185" i="10"/>
  <c r="H187" i="10" s="1"/>
  <c r="I34" i="4"/>
  <c r="H37" i="4"/>
  <c r="H38" i="4"/>
  <c r="G62" i="4"/>
  <c r="G64" i="4" s="1"/>
  <c r="G65" i="4" s="1"/>
  <c r="G43" i="4"/>
  <c r="F119" i="1"/>
  <c r="M26" i="1"/>
  <c r="O85" i="17"/>
  <c r="K26" i="1"/>
  <c r="M85" i="17"/>
  <c r="P10" i="4"/>
  <c r="Q85" i="17"/>
  <c r="O26" i="1"/>
  <c r="I85" i="17"/>
  <c r="G22" i="1" s="1"/>
  <c r="G26" i="1"/>
  <c r="N26" i="1"/>
  <c r="P85" i="17"/>
  <c r="J85" i="17"/>
  <c r="H26" i="1"/>
  <c r="N85" i="17"/>
  <c r="L26" i="1"/>
  <c r="J26" i="1"/>
  <c r="L85" i="17"/>
  <c r="J22" i="1" s="1"/>
  <c r="K85" i="17"/>
  <c r="I22" i="1" s="1"/>
  <c r="I26" i="1"/>
  <c r="P11" i="4"/>
  <c r="K40" i="4"/>
  <c r="M40" i="4"/>
  <c r="J40" i="4"/>
  <c r="O40" i="4"/>
  <c r="N40" i="4"/>
  <c r="L40" i="4"/>
  <c r="H40" i="4"/>
  <c r="I40" i="4"/>
  <c r="P9" i="4"/>
  <c r="P40" i="4"/>
  <c r="G184" i="10"/>
  <c r="I46" i="4" s="1"/>
  <c r="F44" i="4" l="1"/>
  <c r="P77" i="6"/>
  <c r="O112" i="1" s="1"/>
  <c r="N112" i="1"/>
  <c r="N5" i="4"/>
  <c r="M26" i="4"/>
  <c r="N59" i="4"/>
  <c r="M63" i="4"/>
  <c r="L32" i="4"/>
  <c r="L60" i="4"/>
  <c r="I152" i="10"/>
  <c r="I181" i="10"/>
  <c r="I178" i="10"/>
  <c r="I173" i="10"/>
  <c r="I168" i="10"/>
  <c r="I167" i="10"/>
  <c r="I165" i="10"/>
  <c r="I155" i="10"/>
  <c r="I154" i="10"/>
  <c r="I153" i="10"/>
  <c r="I148" i="10"/>
  <c r="I184" i="10" s="1"/>
  <c r="K46" i="4" s="1"/>
  <c r="I161" i="10"/>
  <c r="I159" i="10"/>
  <c r="I157" i="10"/>
  <c r="I171" i="10"/>
  <c r="I169" i="10"/>
  <c r="I163" i="10"/>
  <c r="I151" i="10"/>
  <c r="I156" i="10"/>
  <c r="I175" i="10"/>
  <c r="I176" i="10"/>
  <c r="I150" i="10"/>
  <c r="I149" i="10"/>
  <c r="I158" i="10"/>
  <c r="I179" i="10"/>
  <c r="I170" i="10"/>
  <c r="I164" i="10"/>
  <c r="I162" i="10"/>
  <c r="I160" i="10"/>
  <c r="I177" i="10"/>
  <c r="I182" i="10"/>
  <c r="I180" i="10"/>
  <c r="I172" i="10"/>
  <c r="I166" i="10"/>
  <c r="I4" i="7"/>
  <c r="I10" i="7" s="1"/>
  <c r="I11" i="7" s="1"/>
  <c r="J115" i="1" s="1"/>
  <c r="I174" i="10"/>
  <c r="I185" i="10"/>
  <c r="I187" i="10" s="1"/>
  <c r="J34" i="4"/>
  <c r="I37" i="4"/>
  <c r="I38" i="4" s="1"/>
  <c r="H62" i="4"/>
  <c r="H64" i="4" s="1"/>
  <c r="H65" i="4" s="1"/>
  <c r="G119" i="1"/>
  <c r="E5" i="7"/>
  <c r="E15" i="7" s="1"/>
  <c r="F116" i="1" s="1"/>
  <c r="F120" i="1"/>
  <c r="N39" i="4"/>
  <c r="M22" i="1"/>
  <c r="O86" i="17"/>
  <c r="E43" i="5" s="1"/>
  <c r="L39" i="4"/>
  <c r="M86" i="17"/>
  <c r="C43" i="5" s="1"/>
  <c r="K22" i="1"/>
  <c r="O22" i="1"/>
  <c r="Q86" i="17"/>
  <c r="G43" i="5" s="1"/>
  <c r="P39" i="4"/>
  <c r="H39" i="4"/>
  <c r="H43" i="4" s="1"/>
  <c r="O39" i="4"/>
  <c r="P86" i="17"/>
  <c r="F43" i="5" s="1"/>
  <c r="N22" i="1"/>
  <c r="P87" i="17"/>
  <c r="F44" i="5" s="1"/>
  <c r="O87" i="17"/>
  <c r="E44" i="5" s="1"/>
  <c r="Q87" i="17"/>
  <c r="G44" i="5" s="1"/>
  <c r="N87" i="17"/>
  <c r="D44" i="5" s="1"/>
  <c r="M87" i="17"/>
  <c r="C44" i="5" s="1"/>
  <c r="H22" i="1"/>
  <c r="I39" i="4"/>
  <c r="L22" i="1"/>
  <c r="N86" i="17"/>
  <c r="D43" i="5" s="1"/>
  <c r="M39" i="4"/>
  <c r="K39" i="4"/>
  <c r="J39" i="4"/>
  <c r="H184" i="10"/>
  <c r="J46" i="4" s="1"/>
  <c r="P8" i="4"/>
  <c r="F49" i="4" l="1"/>
  <c r="F50" i="4"/>
  <c r="P5" i="4"/>
  <c r="O5" i="4"/>
  <c r="N26" i="4"/>
  <c r="O59" i="4"/>
  <c r="N63" i="4"/>
  <c r="M32" i="4"/>
  <c r="M60" i="4"/>
  <c r="J152" i="10"/>
  <c r="J148" i="10"/>
  <c r="J162" i="10"/>
  <c r="J161" i="10"/>
  <c r="J151" i="10"/>
  <c r="J149" i="10"/>
  <c r="J164" i="10"/>
  <c r="J163" i="10"/>
  <c r="J172" i="10"/>
  <c r="J159" i="10"/>
  <c r="J158" i="10"/>
  <c r="J157" i="10"/>
  <c r="J179" i="10"/>
  <c r="J171" i="10"/>
  <c r="J170" i="10"/>
  <c r="J169" i="10"/>
  <c r="J150" i="10"/>
  <c r="J180" i="10"/>
  <c r="J165" i="10"/>
  <c r="J182" i="10"/>
  <c r="J168" i="10"/>
  <c r="J167" i="10"/>
  <c r="J166" i="10"/>
  <c r="J155" i="10"/>
  <c r="J154" i="10"/>
  <c r="J153" i="10"/>
  <c r="J156" i="10"/>
  <c r="J160" i="10"/>
  <c r="J177" i="10"/>
  <c r="J175" i="10"/>
  <c r="J176" i="10"/>
  <c r="J181" i="10"/>
  <c r="J173" i="10"/>
  <c r="J178" i="10"/>
  <c r="J4" i="7"/>
  <c r="J10" i="7" s="1"/>
  <c r="J11" i="7" s="1"/>
  <c r="K115" i="1" s="1"/>
  <c r="J174" i="10"/>
  <c r="J185" i="10"/>
  <c r="J187" i="10" s="1"/>
  <c r="K34" i="4"/>
  <c r="J37" i="4"/>
  <c r="J38" i="4"/>
  <c r="I62" i="4"/>
  <c r="I64" i="4" s="1"/>
  <c r="I65" i="4" s="1"/>
  <c r="I43" i="4"/>
  <c r="H119" i="1"/>
  <c r="H27" i="6"/>
  <c r="F5" i="7"/>
  <c r="F15" i="7" s="1"/>
  <c r="G116" i="1" s="1"/>
  <c r="G120" i="1"/>
  <c r="H56" i="4"/>
  <c r="G44" i="4"/>
  <c r="P26" i="4" l="1"/>
  <c r="P63" i="4"/>
  <c r="O26" i="4"/>
  <c r="P59" i="4"/>
  <c r="O63" i="4"/>
  <c r="N32" i="4"/>
  <c r="N60" i="4"/>
  <c r="K152" i="10"/>
  <c r="K181" i="10"/>
  <c r="K173" i="10"/>
  <c r="K165" i="10"/>
  <c r="K178" i="10"/>
  <c r="K168" i="10"/>
  <c r="K167" i="10"/>
  <c r="K166" i="10"/>
  <c r="K155" i="10"/>
  <c r="K154" i="10"/>
  <c r="K153" i="10"/>
  <c r="K148" i="10"/>
  <c r="K161" i="10"/>
  <c r="K151" i="10"/>
  <c r="K150" i="10"/>
  <c r="K159" i="10"/>
  <c r="K158" i="10"/>
  <c r="K157" i="10"/>
  <c r="K179" i="10"/>
  <c r="K171" i="10"/>
  <c r="K170" i="10"/>
  <c r="K169" i="10"/>
  <c r="K164" i="10"/>
  <c r="K163" i="10"/>
  <c r="K162" i="10"/>
  <c r="K149" i="10"/>
  <c r="K182" i="10"/>
  <c r="K180" i="10"/>
  <c r="K172" i="10"/>
  <c r="K156" i="10"/>
  <c r="K160" i="10"/>
  <c r="K177" i="10"/>
  <c r="K175" i="10"/>
  <c r="K176" i="10"/>
  <c r="K4" i="7"/>
  <c r="K10" i="7" s="1"/>
  <c r="K11" i="7" s="1"/>
  <c r="L115" i="1" s="1"/>
  <c r="K174" i="10"/>
  <c r="K185" i="10"/>
  <c r="K187" i="10" s="1"/>
  <c r="L34" i="4"/>
  <c r="K37" i="4"/>
  <c r="K38" i="4"/>
  <c r="J62" i="4"/>
  <c r="J64" i="4" s="1"/>
  <c r="J65" i="4" s="1"/>
  <c r="J43" i="4"/>
  <c r="I119" i="1"/>
  <c r="G5" i="7"/>
  <c r="G15" i="7" s="1"/>
  <c r="H116" i="1" s="1"/>
  <c r="H120" i="1"/>
  <c r="H44" i="4"/>
  <c r="G49" i="4"/>
  <c r="G50" i="4"/>
  <c r="F52" i="4"/>
  <c r="J184" i="10"/>
  <c r="L46" i="4" s="1"/>
  <c r="P32" i="4" l="1"/>
  <c r="P60" i="4"/>
  <c r="O32" i="4"/>
  <c r="O60" i="4"/>
  <c r="L152" i="10"/>
  <c r="L181" i="10"/>
  <c r="L153" i="10"/>
  <c r="L178" i="10"/>
  <c r="L173" i="10"/>
  <c r="L165" i="10"/>
  <c r="L168" i="10"/>
  <c r="L167" i="10"/>
  <c r="L166" i="10"/>
  <c r="L155" i="10"/>
  <c r="L154" i="10"/>
  <c r="L148" i="10"/>
  <c r="L164" i="10"/>
  <c r="L149" i="10"/>
  <c r="L159" i="10"/>
  <c r="L158" i="10"/>
  <c r="L157" i="10"/>
  <c r="L179" i="10"/>
  <c r="L171" i="10"/>
  <c r="L170" i="10"/>
  <c r="L169" i="10"/>
  <c r="L161" i="10"/>
  <c r="L151" i="10"/>
  <c r="L150" i="10"/>
  <c r="L182" i="10"/>
  <c r="L180" i="10"/>
  <c r="L172" i="10"/>
  <c r="L160" i="10"/>
  <c r="L156" i="10"/>
  <c r="L177" i="10"/>
  <c r="L175" i="10"/>
  <c r="L162" i="10"/>
  <c r="L163" i="10"/>
  <c r="L176" i="10"/>
  <c r="L4" i="7"/>
  <c r="L10" i="7" s="1"/>
  <c r="L11" i="7" s="1"/>
  <c r="M115" i="1" s="1"/>
  <c r="L174" i="10"/>
  <c r="L185" i="10"/>
  <c r="L187" i="10" s="1"/>
  <c r="M34" i="4"/>
  <c r="L37" i="4"/>
  <c r="L38" i="4"/>
  <c r="K62" i="4"/>
  <c r="K64" i="4" s="1"/>
  <c r="K65" i="4" s="1"/>
  <c r="K43" i="4"/>
  <c r="J119" i="1"/>
  <c r="H5" i="7"/>
  <c r="H15" i="7" s="1"/>
  <c r="I116" i="1" s="1"/>
  <c r="I120" i="1"/>
  <c r="I44" i="4"/>
  <c r="H50" i="4"/>
  <c r="H49" i="4"/>
  <c r="H52" i="4" s="1"/>
  <c r="H53" i="4" s="1"/>
  <c r="K184" i="10"/>
  <c r="M46" i="4" s="1"/>
  <c r="G52" i="4"/>
  <c r="N175" i="10" l="1"/>
  <c r="N170" i="10"/>
  <c r="N160" i="10"/>
  <c r="N176" i="10"/>
  <c r="N152" i="10"/>
  <c r="N165" i="10"/>
  <c r="N181" i="10"/>
  <c r="N178" i="10"/>
  <c r="N168" i="10"/>
  <c r="N167" i="10"/>
  <c r="N166" i="10"/>
  <c r="N155" i="10"/>
  <c r="N154" i="10"/>
  <c r="N153" i="10"/>
  <c r="N148" i="10"/>
  <c r="N162" i="10"/>
  <c r="N164" i="10"/>
  <c r="N163" i="10"/>
  <c r="N151" i="10"/>
  <c r="N149" i="10"/>
  <c r="N159" i="10"/>
  <c r="N158" i="10"/>
  <c r="N157" i="10"/>
  <c r="N179" i="10"/>
  <c r="N171" i="10"/>
  <c r="N150" i="10"/>
  <c r="N161" i="10"/>
  <c r="N172" i="10"/>
  <c r="N173" i="10"/>
  <c r="N169" i="10"/>
  <c r="N182" i="10"/>
  <c r="N177" i="10"/>
  <c r="N180" i="10"/>
  <c r="N156" i="10"/>
  <c r="N4" i="7"/>
  <c r="N10" i="7" s="1"/>
  <c r="N11" i="7" s="1"/>
  <c r="O115" i="1" s="1"/>
  <c r="N174" i="10"/>
  <c r="N185" i="10"/>
  <c r="N187" i="10" s="1"/>
  <c r="M173" i="10"/>
  <c r="M152" i="10"/>
  <c r="M154" i="10"/>
  <c r="M181" i="10"/>
  <c r="M176" i="10"/>
  <c r="M178" i="10"/>
  <c r="M167" i="10"/>
  <c r="M165" i="10"/>
  <c r="M148" i="10"/>
  <c r="M150" i="10"/>
  <c r="M158" i="10"/>
  <c r="M170" i="10"/>
  <c r="M163" i="10"/>
  <c r="M180" i="10"/>
  <c r="M156" i="10"/>
  <c r="M151" i="10"/>
  <c r="M159" i="10"/>
  <c r="M171" i="10"/>
  <c r="M164" i="10"/>
  <c r="M162" i="10"/>
  <c r="M182" i="10"/>
  <c r="M160" i="10"/>
  <c r="M177" i="10"/>
  <c r="M175" i="10"/>
  <c r="M153" i="10"/>
  <c r="M168" i="10"/>
  <c r="M166" i="10"/>
  <c r="M155" i="10"/>
  <c r="M161" i="10"/>
  <c r="M157" i="10"/>
  <c r="M179" i="10"/>
  <c r="M169" i="10"/>
  <c r="M149" i="10"/>
  <c r="M172" i="10"/>
  <c r="M4" i="7"/>
  <c r="M10" i="7" s="1"/>
  <c r="M11" i="7" s="1"/>
  <c r="N115" i="1" s="1"/>
  <c r="M174" i="10"/>
  <c r="M185" i="10"/>
  <c r="M187" i="10" s="1"/>
  <c r="N34" i="4"/>
  <c r="M37" i="4"/>
  <c r="M38" i="4" s="1"/>
  <c r="C11" i="5"/>
  <c r="L62" i="4"/>
  <c r="L64" i="4" s="1"/>
  <c r="L65" i="4" s="1"/>
  <c r="L43" i="4"/>
  <c r="J11" i="5"/>
  <c r="K119" i="1"/>
  <c r="I5" i="7"/>
  <c r="I15" i="7" s="1"/>
  <c r="J116" i="1" s="1"/>
  <c r="J120" i="1"/>
  <c r="J44" i="4"/>
  <c r="I50" i="4"/>
  <c r="E3" i="5" s="1"/>
  <c r="C62" i="5" s="1"/>
  <c r="I49" i="4"/>
  <c r="I52" i="4" s="1"/>
  <c r="I53" i="4" s="1"/>
  <c r="L3" i="5" s="1"/>
  <c r="L184" i="10"/>
  <c r="N46" i="4" s="1"/>
  <c r="P34" i="4" l="1"/>
  <c r="O34" i="4"/>
  <c r="N37" i="4"/>
  <c r="N38" i="4" s="1"/>
  <c r="D11" i="5"/>
  <c r="M62" i="4"/>
  <c r="M64" i="4" s="1"/>
  <c r="M65" i="4" s="1"/>
  <c r="M43" i="4"/>
  <c r="K11" i="5"/>
  <c r="L119" i="1"/>
  <c r="C13" i="5"/>
  <c r="C17" i="5"/>
  <c r="C12" i="5"/>
  <c r="C14" i="5"/>
  <c r="L56" i="4"/>
  <c r="L27" i="6"/>
  <c r="J5" i="7"/>
  <c r="J15" i="7" s="1"/>
  <c r="K116" i="1" s="1"/>
  <c r="K120" i="1"/>
  <c r="J14" i="5"/>
  <c r="J12" i="5"/>
  <c r="J13" i="5"/>
  <c r="J17" i="5"/>
  <c r="K44" i="4"/>
  <c r="J49" i="4"/>
  <c r="J50" i="4"/>
  <c r="N184" i="10"/>
  <c r="P46" i="4" s="1"/>
  <c r="M184" i="10"/>
  <c r="O46" i="4" s="1"/>
  <c r="P37" i="4" l="1"/>
  <c r="P38" i="4" s="1"/>
  <c r="O37" i="4"/>
  <c r="O38" i="4" s="1"/>
  <c r="E65" i="5"/>
  <c r="E64" i="5"/>
  <c r="E63" i="5"/>
  <c r="E11" i="5"/>
  <c r="N62" i="4"/>
  <c r="N64" i="4" s="1"/>
  <c r="N65" i="4" s="1"/>
  <c r="N43" i="4"/>
  <c r="L11" i="5"/>
  <c r="M119" i="1"/>
  <c r="D12" i="5"/>
  <c r="D14" i="5"/>
  <c r="D13" i="5"/>
  <c r="D17" i="5"/>
  <c r="M27" i="6"/>
  <c r="M56" i="4"/>
  <c r="K5" i="7"/>
  <c r="K15" i="7" s="1"/>
  <c r="L116" i="1" s="1"/>
  <c r="L120" i="1"/>
  <c r="K13" i="5"/>
  <c r="K14" i="5"/>
  <c r="K12" i="5"/>
  <c r="K17" i="5"/>
  <c r="C18" i="5"/>
  <c r="C19" i="5"/>
  <c r="C20" i="5"/>
  <c r="L44" i="4"/>
  <c r="J18" i="5"/>
  <c r="J20" i="5"/>
  <c r="J19" i="5"/>
  <c r="K49" i="4"/>
  <c r="K52" i="4" s="1"/>
  <c r="K53" i="4" s="1"/>
  <c r="K50" i="4"/>
  <c r="J52" i="4"/>
  <c r="J53" i="4" s="1"/>
  <c r="F65" i="5" l="1"/>
  <c r="F64" i="5"/>
  <c r="F63" i="5"/>
  <c r="G11" i="5"/>
  <c r="P62" i="4"/>
  <c r="P64" i="4" s="1"/>
  <c r="P65" i="4" s="1"/>
  <c r="P43" i="4"/>
  <c r="N11" i="5"/>
  <c r="O119" i="1"/>
  <c r="F11" i="5"/>
  <c r="O62" i="4"/>
  <c r="O64" i="4" s="1"/>
  <c r="O65" i="4" s="1"/>
  <c r="O43" i="4"/>
  <c r="M11" i="5"/>
  <c r="N119" i="1"/>
  <c r="E12" i="5"/>
  <c r="E13" i="5"/>
  <c r="E14" i="5"/>
  <c r="E17" i="5"/>
  <c r="N56" i="4"/>
  <c r="N27" i="6"/>
  <c r="L5" i="7"/>
  <c r="L15" i="7" s="1"/>
  <c r="M116" i="1" s="1"/>
  <c r="M120" i="1"/>
  <c r="L13" i="5"/>
  <c r="L17" i="5"/>
  <c r="L12" i="5"/>
  <c r="L14" i="5"/>
  <c r="D19" i="5"/>
  <c r="D18" i="5"/>
  <c r="D20" i="5"/>
  <c r="M44" i="4"/>
  <c r="K20" i="5"/>
  <c r="K18" i="5"/>
  <c r="K19" i="5"/>
  <c r="L50" i="4"/>
  <c r="L49" i="4"/>
  <c r="L52" i="4" s="1"/>
  <c r="G12" i="5" l="1"/>
  <c r="G13" i="5"/>
  <c r="G17" i="5"/>
  <c r="G14" i="5"/>
  <c r="P56" i="4"/>
  <c r="P27" i="6"/>
  <c r="N5" i="7"/>
  <c r="N15" i="7" s="1"/>
  <c r="O116" i="1" s="1"/>
  <c r="O120" i="1"/>
  <c r="N12" i="5"/>
  <c r="N13" i="5"/>
  <c r="N14" i="5"/>
  <c r="N17" i="5"/>
  <c r="F13" i="5"/>
  <c r="F14" i="5"/>
  <c r="F12" i="5"/>
  <c r="F17" i="5"/>
  <c r="O27" i="6"/>
  <c r="O56" i="4"/>
  <c r="M5" i="7"/>
  <c r="M15" i="7" s="1"/>
  <c r="N116" i="1" s="1"/>
  <c r="N120" i="1"/>
  <c r="M12" i="5"/>
  <c r="M14" i="5"/>
  <c r="M13" i="5"/>
  <c r="M17" i="5"/>
  <c r="E18" i="5"/>
  <c r="E19" i="5"/>
  <c r="E20" i="5"/>
  <c r="N44" i="4"/>
  <c r="L19" i="5"/>
  <c r="L18" i="5"/>
  <c r="L20" i="5"/>
  <c r="M50" i="4"/>
  <c r="M49" i="4"/>
  <c r="M52" i="4" s="1"/>
  <c r="C23" i="5"/>
  <c r="L51" i="4"/>
  <c r="L54" i="4"/>
  <c r="L53" i="4"/>
  <c r="J23" i="5" s="1"/>
  <c r="G20" i="5" l="1"/>
  <c r="G18" i="5"/>
  <c r="G19" i="5"/>
  <c r="P44" i="4"/>
  <c r="N19" i="5"/>
  <c r="N18" i="5"/>
  <c r="N20" i="5"/>
  <c r="F18" i="5"/>
  <c r="F19" i="5"/>
  <c r="F20" i="5"/>
  <c r="O44" i="4"/>
  <c r="M18" i="5"/>
  <c r="M19" i="5"/>
  <c r="M20" i="5"/>
  <c r="N50" i="4"/>
  <c r="N49" i="4"/>
  <c r="N52" i="4" s="1"/>
  <c r="D23" i="5"/>
  <c r="M51" i="4"/>
  <c r="M53" i="4"/>
  <c r="K23" i="5" s="1"/>
  <c r="M54" i="4"/>
  <c r="C26" i="5"/>
  <c r="C24" i="5"/>
  <c r="C25" i="5"/>
  <c r="J24" i="5"/>
  <c r="J25" i="5"/>
  <c r="J26" i="5"/>
  <c r="P50" i="4" l="1"/>
  <c r="P49" i="4"/>
  <c r="P52" i="4" s="1"/>
  <c r="O50" i="4"/>
  <c r="O49" i="4"/>
  <c r="O52" i="4" s="1"/>
  <c r="E23" i="5"/>
  <c r="E71" i="5"/>
  <c r="E70" i="5"/>
  <c r="E69" i="5"/>
  <c r="E68" i="5"/>
  <c r="E67" i="5"/>
  <c r="E66" i="5"/>
  <c r="N51" i="4"/>
  <c r="N54" i="4"/>
  <c r="N53" i="4"/>
  <c r="L23" i="5" s="1"/>
  <c r="D24" i="5"/>
  <c r="D25" i="5"/>
  <c r="D26" i="5"/>
  <c r="K24" i="5"/>
  <c r="K25" i="5"/>
  <c r="K26" i="5"/>
  <c r="G23" i="5" l="1"/>
  <c r="F71" i="5"/>
  <c r="F70" i="5"/>
  <c r="F69" i="5"/>
  <c r="F68" i="5"/>
  <c r="F67" i="5"/>
  <c r="F66" i="5"/>
  <c r="P51" i="4"/>
  <c r="P54" i="4"/>
  <c r="P53" i="4"/>
  <c r="N23" i="5" s="1"/>
  <c r="F23" i="5"/>
  <c r="O51" i="4"/>
  <c r="O53" i="4"/>
  <c r="M23" i="5" s="1"/>
  <c r="O54" i="4"/>
  <c r="E24" i="5"/>
  <c r="E25" i="5"/>
  <c r="E26" i="5"/>
  <c r="L24" i="5"/>
  <c r="L25" i="5"/>
  <c r="L26" i="5"/>
  <c r="G24" i="5" l="1"/>
  <c r="G25" i="5"/>
  <c r="G26" i="5"/>
  <c r="N24" i="5"/>
  <c r="N25" i="5"/>
  <c r="N26" i="5"/>
  <c r="F24" i="5"/>
  <c r="F25" i="5"/>
  <c r="F26" i="5"/>
  <c r="M24" i="5"/>
  <c r="M25" i="5"/>
  <c r="M2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D2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Thomas_work:
Carried Interest participation rate. Used in levered Tier 2/3 returns: exit value subtracts CI's share of EV adjustments at this rate.</t>
        </r>
      </text>
    </comment>
    <comment ref="D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Thomas_work:
CI hurdle participation rate. Separate from U35 to allow different hurdle vs. catch-up rates.</t>
        </r>
      </text>
    </comment>
    <comment ref="D6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Thomas_work:
Discount rate for marking preferred equity to market (row 45). Higher rate = larger MTM adjustment. Historical periods (D-G) use hardcoded 16% instead of this cell — see Audit Finding #3.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C4" authorId="0" shapeId="0" xr:uid="{00000000-0006-0000-1400-000001000000}">
      <text>
        <r>
          <rPr>
            <sz val="11"/>
            <color theme="1"/>
            <rFont val="Calibri"/>
            <family val="2"/>
            <scheme val="minor"/>
          </rPr>
          <t>Thomas_work:
7.04% for benefits and 7.48% for taxes (TM)</t>
        </r>
      </text>
    </comment>
    <comment ref="C5" authorId="0" shapeId="0" xr:uid="{00000000-0006-0000-1400-000002000000}">
      <text>
        <r>
          <rPr>
            <sz val="11"/>
            <color theme="1"/>
            <rFont val="Calibri"/>
            <family val="2"/>
            <scheme val="minor"/>
          </rPr>
          <t xml:space="preserve">Thomas_work:
Per Charity email 2.17.26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A36" authorId="0" shapeId="0" xr:uid="{00000000-0006-0000-1500-000001000000}">
      <text>
        <r>
          <rPr>
            <sz val="11"/>
            <color theme="1"/>
            <rFont val="Calibri"/>
            <family val="2"/>
            <scheme val="minor"/>
          </rPr>
          <t>Thomas_work:
SALARY ACTUALS OVERRIDE
When this flag = 1, row 38 adjusts budgeted salaries (rows 25-27) to match actual salaries (row 37). When = 0 or blank, budgeted figures are used as-is.
Formula in row 38: =-IF(flag=1, SUM(budgeted salaries) - actual salary, 0)
This adds the difference between budgeted and actual, effectively replacing the budget with actuals.
Currently active for periods C-J (Q4 2021 through Q2 2026). Periods K-R have no flag set (default to budgeted).</t>
        </r>
      </text>
    </comment>
    <comment ref="A37" authorId="0" shapeId="0" xr:uid="{00000000-0006-0000-1500-000002000000}">
      <text>
        <r>
          <rPr>
            <sz val="11"/>
            <color theme="1"/>
            <rFont val="Calibri"/>
            <family val="2"/>
            <scheme val="minor"/>
          </rPr>
          <t>Thomas_work:
Hardcoded actual salary figures. These override the budgeted amounts in rows 25-27 when the flag in row 36 = 1. Source should be payroll records or audited financials.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U5" authorId="0" shapeId="0" xr:uid="{00000000-0006-0000-1600-000001000000}">
      <text>
        <r>
          <rPr>
            <sz val="11"/>
            <color theme="1"/>
            <rFont val="Calibri"/>
            <family val="2"/>
            <scheme val="minor"/>
          </rPr>
          <t>Thomas_work:
Capped at $2M</t>
        </r>
      </text>
    </comment>
    <comment ref="M128" authorId="0" shapeId="0" xr:uid="{00000000-0006-0000-1600-000002000000}">
      <text>
        <r>
          <rPr>
            <sz val="11"/>
            <color theme="1"/>
            <rFont val="Calibri"/>
            <family val="2"/>
            <scheme val="minor"/>
          </rPr>
          <t>Thomas_work:
7.04% for benefits and 7.48% for taxes (TM)</t>
        </r>
      </text>
    </comment>
  </commentList>
</comments>
</file>

<file path=xl/sharedStrings.xml><?xml version="1.0" encoding="utf-8"?>
<sst xmlns="http://schemas.openxmlformats.org/spreadsheetml/2006/main" count="2130" uniqueCount="1030">
  <si>
    <t>Austin: Lady Bird Lake</t>
  </si>
  <si>
    <t>The Loren Group AH, llc - Inv</t>
  </si>
  <si>
    <t>Q4</t>
  </si>
  <si>
    <t>Q1</t>
  </si>
  <si>
    <t>Q2</t>
  </si>
  <si>
    <t>Q3</t>
  </si>
  <si>
    <t>Hotel Cash Flow</t>
  </si>
  <si>
    <t>yoy increase</t>
  </si>
  <si>
    <t>Hotel/Property NOI</t>
  </si>
  <si>
    <t>28&amp;30 growing by inflation + $1M in additional for capex. Numbers provided by Ops 4.26</t>
  </si>
  <si>
    <t>guarantee fee</t>
  </si>
  <si>
    <t>Debt Service</t>
  </si>
  <si>
    <t>Mezz Debt Service</t>
  </si>
  <si>
    <t>Net Cash after debt service</t>
  </si>
  <si>
    <t>Distribution</t>
  </si>
  <si>
    <t>Net Cash Flow in Period</t>
  </si>
  <si>
    <t>Cumm. Cash Balance</t>
  </si>
  <si>
    <t>Cash Flows</t>
  </si>
  <si>
    <t>Sources</t>
  </si>
  <si>
    <t>From distributions (equity)</t>
  </si>
  <si>
    <t>From distributions (mezz)</t>
  </si>
  <si>
    <t>Austin lend to lgh</t>
  </si>
  <si>
    <t>Huston Loan</t>
  </si>
  <si>
    <t>Total</t>
  </si>
  <si>
    <t>Uses</t>
  </si>
  <si>
    <t>Huston loan payments</t>
  </si>
  <si>
    <t>Cosmo payment</t>
  </si>
  <si>
    <t>capex &amp; AP catch-up</t>
  </si>
  <si>
    <t>Refi proceeds from SAT</t>
  </si>
  <si>
    <t>LGH STL</t>
  </si>
  <si>
    <t>SRT Interest Shortfall</t>
  </si>
  <si>
    <t>Uses Total</t>
  </si>
  <si>
    <t>Net Cash Flow</t>
  </si>
  <si>
    <t>Guarantee Fee Accrued</t>
  </si>
  <si>
    <t>Guarantee Fee Paid</t>
  </si>
  <si>
    <t>Accrued Unpaid Guarantee Fee</t>
  </si>
  <si>
    <t>Property Valuation</t>
  </si>
  <si>
    <t>Cash Flow</t>
  </si>
  <si>
    <t>implied cap rate from provided NOI</t>
  </si>
  <si>
    <t>CAP Rate</t>
  </si>
  <si>
    <t>Less Retail Rent</t>
  </si>
  <si>
    <t>Net NOI</t>
  </si>
  <si>
    <t>Hotel Value Income</t>
  </si>
  <si>
    <t>Appraisal</t>
  </si>
  <si>
    <t>Hotel Valuation (appraisal)</t>
  </si>
  <si>
    <t>Hotel Growth Rate</t>
  </si>
  <si>
    <t>Add Retail 3rd pty Value</t>
  </si>
  <si>
    <t>Retail Growth Rate</t>
  </si>
  <si>
    <t>Add Paggi Value</t>
  </si>
  <si>
    <t>Condo 7e</t>
  </si>
  <si>
    <t>M&amp;H loan</t>
  </si>
  <si>
    <t>Valuation Value 3rd party</t>
  </si>
  <si>
    <t>Hotel PPK Override $$</t>
  </si>
  <si>
    <t>Hotel Value</t>
  </si>
  <si>
    <t>Hotel Value PPK</t>
  </si>
  <si>
    <t>Debt</t>
  </si>
  <si>
    <t>LTV</t>
  </si>
  <si>
    <t>Senior Debt</t>
  </si>
  <si>
    <t>Refi Loan</t>
  </si>
  <si>
    <t>Mezz</t>
  </si>
  <si>
    <t>Mezz interest</t>
  </si>
  <si>
    <t>Pref interest</t>
  </si>
  <si>
    <t>Pref</t>
  </si>
  <si>
    <t>Accrued Unpaid Fees (c12)</t>
  </si>
  <si>
    <t>Debt STL (LGH owned)</t>
  </si>
  <si>
    <t>STL Rate</t>
  </si>
  <si>
    <t>Total Debt</t>
  </si>
  <si>
    <t>FTI ADJ</t>
  </si>
  <si>
    <t>Total Common Equity</t>
  </si>
  <si>
    <t>Adj. Pref Outstanding</t>
  </si>
  <si>
    <t>Adj. Pref PV</t>
  </si>
  <si>
    <t>Pref PV Disc. Rate</t>
  </si>
  <si>
    <t>Adj. Mezz Outstanding</t>
  </si>
  <si>
    <t>Net Assets Ownership %</t>
  </si>
  <si>
    <t>LGH Common Equity</t>
  </si>
  <si>
    <t>PV Discount Rate</t>
  </si>
  <si>
    <t>LGH CE PV</t>
  </si>
  <si>
    <t>Debt (LGH owned)</t>
  </si>
  <si>
    <t>Mezz Owned %</t>
  </si>
  <si>
    <t>Cosmo Promissory Note</t>
  </si>
  <si>
    <t>Mezz Owned $</t>
  </si>
  <si>
    <t>Huston Pref</t>
  </si>
  <si>
    <t>Pref Owned %</t>
  </si>
  <si>
    <t>Pref Owned $</t>
  </si>
  <si>
    <t>Pref adj.</t>
  </si>
  <si>
    <t>LGH Equity</t>
  </si>
  <si>
    <t>YoY return</t>
  </si>
  <si>
    <t>Q1 2026 ROI</t>
  </si>
  <si>
    <t>btjh principal outstanding</t>
  </si>
  <si>
    <t>btjh P&amp;I $ total buyout</t>
  </si>
  <si>
    <t>BTJH Buyout Balance</t>
  </si>
  <si>
    <t>commitment date</t>
  </si>
  <si>
    <t>removed but checked</t>
  </si>
  <si>
    <t>chk cash available for SAT</t>
  </si>
  <si>
    <t>Mezz Financing</t>
  </si>
  <si>
    <t>Ownership %</t>
  </si>
  <si>
    <t>The Loren Group Holdings, LLC
c/o C12 Capital Management</t>
  </si>
  <si>
    <t>SLSH HoldCo II LLC
c/o C12 Capital Management principal</t>
  </si>
  <si>
    <t>Todd Routh principal</t>
  </si>
  <si>
    <t>Southern Sky Ventures LLC principal</t>
  </si>
  <si>
    <t>JK Freedom Ventures Ltd. principal</t>
  </si>
  <si>
    <t>Huston Street principal</t>
  </si>
  <si>
    <t>Total Principal Outstanding</t>
  </si>
  <si>
    <t>BTJH %</t>
  </si>
  <si>
    <t>Interest</t>
  </si>
  <si>
    <t>BTJH $ buy out</t>
  </si>
  <si>
    <t>Total Investment Outstanding</t>
  </si>
  <si>
    <t>Initial Maturity Date</t>
  </si>
  <si>
    <t>Total Interest Outstanding</t>
  </si>
  <si>
    <t>Interest Rate</t>
  </si>
  <si>
    <t>Preferred Equity</t>
  </si>
  <si>
    <t>Total Outstanding</t>
  </si>
  <si>
    <t>pref $ Outstanding</t>
  </si>
  <si>
    <t>Interest (14%)</t>
  </si>
  <si>
    <t>SOLD</t>
  </si>
  <si>
    <t>Principal sold</t>
  </si>
  <si>
    <t>Todd Routh</t>
  </si>
  <si>
    <t>Southern Sky Ventures llc</t>
  </si>
  <si>
    <t>JK Freedom ventures llc</t>
  </si>
  <si>
    <t>Interest Sold</t>
  </si>
  <si>
    <t>Year</t>
  </si>
  <si>
    <t>Entity</t>
  </si>
  <si>
    <t>subcategory</t>
  </si>
  <si>
    <t>Bermuda Pink Beach</t>
  </si>
  <si>
    <t>Cash Inflows</t>
  </si>
  <si>
    <t>Cash Outflows</t>
  </si>
  <si>
    <t>Declared Dividends</t>
  </si>
  <si>
    <t>Net Assets</t>
  </si>
  <si>
    <t>Net Asset Value (NAV)</t>
  </si>
  <si>
    <t>Austin Lady Bird Lake</t>
  </si>
  <si>
    <t>LGH NAV</t>
  </si>
  <si>
    <t>Mezz Owned</t>
  </si>
  <si>
    <t>Pref Owned</t>
  </si>
  <si>
    <t>Other Debt</t>
  </si>
  <si>
    <t>Pref Liquidation adj.</t>
  </si>
  <si>
    <t>Equity Liquidation adj.</t>
  </si>
  <si>
    <t>Turks &amp; Caicos</t>
  </si>
  <si>
    <t>Fritholme</t>
  </si>
  <si>
    <t>Bermuda: Elbow Beach</t>
  </si>
  <si>
    <t>Operating Companies</t>
  </si>
  <si>
    <t>C12</t>
  </si>
  <si>
    <t>Division Expenses</t>
  </si>
  <si>
    <t>Hotel Management (HM)</t>
  </si>
  <si>
    <t>Business Infrastructure &amp; Finance (BI&amp;F)</t>
  </si>
  <si>
    <t>Design, Develop, Execute (DDE)</t>
  </si>
  <si>
    <t>Departmental OOP Business Expenses</t>
  </si>
  <si>
    <t>Non-recurring Items (reimbursable)</t>
  </si>
  <si>
    <t>unallocated c12 expenses</t>
  </si>
  <si>
    <t>LGH allocated expenses</t>
  </si>
  <si>
    <t>Guarentee Fees</t>
  </si>
  <si>
    <t>office costs</t>
  </si>
  <si>
    <t>inflation</t>
  </si>
  <si>
    <t>Cumm. Accounts Receivable</t>
  </si>
  <si>
    <t>c12_hm_oc</t>
  </si>
  <si>
    <t>Total LGH HM Fees</t>
  </si>
  <si>
    <t>c12 Participation</t>
  </si>
  <si>
    <t>c12 Hotel Management (HM)</t>
  </si>
  <si>
    <t>LGH Accounts Receivable</t>
  </si>
  <si>
    <t>C12 Accounts Receivable</t>
  </si>
  <si>
    <t>PV Loren fees (Key money)</t>
  </si>
  <si>
    <t>Enterprise value</t>
  </si>
  <si>
    <t>Other EV</t>
  </si>
  <si>
    <t>c12_am_oc</t>
  </si>
  <si>
    <t>Total LGH BI&amp;F Fees</t>
  </si>
  <si>
    <t>c12 BI&amp;F Participation</t>
  </si>
  <si>
    <t>c12 Business Infrastructure &amp; Finance (BI&amp;F)</t>
  </si>
  <si>
    <t>c12_dev_oc</t>
  </si>
  <si>
    <t>Total LGH DDE Fees</t>
  </si>
  <si>
    <t>c12 DDE Participation</t>
  </si>
  <si>
    <t>c12 Design, Develop, Execute (DDE)</t>
  </si>
  <si>
    <t>lgh_pref</t>
  </si>
  <si>
    <t>balance</t>
  </si>
  <si>
    <t>Total Sources/In from Pref</t>
  </si>
  <si>
    <t>lgh_debt</t>
  </si>
  <si>
    <t>Balance: Principal and interest</t>
  </si>
  <si>
    <t>Sources Table: Capital Inflows</t>
  </si>
  <si>
    <t>Sources Table: Capital outflows</t>
  </si>
  <si>
    <t>lgh_other_liabs</t>
  </si>
  <si>
    <t>Total Sources/In</t>
  </si>
  <si>
    <t>Total Uses/Out</t>
  </si>
  <si>
    <t>CUDA</t>
  </si>
  <si>
    <t>CUDA (liability) Balance</t>
  </si>
  <si>
    <t>lgh_other_assets</t>
  </si>
  <si>
    <t>Balance</t>
  </si>
  <si>
    <t>[SAT] Balance Sheet</t>
  </si>
  <si>
    <t>[WC] Balance Sheet</t>
  </si>
  <si>
    <t>lgh_oc</t>
  </si>
  <si>
    <t>Cumm cash balance</t>
  </si>
  <si>
    <t>lgh_ci</t>
  </si>
  <si>
    <t>total</t>
  </si>
  <si>
    <t>additional</t>
  </si>
  <si>
    <t>lgh_bs</t>
  </si>
  <si>
    <t>LGH NAV after CI and LGH Pref mtm</t>
  </si>
  <si>
    <t>Total Capital Raised Other Projects</t>
  </si>
  <si>
    <t>cuda</t>
  </si>
  <si>
    <t>Distribution (cuda for pref)</t>
  </si>
  <si>
    <t>Total c12 Operating Expenses</t>
  </si>
  <si>
    <t>Guarentee Fees Accrued Cumm</t>
  </si>
  <si>
    <t>lgh_equity</t>
  </si>
  <si>
    <t>Sources/In</t>
  </si>
  <si>
    <t>Uses/Out</t>
  </si>
  <si>
    <t>CUDA Cash Outflows</t>
  </si>
  <si>
    <t>CUDA Cash inflows</t>
  </si>
  <si>
    <t>CF from Other Assets</t>
  </si>
  <si>
    <t>property_bs items</t>
  </si>
  <si>
    <t>Property Pref Equity</t>
  </si>
  <si>
    <t>ManCo</t>
  </si>
  <si>
    <t>Total Value</t>
  </si>
  <si>
    <t>Linx Liability</t>
  </si>
  <si>
    <t>Gross Asset Value</t>
  </si>
  <si>
    <t>Level 1</t>
  </si>
  <si>
    <t>ASSUMPTION INPUTS from lgh_returns page</t>
  </si>
  <si>
    <t>CI Participation %</t>
  </si>
  <si>
    <t>CI Hurdle Participation %</t>
  </si>
  <si>
    <t>Pref MTM Discount Rate</t>
  </si>
  <si>
    <t>inflation from lgh_oc page</t>
  </si>
  <si>
    <t>pref unit size in dollars</t>
  </si>
  <si>
    <t>from pref page</t>
  </si>
  <si>
    <t>Valuation Assumptions</t>
  </si>
  <si>
    <t>Inflation</t>
  </si>
  <si>
    <t>from lgh_manco</t>
  </si>
  <si>
    <t>Subcategory</t>
  </si>
  <si>
    <t>Period</t>
  </si>
  <si>
    <t>Assets</t>
  </si>
  <si>
    <t>Cash</t>
  </si>
  <si>
    <t>Bermuda</t>
  </si>
  <si>
    <t>Equity</t>
  </si>
  <si>
    <t>Austin</t>
  </si>
  <si>
    <t>Mezz Loan</t>
  </si>
  <si>
    <t>Turks</t>
  </si>
  <si>
    <t>Elbow</t>
  </si>
  <si>
    <t>Elbow Beach</t>
  </si>
  <si>
    <t>[LSAT]</t>
  </si>
  <si>
    <t>[L4]</t>
  </si>
  <si>
    <t>create for scenarios same as above</t>
  </si>
  <si>
    <t>Other</t>
  </si>
  <si>
    <t>Other Assets</t>
  </si>
  <si>
    <t>Total assets incl. Cash</t>
  </si>
  <si>
    <t>Liabilities</t>
  </si>
  <si>
    <t>LGH Debt</t>
  </si>
  <si>
    <t>Other Project Capital needs</t>
  </si>
  <si>
    <t>LGH other</t>
  </si>
  <si>
    <t>Total Liabilities</t>
  </si>
  <si>
    <t>Shareholders' Equity</t>
  </si>
  <si>
    <t>Carried Interest</t>
  </si>
  <si>
    <t>Common Equity</t>
  </si>
  <si>
    <t>Total Shareholder's Equity</t>
  </si>
  <si>
    <t>Austin Pref Liquidation adj.</t>
  </si>
  <si>
    <t>Austin Equity Liquidation adj.</t>
  </si>
  <si>
    <t>Enterprise value Loren</t>
  </si>
  <si>
    <t>Other EV Value</t>
  </si>
  <si>
    <t>Adjusted NAV</t>
  </si>
  <si>
    <t>Add. Carried Interest Val.</t>
  </si>
  <si>
    <t>LGH Pref MTM</t>
  </si>
  <si>
    <t>Pref participation</t>
  </si>
  <si>
    <t>Adj. Pref</t>
  </si>
  <si>
    <t>Adj. CI</t>
  </si>
  <si>
    <t>Adj. Common Equity</t>
  </si>
  <si>
    <t>YoY Growth</t>
  </si>
  <si>
    <t>Adjusted Shareholder's Equity</t>
  </si>
  <si>
    <t>Adj. Unlevered Equity</t>
  </si>
  <si>
    <t>LGH OpProfit (-lgh_oc/NAV after adj.)</t>
  </si>
  <si>
    <t>C12 Operating Margin</t>
  </si>
  <si>
    <t>INDEPENDENT CASH CHECK</t>
  </si>
  <si>
    <t>Prior Period Cash</t>
  </si>
  <si>
    <t>Δ Non-Cash Assets (row 26 – row 5)</t>
  </si>
  <si>
    <t>Δ Total Liabilities</t>
  </si>
  <si>
    <t>Implied Cash (Prior + ΔLiabs – ΔNonCash Assets + ΔEquity)</t>
  </si>
  <si>
    <t>BS Cash (row 5)</t>
  </si>
  <si>
    <t>Variance</t>
  </si>
  <si>
    <t>Check</t>
  </si>
  <si>
    <t>OK</t>
  </si>
  <si>
    <t>LEVERED RETURN ANCHORS</t>
  </si>
  <si>
    <t>UNLEVERED RETURN ANCHORS</t>
  </si>
  <si>
    <t>Initial Adj. Common (Q1 2026)</t>
  </si>
  <si>
    <t>Initial Adj. Unlevered Equity (Q1 2026)</t>
  </si>
  <si>
    <t>Discount Factor (1.0 = no discount)</t>
  </si>
  <si>
    <t>Applied Discount</t>
  </si>
  <si>
    <t>Levered Return Metrics</t>
  </si>
  <si>
    <t>Unlevered Return Metrics</t>
  </si>
  <si>
    <t>Total Shareholder's Equity (SE) + Reserve - C/I</t>
  </si>
  <si>
    <t>Mult</t>
  </si>
  <si>
    <t>YoY</t>
  </si>
  <si>
    <t>Q1 2026</t>
  </si>
  <si>
    <t>Common + Pref MTM + Austin Adj. + Loren EV</t>
  </si>
  <si>
    <t>Total SE + Reserve - C/I + Loren EV</t>
  </si>
  <si>
    <t>Common + Pref MTM + Austin Adj. + Loren EV + Other EV</t>
  </si>
  <si>
    <t>Total SE + Reserve - C/I + Loren EV + Other EV</t>
  </si>
  <si>
    <t>* Unlevered Equity is the sum of Common and Preferred Equity</t>
  </si>
  <si>
    <t>Property/Project Returns</t>
  </si>
  <si>
    <t>Q2 2026 ROI</t>
  </si>
  <si>
    <t>IRR</t>
  </si>
  <si>
    <t>Discount</t>
  </si>
  <si>
    <t>Targets</t>
  </si>
  <si>
    <t>Levered (common)</t>
  </si>
  <si>
    <t>Levered (common + pref adj + loren ev)</t>
  </si>
  <si>
    <t>Levered (common + perf adj + loren ev + other ev)</t>
  </si>
  <si>
    <t>Fee &amp; Service Revenue</t>
  </si>
  <si>
    <t>Hotel Management</t>
  </si>
  <si>
    <t>BI&amp;F</t>
  </si>
  <si>
    <t>Develop &amp; Structuring</t>
  </si>
  <si>
    <t>Total Revenue</t>
  </si>
  <si>
    <t>Other Income</t>
  </si>
  <si>
    <t>Guarantee Fees Received</t>
  </si>
  <si>
    <t>Art Leases</t>
  </si>
  <si>
    <t>Total Other Income</t>
  </si>
  <si>
    <t>C12 Participation Expense</t>
  </si>
  <si>
    <t>c12 hm participation</t>
  </si>
  <si>
    <t>c12 am participation</t>
  </si>
  <si>
    <t>c12 dds participation</t>
  </si>
  <si>
    <t>Total C12 Participation</t>
  </si>
  <si>
    <t>Total Expenses</t>
  </si>
  <si>
    <t>Total LGH Operating Profit</t>
  </si>
  <si>
    <t>LGH opprofit / bs-1</t>
  </si>
  <si>
    <t>Guarentee Fees accrued cumm (PIK)</t>
  </si>
  <si>
    <t>Guarentee Fees Expense</t>
  </si>
  <si>
    <t>Cash Flow from Properties</t>
  </si>
  <si>
    <t>Bermuda PB</t>
  </si>
  <si>
    <t>Frithholme</t>
  </si>
  <si>
    <t>SAT</t>
  </si>
  <si>
    <t>Bermuda Elbow</t>
  </si>
  <si>
    <t>Total Sources</t>
  </si>
  <si>
    <t>Uses/out</t>
  </si>
  <si>
    <t>Total Uses</t>
  </si>
  <si>
    <t>Total CF from Property Distributions</t>
  </si>
  <si>
    <t>LGH DEPO Cash Flow</t>
  </si>
  <si>
    <t>lgh equity</t>
  </si>
  <si>
    <t>lgh pref</t>
  </si>
  <si>
    <t>lgh debt</t>
  </si>
  <si>
    <t>lgh other</t>
  </si>
  <si>
    <t>CUDA Cash Inflows</t>
  </si>
  <si>
    <t>Total CF from LGH DEPO</t>
  </si>
  <si>
    <t>LGH Other Assets</t>
  </si>
  <si>
    <t>Total CF from Other Assets</t>
  </si>
  <si>
    <t>LGH Cash Flow</t>
  </si>
  <si>
    <t>Bank Statement Cash Flow</t>
  </si>
  <si>
    <t>Cumm cash balance (Balance Sheet)</t>
  </si>
  <si>
    <t>adj. to match bank statement</t>
  </si>
  <si>
    <t>NAV</t>
  </si>
  <si>
    <t>adjusted NAV</t>
  </si>
  <si>
    <t>Common carried interest</t>
  </si>
  <si>
    <t>Additional CI Val.</t>
  </si>
  <si>
    <t>CUDA (liability)</t>
  </si>
  <si>
    <t>Common Unit Distribution Amount (partner participation)</t>
  </si>
  <si>
    <t>Increase per LLC agreement</t>
  </si>
  <si>
    <t>Distribution (cash payout to Managing Member)</t>
  </si>
  <si>
    <t xml:space="preserve">cuda writeoff for discount </t>
  </si>
  <si>
    <t>Distribution (kind within other against art)</t>
  </si>
  <si>
    <t>Cashflows sources and uses</t>
  </si>
  <si>
    <t>Sources (cash)</t>
  </si>
  <si>
    <t>Total LGH Other Liabs in(source) after (assets and cuda)</t>
  </si>
  <si>
    <t>Uses (cash)</t>
  </si>
  <si>
    <t>Total LGH Other Liabs Cashflow out (flow) (assets and cuda)</t>
  </si>
  <si>
    <t>EQUITY OWNERSHIP (and percent)</t>
  </si>
  <si>
    <t>Phil Potter</t>
  </si>
  <si>
    <t>Cambrian</t>
  </si>
  <si>
    <t>Arik</t>
  </si>
  <si>
    <t>Scott</t>
  </si>
  <si>
    <t>Total sources in</t>
  </si>
  <si>
    <t>LGH Cash Flow Total</t>
  </si>
  <si>
    <t>EQUITY PERCENTAGE</t>
  </si>
  <si>
    <t>Dilution Calculation</t>
  </si>
  <si>
    <t>new equity raised</t>
  </si>
  <si>
    <t>Issued Share %</t>
  </si>
  <si>
    <t>Unissued Share %</t>
  </si>
  <si>
    <t>pref raised</t>
  </si>
  <si>
    <t>Pref Share %</t>
  </si>
  <si>
    <t>New Equity Issued</t>
  </si>
  <si>
    <t>Sk</t>
  </si>
  <si>
    <t>Huston</t>
  </si>
  <si>
    <t>potter</t>
  </si>
  <si>
    <t>q4</t>
  </si>
  <si>
    <t>q1</t>
  </si>
  <si>
    <t>q2</t>
  </si>
  <si>
    <t>PFNGT LLC Pref Transfer</t>
  </si>
  <si>
    <t>Scott Bruner</t>
  </si>
  <si>
    <t>SK/CM</t>
  </si>
  <si>
    <t>Common Equity Position</t>
  </si>
  <si>
    <t>Pref P</t>
  </si>
  <si>
    <t>Transfer of Pref to Common</t>
  </si>
  <si>
    <t>New Pref Issued</t>
  </si>
  <si>
    <t>Prev. Shares Diluted Value</t>
  </si>
  <si>
    <t>Total % Preferred Equity Participation</t>
  </si>
  <si>
    <t>DEBT INFORMATION</t>
  </si>
  <si>
    <t>Pref Equity ID</t>
  </si>
  <si>
    <t>Investor Name</t>
  </si>
  <si>
    <t>Principal ($)</t>
  </si>
  <si>
    <t>Rate (%)</t>
  </si>
  <si>
    <t>Gross Part.</t>
  </si>
  <si>
    <t>Start Date</t>
  </si>
  <si>
    <t>Units</t>
  </si>
  <si>
    <t>Side letter Part ∆</t>
  </si>
  <si>
    <t>PE ID + Name</t>
  </si>
  <si>
    <t>PE001</t>
  </si>
  <si>
    <t>PFNGT LLC</t>
  </si>
  <si>
    <t>PE002</t>
  </si>
  <si>
    <t>Derivee Capital Advisors, LLC</t>
  </si>
  <si>
    <t>PE003</t>
  </si>
  <si>
    <t>PE004</t>
  </si>
  <si>
    <t>DCAPP Hotel Ventures LLC</t>
  </si>
  <si>
    <t>PE005</t>
  </si>
  <si>
    <t>PE006</t>
  </si>
  <si>
    <t>PE007</t>
  </si>
  <si>
    <t>La Pointe Investments LLC</t>
  </si>
  <si>
    <t>PE008</t>
  </si>
  <si>
    <t>PE009</t>
  </si>
  <si>
    <t>PE010</t>
  </si>
  <si>
    <t>Benjamin Rego Jr.</t>
  </si>
  <si>
    <t>PE011</t>
  </si>
  <si>
    <t>PE012</t>
  </si>
  <si>
    <t>Benjamin Rego Jr._1</t>
  </si>
  <si>
    <t>PE013</t>
  </si>
  <si>
    <t>PE014</t>
  </si>
  <si>
    <t>PE015</t>
  </si>
  <si>
    <t>LBCW Holdings, LP</t>
  </si>
  <si>
    <t>PE016</t>
  </si>
  <si>
    <t>PE017</t>
  </si>
  <si>
    <t>Arbor Green II LP</t>
  </si>
  <si>
    <t>PE018</t>
  </si>
  <si>
    <t>Todd &amp; Stephanie Routh</t>
  </si>
  <si>
    <t>PE019</t>
  </si>
  <si>
    <t>PE020</t>
  </si>
  <si>
    <t>PE021</t>
  </si>
  <si>
    <t>PE022</t>
  </si>
  <si>
    <t>Huston Street</t>
  </si>
  <si>
    <t>PE023</t>
  </si>
  <si>
    <t>Bruner Interests LLC</t>
  </si>
  <si>
    <t>PE024</t>
  </si>
  <si>
    <t>PE025</t>
  </si>
  <si>
    <t>Sandollar Holdings Limited</t>
  </si>
  <si>
    <t>PE026</t>
  </si>
  <si>
    <t>James Neuhauser (Jim)</t>
  </si>
  <si>
    <t>PE027</t>
  </si>
  <si>
    <t>PFNGT LLC_side letter part % adj.</t>
  </si>
  <si>
    <t>PE028</t>
  </si>
  <si>
    <t>PE029</t>
  </si>
  <si>
    <t>PE030</t>
  </si>
  <si>
    <t>King Partner Pref convert</t>
  </si>
  <si>
    <t>PE031</t>
  </si>
  <si>
    <t>Edwin2 convert</t>
  </si>
  <si>
    <t>PE032</t>
  </si>
  <si>
    <t>Buddy</t>
  </si>
  <si>
    <t>PE033</t>
  </si>
  <si>
    <t>PE034</t>
  </si>
  <si>
    <t>PE035</t>
  </si>
  <si>
    <t>guy</t>
  </si>
  <si>
    <t>PE036</t>
  </si>
  <si>
    <t>PE037</t>
  </si>
  <si>
    <t>PE038</t>
  </si>
  <si>
    <t>QUARTERLY TOTALS:</t>
  </si>
  <si>
    <t>Accrued Interest</t>
  </si>
  <si>
    <t>adj. for previous reporting</t>
  </si>
  <si>
    <t>Number of Active Debts:</t>
  </si>
  <si>
    <t>Average Interest Rate:</t>
  </si>
  <si>
    <t>WACC</t>
  </si>
  <si>
    <t>Cashflows  Sources and Uses</t>
  </si>
  <si>
    <t>Sources/In (cash)</t>
  </si>
  <si>
    <t>adj. for previous reporting (previous fundings)</t>
  </si>
  <si>
    <t>Total LGH Debt sources (money to LGH)</t>
  </si>
  <si>
    <t>Dollars</t>
  </si>
  <si>
    <t>Summary Table</t>
  </si>
  <si>
    <t>Date:</t>
  </si>
  <si>
    <t>Max Issuance :</t>
  </si>
  <si>
    <t>Individual</t>
  </si>
  <si>
    <t>Notional</t>
  </si>
  <si>
    <t>Intereset</t>
  </si>
  <si>
    <t>Gross Participation</t>
  </si>
  <si>
    <t>Share</t>
  </si>
  <si>
    <t>Net Participation (non-diluted)</t>
  </si>
  <si>
    <t>Pref Investor Participation in Equity</t>
  </si>
  <si>
    <t>Transfer to Common</t>
  </si>
  <si>
    <t>Total Pref shares diluted %</t>
  </si>
  <si>
    <t>Pref Investor Equity Participation ($)</t>
  </si>
  <si>
    <t>Total Pref Equity Participation ($)</t>
  </si>
  <si>
    <t>Total Pref % (check)</t>
  </si>
  <si>
    <t>Implied Pref Equity $ (check)</t>
  </si>
  <si>
    <t>Payment</t>
  </si>
  <si>
    <t>PAYMENT SCHEDULE</t>
  </si>
  <si>
    <t>Debt ID</t>
  </si>
  <si>
    <t>Maturity Date</t>
  </si>
  <si>
    <t>Payment Schedule</t>
  </si>
  <si>
    <t>DEBT001</t>
  </si>
  <si>
    <t>GD</t>
  </si>
  <si>
    <t>Moved to Bermuda BS</t>
  </si>
  <si>
    <t>DEBT002</t>
  </si>
  <si>
    <t>GM</t>
  </si>
  <si>
    <t>Moved from Bermuda Cap stack</t>
  </si>
  <si>
    <t>DEBT003</t>
  </si>
  <si>
    <t>CP(1&amp;2)</t>
  </si>
  <si>
    <t>Moved to Austin Mezz</t>
  </si>
  <si>
    <t>DEBT004</t>
  </si>
  <si>
    <t>PFNGT_1</t>
  </si>
  <si>
    <t>DEBT005</t>
  </si>
  <si>
    <t>PFNGT_2</t>
  </si>
  <si>
    <t>DEBT006</t>
  </si>
  <si>
    <t>PFNGT_3</t>
  </si>
  <si>
    <t>DEBT007</t>
  </si>
  <si>
    <t>Phil Bekhazi</t>
  </si>
  <si>
    <t>DEBT008</t>
  </si>
  <si>
    <t>AK</t>
  </si>
  <si>
    <t>DEBT009</t>
  </si>
  <si>
    <t>DEBT010</t>
  </si>
  <si>
    <t>DEBT011</t>
  </si>
  <si>
    <t>DEBT012</t>
  </si>
  <si>
    <t>AK2</t>
  </si>
  <si>
    <t>DEBT013</t>
  </si>
  <si>
    <t>AK3</t>
  </si>
  <si>
    <t>DEBT014</t>
  </si>
  <si>
    <t>kraus</t>
  </si>
  <si>
    <t>DEBT015</t>
  </si>
  <si>
    <t>DEBT017</t>
  </si>
  <si>
    <t>GD_new</t>
  </si>
  <si>
    <t>DEBT018</t>
  </si>
  <si>
    <t>Partner Loan (GL2016)</t>
  </si>
  <si>
    <t>DEBT020</t>
  </si>
  <si>
    <t>working capital</t>
  </si>
  <si>
    <t>DEBT021</t>
  </si>
  <si>
    <t>DEBT022</t>
  </si>
  <si>
    <t>DEBT023</t>
  </si>
  <si>
    <t>DEBT024</t>
  </si>
  <si>
    <t>DEBT025</t>
  </si>
  <si>
    <t>La Pointe (Temp hold)</t>
  </si>
  <si>
    <t>DEBT026</t>
  </si>
  <si>
    <t>DEBT027</t>
  </si>
  <si>
    <t>DEBT###</t>
  </si>
  <si>
    <t>Uses/Out (cash)</t>
  </si>
  <si>
    <t>Total LGH Debt Uses (money from LGH)</t>
  </si>
  <si>
    <t>Payment/Adj.</t>
  </si>
  <si>
    <t>Other Liability ID</t>
  </si>
  <si>
    <t>Liability</t>
  </si>
  <si>
    <t>OL001</t>
  </si>
  <si>
    <t>partner liability RE</t>
  </si>
  <si>
    <t>OL002</t>
  </si>
  <si>
    <t>Accrued Expenses (gl2000)</t>
  </si>
  <si>
    <t>OL003</t>
  </si>
  <si>
    <t>tom and ryan</t>
  </si>
  <si>
    <t>OL006</t>
  </si>
  <si>
    <t>Other Priority (AP)</t>
  </si>
  <si>
    <t>OL007</t>
  </si>
  <si>
    <t>Nonpartner Bonuses '24</t>
  </si>
  <si>
    <t>OL008</t>
  </si>
  <si>
    <t>Edwin loan (consultant)</t>
  </si>
  <si>
    <t>OL009</t>
  </si>
  <si>
    <t>frith capex loan</t>
  </si>
  <si>
    <t>OL010</t>
  </si>
  <si>
    <t>Akerwood (chang)</t>
  </si>
  <si>
    <t>OL011</t>
  </si>
  <si>
    <t>xxxx (Austin Cash acct.)</t>
  </si>
  <si>
    <t>OL012</t>
  </si>
  <si>
    <t>partner liability</t>
  </si>
  <si>
    <t>OL013</t>
  </si>
  <si>
    <t>edwin loan</t>
  </si>
  <si>
    <t>OL014</t>
  </si>
  <si>
    <t>Accounts Payable (2022)</t>
  </si>
  <si>
    <t>OL015</t>
  </si>
  <si>
    <t>decommission</t>
  </si>
  <si>
    <t>OL016</t>
  </si>
  <si>
    <t>partner facility</t>
  </si>
  <si>
    <t>OL017</t>
  </si>
  <si>
    <t>Roots loan</t>
  </si>
  <si>
    <t>LSAT Capital</t>
  </si>
  <si>
    <t>OL018</t>
  </si>
  <si>
    <t>BLOCK no source of funds</t>
  </si>
  <si>
    <t>Notes:</t>
  </si>
  <si>
    <t>- allowed to increase/decrease specific lines for inflows and outflows of cash</t>
  </si>
  <si>
    <t>- Need to confirm Ap position prior to finalizing</t>
  </si>
  <si>
    <t>Other Assets &amp; [New Projects]</t>
  </si>
  <si>
    <t>comments</t>
  </si>
  <si>
    <t>Cash Flows [New Projects]</t>
  </si>
  <si>
    <t>[WC]</t>
  </si>
  <si>
    <t>[L4] capex</t>
  </si>
  <si>
    <t>Cash Flows Other Assets</t>
  </si>
  <si>
    <t>7e Condo (Sardis Lone Star III LLC)</t>
  </si>
  <si>
    <t>7e condo escrow</t>
  </si>
  <si>
    <t>Austin STL repay</t>
  </si>
  <si>
    <t>art (write down to zero against cuda)</t>
  </si>
  <si>
    <t>Due to Related Party (Roots GL 2021)</t>
  </si>
  <si>
    <t>c12 Advanced</t>
  </si>
  <si>
    <t>Balance Sheet</t>
  </si>
  <si>
    <t>debt</t>
  </si>
  <si>
    <t>equity</t>
  </si>
  <si>
    <t>Total Future Assets</t>
  </si>
  <si>
    <t>L4 Capital</t>
  </si>
  <si>
    <t>[LSAT] return</t>
  </si>
  <si>
    <t>[L4] return</t>
  </si>
  <si>
    <t>Due to Related Party (Roots GL 2021) appears in other liabilities</t>
  </si>
  <si>
    <t>Austin STL</t>
  </si>
  <si>
    <t>LGH Fee AR/AP</t>
  </si>
  <si>
    <t>C12 Fee Particpiation AR/AP</t>
  </si>
  <si>
    <t>Total Othe Assets</t>
  </si>
  <si>
    <t>Valuation</t>
  </si>
  <si>
    <t>elbow</t>
  </si>
  <si>
    <t>Existing Key money valuation</t>
  </si>
  <si>
    <t>[project SAT]</t>
  </si>
  <si>
    <t>[project wc]</t>
  </si>
  <si>
    <t>Total key money</t>
  </si>
  <si>
    <t>multiple</t>
  </si>
  <si>
    <t>Loren Enterprise Value</t>
  </si>
  <si>
    <t>Enterprise Value Other</t>
  </si>
  <si>
    <t>TOTAL EV/MC VALUE</t>
  </si>
  <si>
    <t>Sardis Holdings Ltd - Inv</t>
  </si>
  <si>
    <t>Property NOI after FF&amp;E</t>
  </si>
  <si>
    <t>NOI provided by Ops 4.16.6</t>
  </si>
  <si>
    <t>BLOCK CASH (capex)</t>
  </si>
  <si>
    <t>Net Cash After Debt Service</t>
  </si>
  <si>
    <t>Total Distribution</t>
  </si>
  <si>
    <t>Cash Flows (Sources)</t>
  </si>
  <si>
    <t>Greg M Liability</t>
  </si>
  <si>
    <t>PhilB Note</t>
  </si>
  <si>
    <t>GD lgh note</t>
  </si>
  <si>
    <t>From debt (equity)</t>
  </si>
  <si>
    <t>Cash Flows (uses)</t>
  </si>
  <si>
    <t>Debt proceeds</t>
  </si>
  <si>
    <t>gd liab pay-off</t>
  </si>
  <si>
    <t>GM pay off</t>
  </si>
  <si>
    <t>Capex</t>
  </si>
  <si>
    <t>Deal expense</t>
  </si>
  <si>
    <t>PhilB pay-off</t>
  </si>
  <si>
    <t>Retained Earnings @ Property</t>
  </si>
  <si>
    <t>Hotel Valuation</t>
  </si>
  <si>
    <t>Less Talbots P&amp;L</t>
  </si>
  <si>
    <t>Less Residence P&amp;L</t>
  </si>
  <si>
    <t>Less Tax Concession</t>
  </si>
  <si>
    <t>Hotel Value (Cash Flow)</t>
  </si>
  <si>
    <t>Appraisals</t>
  </si>
  <si>
    <t>implied NOI</t>
  </si>
  <si>
    <t>Hotel Value (Appraisal)</t>
  </si>
  <si>
    <t>Residence</t>
  </si>
  <si>
    <t>Talbots</t>
  </si>
  <si>
    <t>PHC 3rd Party Valuation</t>
  </si>
  <si>
    <t>Art</t>
  </si>
  <si>
    <t>Add Existing Tax Value</t>
  </si>
  <si>
    <t>3rd Party Concession extension</t>
  </si>
  <si>
    <t>Add Membership (level 2)</t>
  </si>
  <si>
    <t>Asset Value</t>
  </si>
  <si>
    <t>rate</t>
  </si>
  <si>
    <t>Senior Debt refi</t>
  </si>
  <si>
    <t>assumed rate</t>
  </si>
  <si>
    <t>PhilB(xbto)</t>
  </si>
  <si>
    <t>Senior Debt (Reserves)</t>
  </si>
  <si>
    <t>Accrued Unpaid Fees (BTNB)</t>
  </si>
  <si>
    <t>Greg Dwyer Note</t>
  </si>
  <si>
    <t>Greg Morrison Note</t>
  </si>
  <si>
    <t xml:space="preserve">Net Cash From Debt </t>
  </si>
  <si>
    <t>Asset Ownership</t>
  </si>
  <si>
    <t>LGH Equity @ Base</t>
  </si>
  <si>
    <t>Other Project Liabilities</t>
  </si>
  <si>
    <t>Greg D</t>
  </si>
  <si>
    <t>Greg M</t>
  </si>
  <si>
    <t>Balance 12/31/23</t>
  </si>
  <si>
    <t>Starting Balance 3/29/21</t>
  </si>
  <si>
    <t>Recorded interest 2024</t>
  </si>
  <si>
    <t>Recorded Interest paid</t>
  </si>
  <si>
    <t>Rent Paid</t>
  </si>
  <si>
    <t>Outstanding Loan Balance</t>
  </si>
  <si>
    <t>principal + interest</t>
  </si>
  <si>
    <t>Per Support 12/31/2022</t>
  </si>
  <si>
    <t>Balance 1/1/2023</t>
  </si>
  <si>
    <t>Capital Inflow</t>
  </si>
  <si>
    <t>New Loan</t>
  </si>
  <si>
    <t>Per Support 12/31/2023</t>
  </si>
  <si>
    <t>Total Balance</t>
  </si>
  <si>
    <t>Repayment/Transfer to LGH</t>
  </si>
  <si>
    <t>Per Support 12/31/2024</t>
  </si>
  <si>
    <t>Balance YE 2024</t>
  </si>
  <si>
    <t>Repayment</t>
  </si>
  <si>
    <t>Bermuda Elbow Beach</t>
  </si>
  <si>
    <t>Sardis 3T Holdings, llc</t>
  </si>
  <si>
    <t>Property Cash Flow</t>
  </si>
  <si>
    <t>Source</t>
  </si>
  <si>
    <t>deposits received</t>
  </si>
  <si>
    <t>clarien</t>
  </si>
  <si>
    <t>Use</t>
  </si>
  <si>
    <t>chk</t>
  </si>
  <si>
    <t>refi proceeds from PB</t>
  </si>
  <si>
    <t>preconstruction</t>
  </si>
  <si>
    <t>deposit</t>
  </si>
  <si>
    <t>Hotel Value (appraisal)</t>
  </si>
  <si>
    <t>Tax Concession</t>
  </si>
  <si>
    <t>Hotel Opening Date</t>
  </si>
  <si>
    <t>Membership</t>
  </si>
  <si>
    <t>Deposits Outstanding</t>
  </si>
  <si>
    <t>Real Estate Sales Profit (loan calc)</t>
  </si>
  <si>
    <t>[capital raise_pref]</t>
  </si>
  <si>
    <t>guarantees Fees</t>
  </si>
  <si>
    <t>Total Asset Value</t>
  </si>
  <si>
    <t>Discount to Open</t>
  </si>
  <si>
    <t>Discount Rate</t>
  </si>
  <si>
    <t>Time (Construction Schedule)</t>
  </si>
  <si>
    <t>LTV perm.</t>
  </si>
  <si>
    <t>construction/perm loan</t>
  </si>
  <si>
    <t>[clarien]</t>
  </si>
  <si>
    <t>Guarantees</t>
  </si>
  <si>
    <t>Net Asset Value</t>
  </si>
  <si>
    <t>% Ownership</t>
  </si>
  <si>
    <t>LGH Equity Ownership</t>
  </si>
  <si>
    <t>Equity Requirement</t>
  </si>
  <si>
    <t>Equity Funded</t>
  </si>
  <si>
    <t>LGH Final NAV</t>
  </si>
  <si>
    <t>Ending Equity Calc.</t>
  </si>
  <si>
    <t>Cost to Build</t>
  </si>
  <si>
    <t>Retention</t>
  </si>
  <si>
    <t>[Add'l pref equity raise]</t>
  </si>
  <si>
    <t>Land Contribution</t>
  </si>
  <si>
    <t>Req Deposits</t>
  </si>
  <si>
    <t>Deposits Received</t>
  </si>
  <si>
    <t>Expected Loan</t>
  </si>
  <si>
    <t>Expected Sales</t>
  </si>
  <si>
    <t>Net of Deposits</t>
  </si>
  <si>
    <t>End Equity Position</t>
  </si>
  <si>
    <t>Sardis 3T Holdings, llc -  Inv.</t>
  </si>
  <si>
    <t>provied by ops 4.26</t>
  </si>
  <si>
    <t>proposed interest rate</t>
  </si>
  <si>
    <t>distributions</t>
  </si>
  <si>
    <t>refi cash proceeds</t>
  </si>
  <si>
    <t>pop-up reimbursement</t>
  </si>
  <si>
    <t>arik</t>
  </si>
  <si>
    <t>Deal expenses</t>
  </si>
  <si>
    <t>hotel carry</t>
  </si>
  <si>
    <t>Uses (hotel equity)</t>
  </si>
  <si>
    <t>uses (Pop-up)</t>
  </si>
  <si>
    <t>implied cap</t>
  </si>
  <si>
    <t>Phase 2 Hotel Value</t>
  </si>
  <si>
    <t>Hotel Openining</t>
  </si>
  <si>
    <t>Phase 2 F&amp;B Value</t>
  </si>
  <si>
    <t>Phase 2 Event Value</t>
  </si>
  <si>
    <t>Phase 2 Sports Value</t>
  </si>
  <si>
    <t>Phase 2 Land</t>
  </si>
  <si>
    <t>arik liab</t>
  </si>
  <si>
    <t>charity</t>
  </si>
  <si>
    <t>Implied Asset Value</t>
  </si>
  <si>
    <t>Loan</t>
  </si>
  <si>
    <t>Net Cash Flow from Debt</t>
  </si>
  <si>
    <t>Unfunded Equity</t>
  </si>
  <si>
    <t xml:space="preserve">accrued unpaid </t>
  </si>
  <si>
    <t>Arik/lgh unfunded equity</t>
  </si>
  <si>
    <t>guarentees Fees</t>
  </si>
  <si>
    <t>asset of lgh</t>
  </si>
  <si>
    <t>discounted</t>
  </si>
  <si>
    <t>Land</t>
  </si>
  <si>
    <t>remaining sales</t>
  </si>
  <si>
    <t>% of remaining sales</t>
  </si>
  <si>
    <t>contracted sales to date</t>
  </si>
  <si>
    <t>$ of sales after refi</t>
  </si>
  <si>
    <t>total projected sales</t>
  </si>
  <si>
    <t>balance fund</t>
  </si>
  <si>
    <t>land</t>
  </si>
  <si>
    <t>draw on loan facility</t>
  </si>
  <si>
    <t>FRITHOLME</t>
  </si>
  <si>
    <t>Sardis Holdings II Ltd. - Inv.</t>
  </si>
  <si>
    <t>Pref Sales</t>
  </si>
  <si>
    <t>S&amp;U</t>
  </si>
  <si>
    <t>Asset Sale (Blue Unit)</t>
  </si>
  <si>
    <t>Butterfield loan</t>
  </si>
  <si>
    <t>Unit Sales</t>
  </si>
  <si>
    <t>Phil Bekazi</t>
  </si>
  <si>
    <t>repay debt</t>
  </si>
  <si>
    <t>c12 fees paid</t>
  </si>
  <si>
    <t>deal expense WQ</t>
  </si>
  <si>
    <t>frith capex</t>
  </si>
  <si>
    <t>Net Cash Flows</t>
  </si>
  <si>
    <t>Property Value (Frith/commercial)</t>
  </si>
  <si>
    <t>Property Value (Blue Units)</t>
  </si>
  <si>
    <t>Property Value (Hibiscus)</t>
  </si>
  <si>
    <t>Property Value (Mansion)</t>
  </si>
  <si>
    <t>ICLoan to lgh</t>
  </si>
  <si>
    <t>Discount to Sale</t>
  </si>
  <si>
    <t>Discount Period</t>
  </si>
  <si>
    <t>Purchase</t>
  </si>
  <si>
    <t>Asset Sale</t>
  </si>
  <si>
    <t>Loan (Butterfield)</t>
  </si>
  <si>
    <t>Loan (Clarion)</t>
  </si>
  <si>
    <t>Loan #3</t>
  </si>
  <si>
    <t>Pref Equity</t>
  </si>
  <si>
    <t>lgh ownership of pref</t>
  </si>
  <si>
    <t>Pref Interest</t>
  </si>
  <si>
    <t>Accrued Unpaid (Acq. Fee)</t>
  </si>
  <si>
    <t>Accrued Unpaid (disposition Fee)</t>
  </si>
  <si>
    <t>Total NAV</t>
  </si>
  <si>
    <t>Total LGH NAV</t>
  </si>
  <si>
    <t>Pref $ Investments</t>
  </si>
  <si>
    <t>Principal Contr.</t>
  </si>
  <si>
    <t>Date</t>
  </si>
  <si>
    <t>LGH  $ outstanding</t>
  </si>
  <si>
    <t>Interest accrued</t>
  </si>
  <si>
    <t>Buddy1 deposit</t>
  </si>
  <si>
    <t>Buddy accrued interest</t>
  </si>
  <si>
    <t>San antonio</t>
  </si>
  <si>
    <t>SAT working valuation</t>
  </si>
  <si>
    <t>NOI after FFE pre leasse 2030</t>
  </si>
  <si>
    <t>[lghsat] capital raised</t>
  </si>
  <si>
    <t>750k fees inside capex</t>
  </si>
  <si>
    <t>[  ]</t>
  </si>
  <si>
    <t>cap rate</t>
  </si>
  <si>
    <t>hotel valuation</t>
  </si>
  <si>
    <t>value of lease</t>
  </si>
  <si>
    <t>[lghsat] debt service</t>
  </si>
  <si>
    <t>[lghsat] cash</t>
  </si>
  <si>
    <t>1.5M cash less 500k tax</t>
  </si>
  <si>
    <t>[lghsat] div</t>
  </si>
  <si>
    <t>[lghsat] refi</t>
  </si>
  <si>
    <t>project value</t>
  </si>
  <si>
    <t>debt on asset</t>
  </si>
  <si>
    <t xml:space="preserve">Level 0 </t>
  </si>
  <si>
    <t>Number of Departments</t>
  </si>
  <si>
    <t>Benefits</t>
  </si>
  <si>
    <t>Bonus Tax</t>
  </si>
  <si>
    <t>C12 Participation Revenue</t>
  </si>
  <si>
    <t>HM Fees</t>
  </si>
  <si>
    <t>BI&amp;F Fees</t>
  </si>
  <si>
    <t>DS Fees</t>
  </si>
  <si>
    <t>Total Fee Revenue</t>
  </si>
  <si>
    <t>C12 Service Revenue</t>
  </si>
  <si>
    <t>Business Infrastructure &amp; Finance</t>
  </si>
  <si>
    <t>Development &amp; Structuring</t>
  </si>
  <si>
    <t>Total C12 service Revenue</t>
  </si>
  <si>
    <t>Property/Project Allocation Revenue</t>
  </si>
  <si>
    <t>Hotel Allocation</t>
  </si>
  <si>
    <t>Project Allocation</t>
  </si>
  <si>
    <t>Total Allocation Revenue</t>
  </si>
  <si>
    <t>Reimbursable Operating Expenses</t>
  </si>
  <si>
    <t>Division Expenses (salaries)</t>
  </si>
  <si>
    <t xml:space="preserve">Development &amp; Structuring </t>
  </si>
  <si>
    <t>Head office</t>
  </si>
  <si>
    <t>office costs (rent &amp; reoccuring)</t>
  </si>
  <si>
    <t>CEO Pay</t>
  </si>
  <si>
    <t>Allocated c12 Reimbursable Salaries</t>
  </si>
  <si>
    <t>C12 Accounts Payable</t>
  </si>
  <si>
    <t>include actuals</t>
  </si>
  <si>
    <t>SALARY ACTUALS</t>
  </si>
  <si>
    <t>ADJ FOR SALARY ACTUALS</t>
  </si>
  <si>
    <t>Total c12 Expenses (Reimbursable)</t>
  </si>
  <si>
    <t>Non-recurring Items (non-reimbursable)</t>
  </si>
  <si>
    <t>Non-reimbursable salaries</t>
  </si>
  <si>
    <t>Roots donation</t>
  </si>
  <si>
    <t>Total c12 Expenses (Non-reimbursable)</t>
  </si>
  <si>
    <t>Total C12 Profit</t>
  </si>
  <si>
    <t>c12 profit margin</t>
  </si>
  <si>
    <t>Bank transfers</t>
  </si>
  <si>
    <t>Net Dist. To MM after salary &amp; c12 profit dist.</t>
  </si>
  <si>
    <t>Distributions</t>
  </si>
  <si>
    <t>Distribution after c12 profit</t>
  </si>
  <si>
    <t>Balance of  c12 LOC</t>
  </si>
  <si>
    <t>CY c12 Costs</t>
  </si>
  <si>
    <t>Base</t>
  </si>
  <si>
    <t>Bonus</t>
  </si>
  <si>
    <t>HM</t>
  </si>
  <si>
    <t>DDE</t>
  </si>
  <si>
    <t>check</t>
  </si>
  <si>
    <t>unallocated</t>
  </si>
  <si>
    <t>Managing Member</t>
  </si>
  <si>
    <t>Roots MD</t>
  </si>
  <si>
    <t>Bookkeeper</t>
  </si>
  <si>
    <t>Administrative Assistant</t>
  </si>
  <si>
    <t>[]</t>
  </si>
  <si>
    <t>Inflation adjustment</t>
  </si>
  <si>
    <t>c12 Main Office</t>
  </si>
  <si>
    <t>Grand Total</t>
  </si>
  <si>
    <t>LGH Profit/(Loss) Summary Check</t>
  </si>
  <si>
    <t>lgh_oc profit/(loss)</t>
  </si>
  <si>
    <t>c12_oc</t>
  </si>
  <si>
    <t>Total LGH HM Profit/(Loss)</t>
  </si>
  <si>
    <t>Total LGH D&amp;S Profit/(Loss)</t>
  </si>
  <si>
    <t>Total LGH BI&amp;F Profit/(Loss)</t>
  </si>
  <si>
    <t>mm salary</t>
  </si>
  <si>
    <t>CY Project Time Allocation</t>
  </si>
  <si>
    <t>Office</t>
  </si>
  <si>
    <t>Project</t>
  </si>
  <si>
    <t>BDA</t>
  </si>
  <si>
    <t>Aus</t>
  </si>
  <si>
    <t>ELBOW</t>
  </si>
  <si>
    <t>Frith</t>
  </si>
  <si>
    <t>ROOTS</t>
  </si>
  <si>
    <t>LGH Profit/(Loss)</t>
  </si>
  <si>
    <t>CY PTA est. cost</t>
  </si>
  <si>
    <t>Contract Est.</t>
  </si>
  <si>
    <t>Remaining Division</t>
  </si>
  <si>
    <t xml:space="preserve">contract </t>
  </si>
  <si>
    <t>C12 Fee Participation</t>
  </si>
  <si>
    <t>Total LGH Profit/(Loss)</t>
  </si>
  <si>
    <t>Non-recurring Items (Reimbursable)</t>
  </si>
  <si>
    <t>Infrastructure</t>
  </si>
  <si>
    <t>Professional services</t>
  </si>
  <si>
    <t>Non-recurring Items (Non-Reimbursable)</t>
  </si>
  <si>
    <t>Hiring Costs</t>
  </si>
  <si>
    <t>[signing bonus]</t>
  </si>
  <si>
    <t>[restructuring]</t>
  </si>
  <si>
    <t>[housing]</t>
  </si>
  <si>
    <t>LGH Fee Revenue</t>
  </si>
  <si>
    <t>Bermuda PB Mgt</t>
  </si>
  <si>
    <t>Bermuda PB Inc</t>
  </si>
  <si>
    <t>Austin Mgt</t>
  </si>
  <si>
    <t>Austin Inc</t>
  </si>
  <si>
    <t>Turks Mgt</t>
  </si>
  <si>
    <t>Turks Inc</t>
  </si>
  <si>
    <t>Total Fees Earned</t>
  </si>
  <si>
    <t>Deferred Period Fee</t>
  </si>
  <si>
    <t>Cumm. Balance Accrued Fee</t>
  </si>
  <si>
    <t>Paid Fee Accruals</t>
  </si>
  <si>
    <t>Paid Current Fees</t>
  </si>
  <si>
    <t>Total Paid</t>
  </si>
  <si>
    <t>Porject Allocated Salaries</t>
  </si>
  <si>
    <t xml:space="preserve">Austin </t>
  </si>
  <si>
    <t>Bermuda EB</t>
  </si>
  <si>
    <t>Total Allocated Costs</t>
  </si>
  <si>
    <t>Charge Back Multiple</t>
  </si>
  <si>
    <t>Hotel Allocated Salaries</t>
  </si>
  <si>
    <t>Total Charge Back chk</t>
  </si>
  <si>
    <t>LGH Service Revenue</t>
  </si>
  <si>
    <t>Total Service Revenue</t>
  </si>
  <si>
    <t>Cumm. Balance Accrued Service Fee</t>
  </si>
  <si>
    <t>Paid Service Accruals</t>
  </si>
  <si>
    <t>Paid Current Service Fees</t>
  </si>
  <si>
    <t>Total Service Revenue Paid</t>
  </si>
  <si>
    <t>Total LGH Fees Paid</t>
  </si>
  <si>
    <t>C12 Fee Participation %</t>
  </si>
  <si>
    <t>C12 Fee Participation $</t>
  </si>
  <si>
    <t>C12 Service Participation $</t>
  </si>
  <si>
    <t>Total c12 Participation</t>
  </si>
  <si>
    <t>Cumm. Accrued Fee Participation</t>
  </si>
  <si>
    <t>Cumm. Accrued Service Participatoin</t>
  </si>
  <si>
    <t>Cumm. Total Accrued Participation</t>
  </si>
  <si>
    <t>Departmental Expenses</t>
  </si>
  <si>
    <t>c12 Hotel Management (HM) Salaries</t>
  </si>
  <si>
    <t>Total HM Expenses</t>
  </si>
  <si>
    <t>Total fees</t>
  </si>
  <si>
    <t>less c12 participation</t>
  </si>
  <si>
    <t>less total hm expenses</t>
  </si>
  <si>
    <t>LGH Accounts Receivable Cumm.</t>
  </si>
  <si>
    <t>Inflation adj.</t>
  </si>
  <si>
    <t>2025 Base</t>
  </si>
  <si>
    <t>ACEO Loren Hotels</t>
  </si>
  <si>
    <t>LGH Profit/(Loss) check</t>
  </si>
  <si>
    <t>VP Operations</t>
  </si>
  <si>
    <t>Projects</t>
  </si>
  <si>
    <t>PTA est. Fee</t>
  </si>
  <si>
    <t>[seniorS&amp;Mexec]</t>
  </si>
  <si>
    <t>Senior Associate</t>
  </si>
  <si>
    <t>Accociate</t>
  </si>
  <si>
    <t>Financial Director</t>
  </si>
  <si>
    <t>[Revenue Manager]</t>
  </si>
  <si>
    <t>Total allocation cost</t>
  </si>
  <si>
    <t>c12 participation</t>
  </si>
  <si>
    <t>Total Salaries</t>
  </si>
  <si>
    <t>Deferral</t>
  </si>
  <si>
    <t>Hotel</t>
  </si>
  <si>
    <t>Pink Beach Design Fee</t>
  </si>
  <si>
    <t>Pink Beach Development Fee</t>
  </si>
  <si>
    <t>Pink Beach Structuring Fee</t>
  </si>
  <si>
    <t>Austin Design Fee</t>
  </si>
  <si>
    <t>Austin Development Fee</t>
  </si>
  <si>
    <t>Turks Design Fee</t>
  </si>
  <si>
    <t>Turks Development Fee</t>
  </si>
  <si>
    <t>Turks Structuring Fee</t>
  </si>
  <si>
    <t>Elbow Design Fee</t>
  </si>
  <si>
    <t>Elbow Development Fee</t>
  </si>
  <si>
    <t>Elbow Structuring Fee</t>
  </si>
  <si>
    <t>Elbow Construction Fee</t>
  </si>
  <si>
    <t>Elbow Acquisition Fee</t>
  </si>
  <si>
    <t>Frith Sale Fees</t>
  </si>
  <si>
    <t>Frith Acq Fee</t>
  </si>
  <si>
    <t>Frith Real Estate Fee</t>
  </si>
  <si>
    <t>Frith Disposition fee</t>
  </si>
  <si>
    <t>Total Fee Revenue Paid</t>
  </si>
  <si>
    <t>Bermuda PB Business Infrastructure &amp; Finance</t>
  </si>
  <si>
    <t>Austin Business Infrastructure &amp; Finance</t>
  </si>
  <si>
    <t>Turks Business Infrastructure &amp; Finance</t>
  </si>
  <si>
    <t>Elbow Business Infrastructure &amp; Finance</t>
  </si>
  <si>
    <t>Frith Business Infrastructure &amp; Finance</t>
  </si>
  <si>
    <t>Total Business Infrastructure &amp; Finance</t>
  </si>
  <si>
    <t>Cumm. Balance Accrued Fees</t>
  </si>
  <si>
    <t>Paid Accruals</t>
  </si>
  <si>
    <t>Design Service Revenue</t>
  </si>
  <si>
    <t>Bermuda PB Design Services</t>
  </si>
  <si>
    <t>Austin Design Services</t>
  </si>
  <si>
    <t>Turks Design Services</t>
  </si>
  <si>
    <t>Elbow Design Services</t>
  </si>
  <si>
    <t>Frith Design Services</t>
  </si>
  <si>
    <t>Total Design Service Revenue</t>
  </si>
  <si>
    <t>C12 Fee Participation % D&amp;S</t>
  </si>
  <si>
    <t>C12 Fee Participation % BI&amp;F</t>
  </si>
  <si>
    <t>c12 fee participation</t>
  </si>
  <si>
    <t>c12 Service participation</t>
  </si>
  <si>
    <t>[project sat]</t>
  </si>
  <si>
    <t>Project Allocated Salaries chk</t>
  </si>
  <si>
    <t>Accrued Fee Participation Cumm.</t>
  </si>
  <si>
    <t>Accrued Service Participatoin Cumm.</t>
  </si>
  <si>
    <t>Total Accrued Participation Cumm.</t>
  </si>
  <si>
    <t>BI&amp;F Salaries</t>
  </si>
  <si>
    <t>Allocated Salaries</t>
  </si>
  <si>
    <t>less total expenses</t>
  </si>
  <si>
    <t>Net Accrued Unpaid Fees</t>
  </si>
  <si>
    <t>Cumm. Accrued Unpaid Fees</t>
  </si>
  <si>
    <t>inflation adj.</t>
  </si>
  <si>
    <t>HODS</t>
  </si>
  <si>
    <t>Project Executive</t>
  </si>
  <si>
    <t>Project Manager</t>
  </si>
  <si>
    <t>Counsel</t>
  </si>
  <si>
    <t>Development Manager</t>
  </si>
  <si>
    <t>Senior Design Manager</t>
  </si>
  <si>
    <t>Design Manager</t>
  </si>
  <si>
    <t>FF&amp;E</t>
  </si>
  <si>
    <t>Senior Financial Analyst</t>
  </si>
  <si>
    <t>Runoff</t>
  </si>
  <si>
    <t>CY Project Allocation</t>
  </si>
  <si>
    <t>SK</t>
  </si>
  <si>
    <t xml:space="preserve">Bermuda PB </t>
  </si>
  <si>
    <t>Frith BI&amp;F</t>
  </si>
  <si>
    <t>LGH management fee</t>
  </si>
  <si>
    <t>[new hotel development]</t>
  </si>
  <si>
    <t>[new management contract]</t>
  </si>
  <si>
    <t>Accrued Fee Revenue (period)</t>
  </si>
  <si>
    <t>[Paid Accruals]</t>
  </si>
  <si>
    <t>7f</t>
  </si>
  <si>
    <t>Deferred Fees</t>
  </si>
  <si>
    <t>Total LGH Fee Paid</t>
  </si>
  <si>
    <t>c12 Fee participation</t>
  </si>
  <si>
    <t>C12 Service Participation</t>
  </si>
  <si>
    <t>Accrued Fee Participation [paid]</t>
  </si>
  <si>
    <t>Accrued Service Participatoin [paid]</t>
  </si>
  <si>
    <t>TotalBI&amp;F Expenses</t>
  </si>
  <si>
    <t>less total am expenses</t>
  </si>
  <si>
    <t>2025 base</t>
  </si>
  <si>
    <t>HOBI</t>
  </si>
  <si>
    <t>CFO</t>
  </si>
  <si>
    <t>Financial Analyst</t>
  </si>
  <si>
    <t>Controls</t>
  </si>
  <si>
    <t>[hr/legal/compliance]</t>
  </si>
  <si>
    <t>Deferral_tom</t>
  </si>
  <si>
    <t>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</si>
</sst>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_);_(* \(#,##0.0\);_(* &quot;-&quot;?_);_(@_)"/>
    <numFmt numFmtId="167" formatCode="_([$$-409]* #,##0_);_([$$-409]* \(#,##0\);_([$$-409]* &quot;-&quot;??_);_(@_)"/>
    <numFmt numFmtId="168" formatCode="0.0%"/>
    <numFmt numFmtId="169" formatCode="0.00%;\-0.00%;&quot;-&quot;;@"/>
    <numFmt numFmtId="170" formatCode="_(* #,##0.00_);_(* \(#,##0.00\);_(* &quot;   -&quot;?_);_(@_)"/>
    <numFmt numFmtId="171" formatCode="_(* #,##0_);_(* \(#,##0\);_(* &quot;   -&quot;?_);_(@_)"/>
    <numFmt numFmtId="172" formatCode="yyyy"/>
    <numFmt numFmtId="173" formatCode="_(* #,##0_);_(* \(#,##0\);_(* \-??_);_(@_)"/>
    <numFmt numFmtId="174" formatCode="_(* #,##0.0_);_(* \(#,##0.0\);_(* &quot;-&quot;??_);_(@_)"/>
    <numFmt numFmtId="175" formatCode="&quot;$&quot;#,##0"/>
    <numFmt numFmtId="176" formatCode="&quot;Year&quot;\ 0"/>
    <numFmt numFmtId="177" formatCode="#,##0.0"/>
    <numFmt numFmtId="178" formatCode="&quot;$&quot;#,##0;\(&quot;$&quot;#,##0\);&quot;-&quot;"/>
    <numFmt numFmtId="179" formatCode="0.00\x"/>
    <numFmt numFmtId="180" formatCode="\+0.0%;\-0.0%"/>
    <numFmt numFmtId="181" formatCode="_(&quot;$&quot;* #,##0.0_);_(&quot;$&quot;* \(#,##0.0\);_(&quot;$&quot;* &quot;-&quot;??_);_(@_)"/>
    <numFmt numFmtId="182" formatCode="0.000"/>
    <numFmt numFmtId="183" formatCode="_(* #,##0.000_);_(* \(#,##0.000\);_(* &quot;-&quot;??_);_(@_)"/>
    <numFmt numFmtId="184" formatCode="_-* #,##0.00_-;\-* #,##0.00_-;_-* &quot;-&quot;??_-;_-@_-"/>
  </numFmts>
  <fonts count="1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2"/>
      <name val="Arial MT"/>
    </font>
    <font>
      <sz val="12"/>
      <name val="Times New Roman"/>
      <family val="1"/>
    </font>
    <font>
      <b/>
      <u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 Light"/>
      <family val="2"/>
      <scheme val="major"/>
    </font>
    <font>
      <b/>
      <u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1"/>
      <color theme="1"/>
      <name val="Aptos Narrow"/>
      <family val="2"/>
    </font>
    <font>
      <sz val="11"/>
      <color theme="4"/>
      <name val="Calibri"/>
      <family val="2"/>
      <scheme val="minor"/>
    </font>
    <font>
      <b/>
      <sz val="11"/>
      <color theme="4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i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4"/>
      <name val="Calibri"/>
      <family val="2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rgb="FF000000"/>
      <name val="Calibri"/>
      <family val="2"/>
    </font>
    <font>
      <b/>
      <u/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1"/>
      <name val="Calibri"/>
      <family val="2"/>
    </font>
    <font>
      <sz val="11"/>
      <color rgb="FFFFC000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trike/>
      <sz val="12"/>
      <color theme="1"/>
      <name val="Calibri"/>
      <family val="2"/>
      <scheme val="minor"/>
    </font>
    <font>
      <sz val="11"/>
      <name val="Aptos Narrow"/>
      <family val="2"/>
    </font>
    <font>
      <i/>
      <sz val="11"/>
      <color theme="4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12"/>
      <color theme="4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name val="Calibri"/>
      <family val="2"/>
      <charset val="1"/>
    </font>
    <font>
      <sz val="11"/>
      <name val="Calibri"/>
      <family val="2"/>
      <charset val="1"/>
    </font>
    <font>
      <b/>
      <sz val="11"/>
      <color theme="1"/>
      <name val="Calibri"/>
      <family val="2"/>
    </font>
    <font>
      <b/>
      <u/>
      <sz val="11"/>
      <color theme="1"/>
      <name val="Calibri"/>
      <family val="2"/>
      <charset val="1"/>
    </font>
    <font>
      <sz val="11"/>
      <color theme="4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name val="Calibri"/>
      <family val="2"/>
    </font>
    <font>
      <b/>
      <sz val="11"/>
      <color theme="4"/>
      <name val="Calibri"/>
      <family val="2"/>
      <charset val="1"/>
    </font>
    <font>
      <sz val="11"/>
      <color theme="9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sz val="11"/>
      <color theme="0" tint="-0.249977111117893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trike/>
      <sz val="12"/>
      <color theme="4"/>
      <name val="Calibri"/>
      <family val="2"/>
      <scheme val="minor"/>
    </font>
    <font>
      <strike/>
      <sz val="11"/>
      <color theme="4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4"/>
      <name val="Calibri"/>
      <family val="2"/>
    </font>
    <font>
      <sz val="9"/>
      <name val="Calibri"/>
      <family val="2"/>
    </font>
    <font>
      <b/>
      <i/>
      <sz val="11"/>
      <name val="Calibri"/>
      <family val="2"/>
    </font>
    <font>
      <b/>
      <u/>
      <sz val="11"/>
      <name val="Calibri"/>
      <family val="2"/>
    </font>
    <font>
      <sz val="11"/>
      <color theme="0"/>
      <name val="Calibri"/>
      <family val="2"/>
    </font>
    <font>
      <b/>
      <sz val="11"/>
      <color theme="0"/>
      <name val="Calibri"/>
      <family val="2"/>
    </font>
    <font>
      <b/>
      <sz val="12"/>
      <color theme="1"/>
      <name val="Calibri"/>
      <family val="2"/>
    </font>
    <font>
      <b/>
      <sz val="12"/>
      <name val="Calibri"/>
      <family val="2"/>
    </font>
    <font>
      <b/>
      <sz val="14"/>
      <color theme="0"/>
      <name val="Calibri"/>
      <family val="2"/>
    </font>
    <font>
      <sz val="10"/>
      <color theme="4"/>
      <name val="Calibri"/>
      <family val="2"/>
    </font>
    <font>
      <b/>
      <u/>
      <sz val="11"/>
      <color theme="1"/>
      <name val="Calibri"/>
      <family val="2"/>
    </font>
    <font>
      <sz val="11"/>
      <color theme="0" tint="-0.249977111117893"/>
      <name val="Calibri"/>
      <family val="2"/>
    </font>
    <font>
      <sz val="10"/>
      <name val="Calibri"/>
      <family val="2"/>
    </font>
    <font>
      <b/>
      <sz val="10"/>
      <color theme="1"/>
      <name val="Calibri"/>
      <family val="2"/>
    </font>
    <font>
      <b/>
      <u/>
      <sz val="10"/>
      <name val="Calibri"/>
      <family val="2"/>
    </font>
    <font>
      <b/>
      <sz val="10"/>
      <name val="Calibri"/>
      <family val="2"/>
    </font>
    <font>
      <b/>
      <u/>
      <sz val="10"/>
      <color theme="1"/>
      <name val="Calibri"/>
      <family val="2"/>
    </font>
    <font>
      <sz val="10"/>
      <color theme="0" tint="-0.249977111117893"/>
      <name val="Calibri"/>
      <family val="2"/>
    </font>
    <font>
      <sz val="12"/>
      <color theme="4"/>
      <name val="Calibri"/>
      <family val="2"/>
    </font>
    <font>
      <sz val="12"/>
      <color theme="9"/>
      <name val="Calibri"/>
      <family val="2"/>
      <scheme val="minor"/>
    </font>
    <font>
      <sz val="11"/>
      <color rgb="FF4472C4"/>
      <name val="Calibri"/>
      <family val="2"/>
    </font>
    <font>
      <b/>
      <sz val="12"/>
      <name val="Calibri"/>
      <family val="2"/>
      <scheme val="minor"/>
    </font>
    <font>
      <sz val="11"/>
      <color theme="4"/>
      <name val="Calibri Light"/>
      <family val="2"/>
      <scheme val="major"/>
    </font>
    <font>
      <b/>
      <sz val="11"/>
      <name val="Calibri Light"/>
      <family val="2"/>
      <scheme val="major"/>
    </font>
    <font>
      <b/>
      <sz val="11"/>
      <color theme="4"/>
      <name val="Calibri Light"/>
      <family val="2"/>
      <scheme val="major"/>
    </font>
    <font>
      <b/>
      <sz val="14"/>
      <name val="Calibri Light"/>
      <family val="2"/>
      <scheme val="major"/>
    </font>
    <font>
      <sz val="11"/>
      <color theme="4" tint="0.79998168889431442"/>
      <name val="Calibri Light"/>
      <family val="2"/>
      <scheme val="major"/>
    </font>
    <font>
      <b/>
      <i/>
      <sz val="11"/>
      <color theme="1"/>
      <name val="Calibri Light"/>
      <family val="2"/>
      <scheme val="major"/>
    </font>
    <font>
      <sz val="11"/>
      <color theme="2" tint="-9.9978637043366805E-2"/>
      <name val="Calibri"/>
      <family val="2"/>
    </font>
    <font>
      <b/>
      <sz val="11"/>
      <color rgb="FF0000FF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rgb="FF0000FF"/>
      <name val="Calibri"/>
      <family val="2"/>
    </font>
    <font>
      <sz val="11"/>
      <color rgb="FF0000FF"/>
      <name val="Calibri Light"/>
      <family val="2"/>
      <scheme val="major"/>
    </font>
    <font>
      <b/>
      <sz val="11"/>
      <color rgb="FF0000FF"/>
      <name val="Calibri Light"/>
      <family val="2"/>
      <scheme val="major"/>
    </font>
    <font>
      <i/>
      <sz val="11"/>
      <color rgb="FF0000FF"/>
      <name val="Calibri"/>
      <family val="2"/>
      <scheme val="minor"/>
    </font>
    <font>
      <sz val="11"/>
      <color theme="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9"/>
      <name val="Calibri"/>
      <family val="2"/>
      <scheme val="minor"/>
    </font>
    <font>
      <b/>
      <sz val="9"/>
      <color rgb="FF305496"/>
      <name val="Calibri"/>
      <family val="2"/>
      <scheme val="minor"/>
    </font>
    <font>
      <sz val="9"/>
      <color rgb="FF404040"/>
      <name val="Calibri"/>
      <family val="2"/>
      <scheme val="minor"/>
    </font>
    <font>
      <b/>
      <sz val="9"/>
      <color rgb="FF404040"/>
      <name val="Calibri"/>
      <family val="2"/>
      <scheme val="minor"/>
    </font>
    <font>
      <b/>
      <sz val="10"/>
      <color rgb="FF305496"/>
      <name val="Calibri"/>
      <family val="2"/>
      <scheme val="minor"/>
    </font>
    <font>
      <b/>
      <u/>
      <sz val="9"/>
      <color rgb="FF404040"/>
      <name val="Calibri"/>
      <family val="2"/>
      <scheme val="minor"/>
    </font>
    <font>
      <b/>
      <sz val="12"/>
      <color rgb="FF305496"/>
      <name val="Calibri"/>
      <family val="2"/>
      <scheme val="minor"/>
    </font>
    <font>
      <sz val="9"/>
      <color rgb="FF808080"/>
      <name val="Calibri"/>
      <family val="2"/>
      <scheme val="minor"/>
    </font>
    <font>
      <i/>
      <sz val="9"/>
      <color rgb="FF808080"/>
      <name val="Calibri"/>
      <family val="2"/>
      <scheme val="minor"/>
    </font>
    <font>
      <b/>
      <sz val="9"/>
      <color rgb="FFC00000"/>
      <name val="Calibri"/>
      <family val="2"/>
      <scheme val="minor"/>
    </font>
    <font>
      <sz val="9"/>
      <color rgb="FFC00000"/>
      <name val="Calibri"/>
      <family val="2"/>
      <scheme val="minor"/>
    </font>
    <font>
      <sz val="10"/>
      <color rgb="FF0000FF"/>
      <name val="Calibri"/>
      <family val="2"/>
    </font>
    <font>
      <sz val="12"/>
      <color rgb="FF0000FF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89013336588644"/>
        <bgColor rgb="FFE7E6E6"/>
      </patternFill>
    </fill>
    <fill>
      <patternFill patternType="solid">
        <fgColor theme="5"/>
        <bgColor rgb="FFC55A11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rgb="FFE7E6E6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rgb="FFE7E6E6"/>
      </patternFill>
    </fill>
    <fill>
      <patternFill patternType="solid">
        <fgColor theme="4" tint="0.79998168889431442"/>
        <bgColor rgb="FFE7E6E6"/>
      </patternFill>
    </fill>
    <fill>
      <patternFill patternType="solid">
        <fgColor theme="4" tint="0.79998168889431442"/>
        <bgColor rgb="FF000000"/>
      </patternFill>
    </fill>
    <fill>
      <patternFill patternType="solid">
        <fgColor rgb="FFD9E1F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79998168889431442"/>
        <bgColor rgb="FFFFF2CC"/>
      </patternFill>
    </fill>
    <fill>
      <patternFill patternType="solid">
        <fgColor rgb="FF002060"/>
        <bgColor indexed="64"/>
      </patternFill>
    </fill>
  </fills>
  <borders count="84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auto="1"/>
      </right>
      <top/>
      <bottom style="thin">
        <color auto="1"/>
      </bottom>
      <diagonal/>
    </border>
    <border>
      <left style="thick">
        <color indexed="64"/>
      </left>
      <right style="thick">
        <color auto="1"/>
      </right>
      <top/>
      <bottom/>
      <diagonal/>
    </border>
    <border>
      <left style="thick">
        <color indexed="64"/>
      </left>
      <right/>
      <top style="thin">
        <color indexed="64"/>
      </top>
      <bottom/>
      <diagonal/>
    </border>
    <border>
      <left style="thick">
        <color indexed="64"/>
      </left>
      <right/>
      <top/>
      <bottom style="thin">
        <color auto="1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 style="thick">
        <color auto="1"/>
      </right>
      <top style="medium">
        <color indexed="64"/>
      </top>
      <bottom/>
      <diagonal/>
    </border>
    <border>
      <left style="thick">
        <color indexed="64"/>
      </left>
      <right/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</borders>
  <cellStyleXfs count="20">
    <xf numFmtId="0" fontId="0" fillId="0" borderId="0"/>
    <xf numFmtId="43" fontId="1" fillId="0" borderId="0"/>
    <xf numFmtId="44" fontId="1" fillId="0" borderId="0"/>
    <xf numFmtId="9" fontId="1" fillId="0" borderId="0"/>
    <xf numFmtId="0" fontId="1" fillId="0" borderId="0"/>
    <xf numFmtId="184" fontId="1" fillId="0" borderId="0"/>
    <xf numFmtId="43" fontId="5" fillId="0" borderId="0"/>
    <xf numFmtId="43" fontId="1" fillId="0" borderId="0"/>
    <xf numFmtId="0" fontId="5" fillId="0" borderId="0"/>
    <xf numFmtId="37" fontId="7" fillId="0" borderId="0"/>
    <xf numFmtId="43" fontId="8" fillId="0" borderId="0"/>
    <xf numFmtId="9" fontId="8" fillId="0" borderId="0"/>
    <xf numFmtId="44" fontId="8" fillId="0" borderId="0"/>
    <xf numFmtId="0" fontId="6" fillId="0" borderId="0"/>
    <xf numFmtId="43" fontId="6" fillId="0" borderId="0"/>
    <xf numFmtId="0" fontId="5" fillId="0" borderId="0"/>
    <xf numFmtId="0" fontId="1" fillId="0" borderId="0"/>
    <xf numFmtId="0" fontId="22" fillId="0" borderId="0"/>
    <xf numFmtId="44" fontId="4" fillId="0" borderId="0"/>
    <xf numFmtId="0" fontId="41" fillId="0" borderId="0"/>
  </cellStyleXfs>
  <cellXfs count="2245">
    <xf numFmtId="0" fontId="0" fillId="0" borderId="0" xfId="0"/>
    <xf numFmtId="164" fontId="0" fillId="0" borderId="0" xfId="1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4" fontId="0" fillId="0" borderId="0" xfId="0" applyNumberFormat="1"/>
    <xf numFmtId="0" fontId="3" fillId="0" borderId="0" xfId="0" applyFont="1"/>
    <xf numFmtId="164" fontId="3" fillId="0" borderId="0" xfId="1" applyNumberFormat="1" applyFont="1"/>
    <xf numFmtId="9" fontId="0" fillId="0" borderId="0" xfId="0" applyNumberFormat="1" applyAlignment="1">
      <alignment horizontal="center"/>
    </xf>
    <xf numFmtId="164" fontId="3" fillId="0" borderId="0" xfId="0" applyNumberFormat="1" applyFont="1"/>
    <xf numFmtId="3" fontId="0" fillId="0" borderId="0" xfId="0" applyNumberFormat="1"/>
    <xf numFmtId="0" fontId="9" fillId="0" borderId="0" xfId="0" applyFont="1"/>
    <xf numFmtId="165" fontId="0" fillId="0" borderId="0" xfId="0" applyNumberFormat="1"/>
    <xf numFmtId="0" fontId="0" fillId="0" borderId="0" xfId="0" applyAlignment="1">
      <alignment horizontal="left"/>
    </xf>
    <xf numFmtId="0" fontId="0" fillId="0" borderId="8" xfId="0" applyBorder="1"/>
    <xf numFmtId="0" fontId="0" fillId="0" borderId="9" xfId="0" applyBorder="1"/>
    <xf numFmtId="9" fontId="0" fillId="0" borderId="0" xfId="0" applyNumberFormat="1"/>
    <xf numFmtId="0" fontId="3" fillId="0" borderId="17" xfId="0" applyFont="1" applyBorder="1"/>
    <xf numFmtId="165" fontId="0" fillId="0" borderId="0" xfId="2" applyNumberFormat="1" applyFont="1"/>
    <xf numFmtId="0" fontId="0" fillId="0" borderId="0" xfId="0" applyAlignment="1">
      <alignment horizontal="right"/>
    </xf>
    <xf numFmtId="44" fontId="0" fillId="0" borderId="0" xfId="0" applyNumberFormat="1"/>
    <xf numFmtId="164" fontId="3" fillId="0" borderId="1" xfId="1" applyNumberFormat="1" applyFont="1" applyBorder="1"/>
    <xf numFmtId="4" fontId="0" fillId="0" borderId="0" xfId="1" applyNumberFormat="1" applyFont="1"/>
    <xf numFmtId="3" fontId="3" fillId="0" borderId="0" xfId="0" applyNumberFormat="1" applyFont="1"/>
    <xf numFmtId="0" fontId="3" fillId="0" borderId="0" xfId="0" applyFont="1" applyAlignment="1">
      <alignment horizontal="right"/>
    </xf>
    <xf numFmtId="0" fontId="10" fillId="0" borderId="0" xfId="0" applyFont="1"/>
    <xf numFmtId="0" fontId="12" fillId="0" borderId="0" xfId="0" applyFont="1"/>
    <xf numFmtId="0" fontId="11" fillId="0" borderId="0" xfId="0" applyFont="1"/>
    <xf numFmtId="0" fontId="13" fillId="0" borderId="0" xfId="0" applyFont="1"/>
    <xf numFmtId="9" fontId="0" fillId="0" borderId="0" xfId="3" applyFont="1"/>
    <xf numFmtId="0" fontId="14" fillId="0" borderId="0" xfId="0" applyFont="1"/>
    <xf numFmtId="164" fontId="14" fillId="0" borderId="0" xfId="1" applyNumberFormat="1" applyFont="1"/>
    <xf numFmtId="164" fontId="14" fillId="0" borderId="0" xfId="0" applyNumberFormat="1" applyFont="1"/>
    <xf numFmtId="164" fontId="1" fillId="0" borderId="0" xfId="1" applyNumberFormat="1"/>
    <xf numFmtId="165" fontId="10" fillId="0" borderId="0" xfId="0" applyNumberFormat="1" applyFont="1"/>
    <xf numFmtId="164" fontId="0" fillId="7" borderId="0" xfId="1" applyNumberFormat="1" applyFont="1" applyFill="1"/>
    <xf numFmtId="165" fontId="12" fillId="0" borderId="0" xfId="2" applyNumberFormat="1" applyFont="1"/>
    <xf numFmtId="164" fontId="3" fillId="0" borderId="0" xfId="1" applyNumberFormat="1" applyFont="1" applyAlignment="1">
      <alignment horizontal="center"/>
    </xf>
    <xf numFmtId="164" fontId="10" fillId="0" borderId="0" xfId="0" applyNumberFormat="1" applyFont="1"/>
    <xf numFmtId="3" fontId="10" fillId="0" borderId="0" xfId="0" applyNumberFormat="1" applyFont="1"/>
    <xf numFmtId="0" fontId="3" fillId="0" borderId="15" xfId="0" applyFont="1" applyBorder="1"/>
    <xf numFmtId="0" fontId="17" fillId="0" borderId="0" xfId="0" applyFont="1"/>
    <xf numFmtId="0" fontId="18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43" fontId="0" fillId="0" borderId="0" xfId="1" applyFont="1"/>
    <xf numFmtId="0" fontId="3" fillId="0" borderId="27" xfId="0" applyFont="1" applyBorder="1" applyAlignment="1">
      <alignment horizontal="centerContinuous"/>
    </xf>
    <xf numFmtId="0" fontId="0" fillId="0" borderId="28" xfId="0" applyBorder="1" applyAlignment="1">
      <alignment horizontal="centerContinuous"/>
    </xf>
    <xf numFmtId="164" fontId="0" fillId="0" borderId="2" xfId="1" applyNumberFormat="1" applyFont="1" applyBorder="1"/>
    <xf numFmtId="164" fontId="0" fillId="0" borderId="23" xfId="1" applyNumberFormat="1" applyFont="1" applyBorder="1"/>
    <xf numFmtId="165" fontId="0" fillId="0" borderId="23" xfId="2" applyNumberFormat="1" applyFont="1" applyBorder="1"/>
    <xf numFmtId="165" fontId="0" fillId="0" borderId="25" xfId="2" applyNumberFormat="1" applyFont="1" applyBorder="1"/>
    <xf numFmtId="164" fontId="0" fillId="0" borderId="25" xfId="1" applyNumberFormat="1" applyFont="1" applyBorder="1"/>
    <xf numFmtId="164" fontId="3" fillId="0" borderId="23" xfId="1" applyNumberFormat="1" applyFont="1" applyBorder="1"/>
    <xf numFmtId="164" fontId="3" fillId="0" borderId="25" xfId="1" applyNumberFormat="1" applyFont="1" applyBorder="1"/>
    <xf numFmtId="10" fontId="3" fillId="0" borderId="0" xfId="0" applyNumberFormat="1" applyFont="1"/>
    <xf numFmtId="166" fontId="0" fillId="0" borderId="0" xfId="0" applyNumberFormat="1"/>
    <xf numFmtId="3" fontId="0" fillId="0" borderId="0" xfId="1" applyNumberFormat="1" applyFont="1"/>
    <xf numFmtId="0" fontId="0" fillId="0" borderId="23" xfId="0" applyBorder="1"/>
    <xf numFmtId="0" fontId="0" fillId="0" borderId="25" xfId="0" applyBorder="1"/>
    <xf numFmtId="164" fontId="3" fillId="0" borderId="23" xfId="1" applyNumberFormat="1" applyFont="1" applyBorder="1" applyAlignment="1">
      <alignment horizontal="center"/>
    </xf>
    <xf numFmtId="164" fontId="3" fillId="0" borderId="25" xfId="1" applyNumberFormat="1" applyFont="1" applyBorder="1" applyAlignment="1">
      <alignment horizontal="center"/>
    </xf>
    <xf numFmtId="9" fontId="0" fillId="0" borderId="25" xfId="3" applyFont="1" applyBorder="1"/>
    <xf numFmtId="164" fontId="3" fillId="0" borderId="39" xfId="1" applyNumberFormat="1" applyFont="1" applyBorder="1"/>
    <xf numFmtId="164" fontId="3" fillId="0" borderId="40" xfId="1" applyNumberFormat="1" applyFont="1" applyBorder="1"/>
    <xf numFmtId="164" fontId="0" fillId="0" borderId="29" xfId="1" applyNumberFormat="1" applyFont="1" applyBorder="1"/>
    <xf numFmtId="164" fontId="0" fillId="0" borderId="30" xfId="1" applyNumberFormat="1" applyFont="1" applyBorder="1"/>
    <xf numFmtId="0" fontId="0" fillId="0" borderId="41" xfId="0" applyBorder="1"/>
    <xf numFmtId="0" fontId="3" fillId="0" borderId="2" xfId="0" applyFont="1" applyBorder="1" applyAlignment="1">
      <alignment horizontal="right"/>
    </xf>
    <xf numFmtId="0" fontId="3" fillId="0" borderId="2" xfId="0" applyFont="1" applyBorder="1"/>
    <xf numFmtId="167" fontId="0" fillId="0" borderId="0" xfId="0" applyNumberFormat="1"/>
    <xf numFmtId="167" fontId="12" fillId="0" borderId="0" xfId="2" applyNumberFormat="1" applyFont="1"/>
    <xf numFmtId="9" fontId="0" fillId="0" borderId="17" xfId="3" applyFont="1" applyBorder="1" applyAlignment="1">
      <alignment horizontal="center"/>
    </xf>
    <xf numFmtId="167" fontId="0" fillId="0" borderId="0" xfId="2" applyNumberFormat="1" applyFont="1"/>
    <xf numFmtId="3" fontId="14" fillId="0" borderId="0" xfId="0" applyNumberFormat="1" applyFont="1"/>
    <xf numFmtId="0" fontId="0" fillId="0" borderId="0" xfId="0" applyAlignment="1">
      <alignment horizontal="centerContinuous"/>
    </xf>
    <xf numFmtId="0" fontId="13" fillId="0" borderId="17" xfId="0" applyFont="1" applyBorder="1" applyAlignment="1">
      <alignment horizontal="right"/>
    </xf>
    <xf numFmtId="3" fontId="3" fillId="0" borderId="17" xfId="0" applyNumberFormat="1" applyFont="1" applyBorder="1"/>
    <xf numFmtId="9" fontId="13" fillId="0" borderId="17" xfId="3" applyFont="1" applyBorder="1" applyAlignment="1">
      <alignment horizontal="center"/>
    </xf>
    <xf numFmtId="4" fontId="3" fillId="0" borderId="0" xfId="0" applyNumberFormat="1" applyFont="1" applyAlignment="1">
      <alignment horizontal="centerContinuous"/>
    </xf>
    <xf numFmtId="4" fontId="13" fillId="0" borderId="17" xfId="1" applyNumberFormat="1" applyFont="1" applyBorder="1" applyAlignment="1">
      <alignment horizontal="center"/>
    </xf>
    <xf numFmtId="4" fontId="13" fillId="0" borderId="0" xfId="1" applyNumberFormat="1" applyFont="1" applyAlignment="1">
      <alignment horizontal="center"/>
    </xf>
    <xf numFmtId="9" fontId="13" fillId="0" borderId="0" xfId="3" applyFont="1" applyAlignment="1">
      <alignment horizontal="center"/>
    </xf>
    <xf numFmtId="9" fontId="0" fillId="0" borderId="0" xfId="3" applyFont="1" applyAlignment="1">
      <alignment horizontal="center"/>
    </xf>
    <xf numFmtId="164" fontId="24" fillId="0" borderId="0" xfId="0" applyNumberFormat="1" applyFont="1"/>
    <xf numFmtId="0" fontId="3" fillId="0" borderId="0" xfId="0" applyFont="1" applyAlignment="1">
      <alignment horizontal="center"/>
    </xf>
    <xf numFmtId="164" fontId="0" fillId="0" borderId="5" xfId="1" applyNumberFormat="1" applyFont="1" applyBorder="1"/>
    <xf numFmtId="0" fontId="0" fillId="0" borderId="1" xfId="0" applyBorder="1"/>
    <xf numFmtId="0" fontId="0" fillId="0" borderId="17" xfId="0" applyBorder="1"/>
    <xf numFmtId="0" fontId="21" fillId="0" borderId="17" xfId="0" applyFont="1" applyBorder="1"/>
    <xf numFmtId="164" fontId="25" fillId="0" borderId="0" xfId="0" applyNumberFormat="1" applyFont="1"/>
    <xf numFmtId="164" fontId="26" fillId="0" borderId="0" xfId="0" applyNumberFormat="1" applyFont="1"/>
    <xf numFmtId="4" fontId="13" fillId="0" borderId="0" xfId="0" applyNumberFormat="1" applyFont="1"/>
    <xf numFmtId="0" fontId="3" fillId="0" borderId="17" xfId="0" applyFont="1" applyBorder="1" applyAlignment="1">
      <alignment horizontal="right"/>
    </xf>
    <xf numFmtId="164" fontId="0" fillId="0" borderId="2" xfId="0" applyNumberFormat="1" applyBorder="1"/>
    <xf numFmtId="3" fontId="3" fillId="0" borderId="17" xfId="3" applyNumberFormat="1" applyFont="1" applyBorder="1" applyAlignment="1">
      <alignment horizontal="center"/>
    </xf>
    <xf numFmtId="0" fontId="0" fillId="0" borderId="31" xfId="0" applyBorder="1"/>
    <xf numFmtId="0" fontId="3" fillId="0" borderId="41" xfId="0" applyFont="1" applyBorder="1"/>
    <xf numFmtId="164" fontId="1" fillId="0" borderId="2" xfId="1" applyNumberFormat="1" applyBorder="1"/>
    <xf numFmtId="0" fontId="0" fillId="0" borderId="41" xfId="0" applyBorder="1" applyAlignment="1">
      <alignment horizontal="right"/>
    </xf>
    <xf numFmtId="164" fontId="1" fillId="0" borderId="29" xfId="1" applyNumberFormat="1" applyBorder="1"/>
    <xf numFmtId="164" fontId="1" fillId="0" borderId="30" xfId="1" applyNumberFormat="1" applyBorder="1"/>
    <xf numFmtId="164" fontId="1" fillId="0" borderId="23" xfId="1" applyNumberFormat="1" applyBorder="1"/>
    <xf numFmtId="164" fontId="1" fillId="0" borderId="25" xfId="1" applyNumberFormat="1" applyBorder="1"/>
    <xf numFmtId="164" fontId="3" fillId="0" borderId="2" xfId="1" applyNumberFormat="1" applyFont="1" applyBorder="1"/>
    <xf numFmtId="9" fontId="14" fillId="0" borderId="0" xfId="0" applyNumberFormat="1" applyFont="1"/>
    <xf numFmtId="0" fontId="3" fillId="0" borderId="5" xfId="0" applyFont="1" applyBorder="1"/>
    <xf numFmtId="0" fontId="12" fillId="0" borderId="17" xfId="0" applyFont="1" applyBorder="1"/>
    <xf numFmtId="0" fontId="27" fillId="0" borderId="17" xfId="0" applyFont="1" applyBorder="1"/>
    <xf numFmtId="0" fontId="3" fillId="0" borderId="1" xfId="0" applyFont="1" applyBorder="1"/>
    <xf numFmtId="3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3" fillId="0" borderId="1" xfId="0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16" xfId="0" applyFont="1" applyBorder="1"/>
    <xf numFmtId="0" fontId="3" fillId="0" borderId="16" xfId="0" applyFont="1" applyBorder="1" applyAlignment="1">
      <alignment horizontal="center"/>
    </xf>
    <xf numFmtId="3" fontId="3" fillId="0" borderId="16" xfId="0" applyNumberFormat="1" applyFont="1" applyBorder="1" applyAlignment="1">
      <alignment horizontal="center"/>
    </xf>
    <xf numFmtId="3" fontId="0" fillId="0" borderId="2" xfId="0" applyNumberFormat="1" applyBorder="1"/>
    <xf numFmtId="0" fontId="0" fillId="0" borderId="2" xfId="0" applyBorder="1"/>
    <xf numFmtId="9" fontId="0" fillId="0" borderId="0" xfId="2" applyNumberFormat="1" applyFont="1"/>
    <xf numFmtId="164" fontId="0" fillId="0" borderId="37" xfId="1" applyNumberFormat="1" applyFont="1" applyBorder="1"/>
    <xf numFmtId="164" fontId="0" fillId="0" borderId="38" xfId="1" applyNumberFormat="1" applyFont="1" applyBorder="1"/>
    <xf numFmtId="9" fontId="0" fillId="0" borderId="0" xfId="1" applyNumberFormat="1" applyFont="1"/>
    <xf numFmtId="0" fontId="13" fillId="0" borderId="0" xfId="1" applyNumberFormat="1" applyFont="1" applyAlignment="1">
      <alignment horizontal="center"/>
    </xf>
    <xf numFmtId="164" fontId="12" fillId="0" borderId="15" xfId="1" applyNumberFormat="1" applyFont="1" applyBorder="1"/>
    <xf numFmtId="0" fontId="0" fillId="0" borderId="15" xfId="0" applyBorder="1"/>
    <xf numFmtId="164" fontId="0" fillId="0" borderId="16" xfId="1" applyNumberFormat="1" applyFont="1" applyBorder="1"/>
    <xf numFmtId="4" fontId="28" fillId="0" borderId="0" xfId="0" applyNumberFormat="1" applyFont="1"/>
    <xf numFmtId="165" fontId="13" fillId="0" borderId="5" xfId="2" applyNumberFormat="1" applyFont="1" applyBorder="1"/>
    <xf numFmtId="0" fontId="0" fillId="0" borderId="5" xfId="0" applyBorder="1"/>
    <xf numFmtId="10" fontId="0" fillId="0" borderId="0" xfId="3" applyNumberFormat="1" applyFont="1"/>
    <xf numFmtId="0" fontId="29" fillId="0" borderId="0" xfId="0" applyFont="1"/>
    <xf numFmtId="164" fontId="12" fillId="0" borderId="0" xfId="1" applyNumberFormat="1" applyFont="1"/>
    <xf numFmtId="164" fontId="12" fillId="0" borderId="23" xfId="1" applyNumberFormat="1" applyFont="1" applyBorder="1"/>
    <xf numFmtId="164" fontId="12" fillId="0" borderId="25" xfId="1" applyNumberFormat="1" applyFont="1" applyBorder="1"/>
    <xf numFmtId="0" fontId="3" fillId="0" borderId="23" xfId="0" applyFont="1" applyBorder="1"/>
    <xf numFmtId="164" fontId="3" fillId="0" borderId="29" xfId="1" applyNumberFormat="1" applyFont="1" applyBorder="1"/>
    <xf numFmtId="164" fontId="3" fillId="0" borderId="30" xfId="1" applyNumberFormat="1" applyFont="1" applyBorder="1"/>
    <xf numFmtId="164" fontId="13" fillId="0" borderId="2" xfId="1" applyNumberFormat="1" applyFont="1" applyBorder="1"/>
    <xf numFmtId="164" fontId="13" fillId="0" borderId="29" xfId="1" applyNumberFormat="1" applyFont="1" applyBorder="1"/>
    <xf numFmtId="164" fontId="13" fillId="0" borderId="30" xfId="1" applyNumberFormat="1" applyFont="1" applyBorder="1"/>
    <xf numFmtId="164" fontId="3" fillId="0" borderId="31" xfId="1" applyNumberFormat="1" applyFont="1" applyBorder="1"/>
    <xf numFmtId="164" fontId="3" fillId="0" borderId="32" xfId="1" applyNumberFormat="1" applyFont="1" applyBorder="1"/>
    <xf numFmtId="164" fontId="3" fillId="0" borderId="36" xfId="1" applyNumberFormat="1" applyFont="1" applyBorder="1"/>
    <xf numFmtId="0" fontId="0" fillId="0" borderId="23" xfId="0" applyBorder="1" applyAlignment="1">
      <alignment horizontal="right"/>
    </xf>
    <xf numFmtId="0" fontId="3" fillId="0" borderId="29" xfId="0" applyFont="1" applyBorder="1" applyAlignment="1">
      <alignment horizontal="right"/>
    </xf>
    <xf numFmtId="0" fontId="3" fillId="0" borderId="23" xfId="0" applyFont="1" applyBorder="1" applyAlignment="1">
      <alignment horizontal="right"/>
    </xf>
    <xf numFmtId="164" fontId="3" fillId="0" borderId="5" xfId="1" applyNumberFormat="1" applyFont="1" applyBorder="1"/>
    <xf numFmtId="164" fontId="13" fillId="0" borderId="0" xfId="1" applyNumberFormat="1" applyFont="1"/>
    <xf numFmtId="0" fontId="0" fillId="0" borderId="23" xfId="0" applyBorder="1" applyAlignment="1">
      <alignment horizontal="center"/>
    </xf>
    <xf numFmtId="0" fontId="0" fillId="0" borderId="25" xfId="0" applyBorder="1" applyAlignment="1">
      <alignment horizontal="center"/>
    </xf>
    <xf numFmtId="14" fontId="0" fillId="0" borderId="0" xfId="0" applyNumberFormat="1"/>
    <xf numFmtId="43" fontId="3" fillId="0" borderId="0" xfId="1" applyFont="1"/>
    <xf numFmtId="164" fontId="1" fillId="0" borderId="9" xfId="1" applyNumberFormat="1" applyBorder="1"/>
    <xf numFmtId="164" fontId="0" fillId="0" borderId="9" xfId="1" applyNumberFormat="1" applyFont="1" applyBorder="1"/>
    <xf numFmtId="0" fontId="2" fillId="8" borderId="0" xfId="0" applyFont="1" applyFill="1"/>
    <xf numFmtId="164" fontId="2" fillId="8" borderId="0" xfId="1" applyNumberFormat="1" applyFont="1" applyFill="1"/>
    <xf numFmtId="9" fontId="20" fillId="0" borderId="0" xfId="0" applyNumberFormat="1" applyFont="1"/>
    <xf numFmtId="3" fontId="19" fillId="0" borderId="0" xfId="1" applyNumberFormat="1" applyFont="1"/>
    <xf numFmtId="3" fontId="20" fillId="0" borderId="0" xfId="0" applyNumberFormat="1" applyFont="1"/>
    <xf numFmtId="3" fontId="12" fillId="0" borderId="0" xfId="0" applyNumberFormat="1" applyFont="1"/>
    <xf numFmtId="4" fontId="12" fillId="0" borderId="0" xfId="0" applyNumberFormat="1" applyFont="1"/>
    <xf numFmtId="168" fontId="0" fillId="0" borderId="0" xfId="0" applyNumberFormat="1"/>
    <xf numFmtId="0" fontId="9" fillId="0" borderId="41" xfId="0" applyFont="1" applyBorder="1"/>
    <xf numFmtId="168" fontId="0" fillId="0" borderId="0" xfId="1" applyNumberFormat="1" applyFont="1"/>
    <xf numFmtId="164" fontId="2" fillId="0" borderId="0" xfId="1" applyNumberFormat="1" applyFont="1"/>
    <xf numFmtId="164" fontId="19" fillId="0" borderId="0" xfId="1" applyNumberFormat="1" applyFont="1"/>
    <xf numFmtId="3" fontId="12" fillId="0" borderId="41" xfId="0" applyNumberFormat="1" applyFont="1" applyBorder="1"/>
    <xf numFmtId="168" fontId="0" fillId="0" borderId="0" xfId="3" applyNumberFormat="1" applyFont="1"/>
    <xf numFmtId="164" fontId="3" fillId="0" borderId="29" xfId="1" applyNumberFormat="1" applyFont="1" applyBorder="1" applyAlignment="1">
      <alignment horizontal="center"/>
    </xf>
    <xf numFmtId="164" fontId="3" fillId="0" borderId="2" xfId="1" applyNumberFormat="1" applyFont="1" applyBorder="1" applyAlignment="1">
      <alignment horizontal="center"/>
    </xf>
    <xf numFmtId="164" fontId="3" fillId="0" borderId="30" xfId="1" applyNumberFormat="1" applyFont="1" applyBorder="1" applyAlignment="1">
      <alignment horizontal="center"/>
    </xf>
    <xf numFmtId="164" fontId="3" fillId="0" borderId="37" xfId="1" applyNumberFormat="1" applyFont="1" applyBorder="1" applyAlignment="1">
      <alignment horizontal="center"/>
    </xf>
    <xf numFmtId="164" fontId="3" fillId="0" borderId="5" xfId="1" applyNumberFormat="1" applyFont="1" applyBorder="1" applyAlignment="1">
      <alignment horizontal="center"/>
    </xf>
    <xf numFmtId="164" fontId="3" fillId="0" borderId="38" xfId="1" applyNumberFormat="1" applyFont="1" applyBorder="1" applyAlignment="1">
      <alignment horizontal="center"/>
    </xf>
    <xf numFmtId="164" fontId="0" fillId="0" borderId="0" xfId="1" applyNumberFormat="1" applyFont="1" applyAlignment="1">
      <alignment wrapText="1"/>
    </xf>
    <xf numFmtId="0" fontId="0" fillId="0" borderId="5" xfId="0" applyBorder="1" applyAlignment="1">
      <alignment horizontal="right"/>
    </xf>
    <xf numFmtId="4" fontId="0" fillId="0" borderId="23" xfId="0" applyNumberFormat="1" applyBorder="1"/>
    <xf numFmtId="164" fontId="0" fillId="0" borderId="31" xfId="1" applyNumberFormat="1" applyFont="1" applyBorder="1"/>
    <xf numFmtId="0" fontId="0" fillId="0" borderId="29" xfId="0" applyBorder="1"/>
    <xf numFmtId="164" fontId="1" fillId="0" borderId="31" xfId="1" applyNumberFormat="1" applyBorder="1"/>
    <xf numFmtId="164" fontId="1" fillId="0" borderId="32" xfId="1" applyNumberFormat="1" applyBorder="1"/>
    <xf numFmtId="164" fontId="1" fillId="0" borderId="36" xfId="1" applyNumberFormat="1" applyBorder="1"/>
    <xf numFmtId="168" fontId="0" fillId="0" borderId="19" xfId="3" applyNumberFormat="1" applyFont="1" applyBorder="1"/>
    <xf numFmtId="0" fontId="21" fillId="0" borderId="0" xfId="0" applyFont="1"/>
    <xf numFmtId="3" fontId="21" fillId="0" borderId="0" xfId="0" applyNumberFormat="1" applyFont="1"/>
    <xf numFmtId="164" fontId="1" fillId="7" borderId="0" xfId="1" applyNumberFormat="1" applyFill="1"/>
    <xf numFmtId="164" fontId="2" fillId="8" borderId="23" xfId="1" applyNumberFormat="1" applyFont="1" applyFill="1" applyBorder="1"/>
    <xf numFmtId="43" fontId="0" fillId="0" borderId="0" xfId="0" applyNumberFormat="1"/>
    <xf numFmtId="168" fontId="0" fillId="0" borderId="23" xfId="1" applyNumberFormat="1" applyFont="1" applyBorder="1"/>
    <xf numFmtId="168" fontId="0" fillId="0" borderId="25" xfId="1" applyNumberFormat="1" applyFont="1" applyBorder="1"/>
    <xf numFmtId="0" fontId="9" fillId="0" borderId="0" xfId="0" applyFont="1" applyAlignment="1">
      <alignment horizontal="left"/>
    </xf>
    <xf numFmtId="0" fontId="3" fillId="7" borderId="0" xfId="0" applyFont="1" applyFill="1"/>
    <xf numFmtId="164" fontId="1" fillId="7" borderId="9" xfId="1" applyNumberFormat="1" applyFill="1" applyBorder="1"/>
    <xf numFmtId="164" fontId="12" fillId="0" borderId="9" xfId="1" applyNumberFormat="1" applyFont="1" applyBorder="1"/>
    <xf numFmtId="43" fontId="1" fillId="0" borderId="0" xfId="1"/>
    <xf numFmtId="43" fontId="3" fillId="0" borderId="0" xfId="1" applyFont="1" applyAlignment="1">
      <alignment horizontal="center"/>
    </xf>
    <xf numFmtId="10" fontId="0" fillId="0" borderId="0" xfId="0" applyNumberFormat="1"/>
    <xf numFmtId="3" fontId="12" fillId="0" borderId="17" xfId="0" applyNumberFormat="1" applyFont="1" applyBorder="1"/>
    <xf numFmtId="4" fontId="13" fillId="0" borderId="0" xfId="0" applyNumberFormat="1" applyFont="1" applyAlignment="1">
      <alignment horizontal="center"/>
    </xf>
    <xf numFmtId="3" fontId="0" fillId="0" borderId="17" xfId="0" applyNumberFormat="1" applyBorder="1"/>
    <xf numFmtId="3" fontId="0" fillId="0" borderId="17" xfId="1" applyNumberFormat="1" applyFont="1" applyBorder="1"/>
    <xf numFmtId="0" fontId="3" fillId="0" borderId="5" xfId="0" applyFont="1" applyBorder="1" applyAlignment="1">
      <alignment horizontal="right"/>
    </xf>
    <xf numFmtId="1" fontId="0" fillId="0" borderId="0" xfId="1" applyNumberFormat="1" applyFont="1"/>
    <xf numFmtId="1" fontId="0" fillId="0" borderId="0" xfId="0" applyNumberFormat="1"/>
    <xf numFmtId="43" fontId="12" fillId="0" borderId="0" xfId="1" applyFont="1"/>
    <xf numFmtId="10" fontId="3" fillId="0" borderId="0" xfId="3" applyNumberFormat="1" applyFont="1" applyAlignment="1">
      <alignment horizontal="center"/>
    </xf>
    <xf numFmtId="164" fontId="3" fillId="0" borderId="37" xfId="1" applyNumberFormat="1" applyFont="1" applyBorder="1"/>
    <xf numFmtId="164" fontId="3" fillId="0" borderId="38" xfId="1" applyNumberFormat="1" applyFont="1" applyBorder="1"/>
    <xf numFmtId="9" fontId="3" fillId="0" borderId="2" xfId="0" applyNumberFormat="1" applyFont="1" applyBorder="1"/>
    <xf numFmtId="10" fontId="3" fillId="0" borderId="0" xfId="0" applyNumberFormat="1" applyFont="1" applyAlignment="1">
      <alignment horizontal="center"/>
    </xf>
    <xf numFmtId="10" fontId="0" fillId="0" borderId="5" xfId="0" applyNumberFormat="1" applyBorder="1"/>
    <xf numFmtId="10" fontId="3" fillId="0" borderId="5" xfId="0" applyNumberFormat="1" applyFont="1" applyBorder="1"/>
    <xf numFmtId="10" fontId="0" fillId="0" borderId="2" xfId="0" applyNumberFormat="1" applyBorder="1"/>
    <xf numFmtId="10" fontId="12" fillId="0" borderId="0" xfId="1" applyNumberFormat="1" applyFont="1"/>
    <xf numFmtId="9" fontId="1" fillId="0" borderId="0" xfId="3"/>
    <xf numFmtId="9" fontId="1" fillId="0" borderId="0" xfId="2" applyNumberFormat="1"/>
    <xf numFmtId="10" fontId="3" fillId="0" borderId="0" xfId="3" applyNumberFormat="1" applyFont="1"/>
    <xf numFmtId="164" fontId="1" fillId="0" borderId="0" xfId="1" applyNumberFormat="1" applyAlignment="1">
      <alignment horizontal="center"/>
    </xf>
    <xf numFmtId="0" fontId="0" fillId="0" borderId="0" xfId="0" quotePrefix="1" applyAlignment="1">
      <alignment horizontal="right"/>
    </xf>
    <xf numFmtId="10" fontId="0" fillId="0" borderId="0" xfId="0" applyNumberFormat="1" applyAlignment="1">
      <alignment horizontal="center"/>
    </xf>
    <xf numFmtId="164" fontId="0" fillId="7" borderId="9" xfId="1" applyNumberFormat="1" applyFont="1" applyFill="1" applyBorder="1"/>
    <xf numFmtId="0" fontId="0" fillId="0" borderId="0" xfId="0" applyAlignment="1">
      <alignment wrapText="1"/>
    </xf>
    <xf numFmtId="0" fontId="3" fillId="0" borderId="9" xfId="0" applyFont="1" applyBorder="1" applyAlignment="1">
      <alignment horizontal="center"/>
    </xf>
    <xf numFmtId="0" fontId="5" fillId="0" borderId="0" xfId="8"/>
    <xf numFmtId="43" fontId="0" fillId="0" borderId="0" xfId="6" applyFont="1"/>
    <xf numFmtId="0" fontId="5" fillId="0" borderId="18" xfId="8" applyBorder="1"/>
    <xf numFmtId="0" fontId="5" fillId="0" borderId="19" xfId="8" applyBorder="1"/>
    <xf numFmtId="0" fontId="5" fillId="0" borderId="20" xfId="8" applyBorder="1"/>
    <xf numFmtId="0" fontId="5" fillId="0" borderId="2" xfId="8" applyBorder="1"/>
    <xf numFmtId="10" fontId="5" fillId="0" borderId="0" xfId="8" applyNumberFormat="1"/>
    <xf numFmtId="0" fontId="5" fillId="9" borderId="0" xfId="8" applyFill="1"/>
    <xf numFmtId="0" fontId="33" fillId="0" borderId="0" xfId="8" applyFont="1" applyAlignment="1">
      <alignment horizontal="right"/>
    </xf>
    <xf numFmtId="164" fontId="0" fillId="0" borderId="0" xfId="6" applyNumberFormat="1" applyFont="1"/>
    <xf numFmtId="168" fontId="5" fillId="0" borderId="0" xfId="8" applyNumberFormat="1"/>
    <xf numFmtId="0" fontId="33" fillId="0" borderId="0" xfId="8" applyFont="1"/>
    <xf numFmtId="43" fontId="5" fillId="0" borderId="0" xfId="8" applyNumberFormat="1"/>
    <xf numFmtId="0" fontId="5" fillId="0" borderId="5" xfId="8" applyBorder="1"/>
    <xf numFmtId="164" fontId="0" fillId="0" borderId="5" xfId="6" applyNumberFormat="1" applyFont="1" applyBorder="1"/>
    <xf numFmtId="164" fontId="5" fillId="17" borderId="5" xfId="8" applyNumberFormat="1" applyFill="1" applyBorder="1"/>
    <xf numFmtId="164" fontId="5" fillId="0" borderId="5" xfId="8" applyNumberFormat="1" applyBorder="1"/>
    <xf numFmtId="164" fontId="0" fillId="17" borderId="5" xfId="6" applyNumberFormat="1" applyFont="1" applyFill="1" applyBorder="1"/>
    <xf numFmtId="164" fontId="5" fillId="9" borderId="0" xfId="1" applyNumberFormat="1" applyFont="1" applyFill="1"/>
    <xf numFmtId="164" fontId="0" fillId="6" borderId="0" xfId="6" applyNumberFormat="1" applyFont="1" applyFill="1"/>
    <xf numFmtId="0" fontId="5" fillId="0" borderId="0" xfId="8" quotePrefix="1"/>
    <xf numFmtId="164" fontId="34" fillId="0" borderId="0" xfId="6" applyNumberFormat="1" applyFont="1"/>
    <xf numFmtId="0" fontId="5" fillId="0" borderId="25" xfId="8" applyBorder="1"/>
    <xf numFmtId="164" fontId="0" fillId="0" borderId="23" xfId="6" applyNumberFormat="1" applyFont="1" applyBorder="1"/>
    <xf numFmtId="164" fontId="0" fillId="0" borderId="25" xfId="6" applyNumberFormat="1" applyFont="1" applyBorder="1"/>
    <xf numFmtId="0" fontId="5" fillId="0" borderId="23" xfId="8" applyBorder="1"/>
    <xf numFmtId="43" fontId="0" fillId="0" borderId="23" xfId="6" applyFont="1" applyBorder="1"/>
    <xf numFmtId="43" fontId="5" fillId="0" borderId="23" xfId="8" applyNumberFormat="1" applyBorder="1"/>
    <xf numFmtId="0" fontId="5" fillId="9" borderId="25" xfId="8" applyFill="1" applyBorder="1"/>
    <xf numFmtId="164" fontId="5" fillId="17" borderId="38" xfId="8" applyNumberFormat="1" applyFill="1" applyBorder="1"/>
    <xf numFmtId="0" fontId="5" fillId="9" borderId="23" xfId="8" applyFill="1" applyBorder="1"/>
    <xf numFmtId="164" fontId="0" fillId="17" borderId="32" xfId="6" applyNumberFormat="1" applyFont="1" applyFill="1" applyBorder="1"/>
    <xf numFmtId="164" fontId="0" fillId="17" borderId="31" xfId="6" applyNumberFormat="1" applyFont="1" applyFill="1" applyBorder="1"/>
    <xf numFmtId="0" fontId="5" fillId="12" borderId="0" xfId="8" applyFill="1"/>
    <xf numFmtId="0" fontId="5" fillId="9" borderId="19" xfId="8" applyFill="1" applyBorder="1"/>
    <xf numFmtId="0" fontId="5" fillId="9" borderId="20" xfId="8" applyFill="1" applyBorder="1"/>
    <xf numFmtId="3" fontId="12" fillId="0" borderId="10" xfId="0" applyNumberFormat="1" applyFont="1" applyBorder="1"/>
    <xf numFmtId="164" fontId="12" fillId="0" borderId="17" xfId="1" applyNumberFormat="1" applyFont="1" applyBorder="1"/>
    <xf numFmtId="1" fontId="0" fillId="0" borderId="17" xfId="0" applyNumberFormat="1" applyBorder="1"/>
    <xf numFmtId="0" fontId="23" fillId="0" borderId="17" xfId="0" applyFont="1" applyBorder="1"/>
    <xf numFmtId="4" fontId="12" fillId="0" borderId="17" xfId="0" applyNumberFormat="1" applyFont="1" applyBorder="1"/>
    <xf numFmtId="9" fontId="5" fillId="0" borderId="0" xfId="8" applyNumberFormat="1"/>
    <xf numFmtId="43" fontId="5" fillId="0" borderId="0" xfId="1" applyFont="1"/>
    <xf numFmtId="3" fontId="0" fillId="15" borderId="0" xfId="0" applyNumberFormat="1" applyFill="1"/>
    <xf numFmtId="3" fontId="21" fillId="15" borderId="0" xfId="0" applyNumberFormat="1" applyFont="1" applyFill="1"/>
    <xf numFmtId="0" fontId="14" fillId="0" borderId="0" xfId="0" quotePrefix="1" applyFont="1" applyAlignment="1">
      <alignment wrapText="1"/>
    </xf>
    <xf numFmtId="0" fontId="14" fillId="0" borderId="0" xfId="0" quotePrefix="1" applyFont="1"/>
    <xf numFmtId="0" fontId="36" fillId="0" borderId="0" xfId="8" applyFont="1"/>
    <xf numFmtId="0" fontId="35" fillId="0" borderId="0" xfId="8" applyFont="1"/>
    <xf numFmtId="0" fontId="37" fillId="0" borderId="0" xfId="8" applyFont="1" applyAlignment="1">
      <alignment horizontal="right"/>
    </xf>
    <xf numFmtId="0" fontId="37" fillId="0" borderId="0" xfId="8" applyFont="1"/>
    <xf numFmtId="0" fontId="37" fillId="0" borderId="0" xfId="8" applyFont="1" applyAlignment="1">
      <alignment horizontal="center"/>
    </xf>
    <xf numFmtId="0" fontId="35" fillId="0" borderId="18" xfId="8" applyFont="1" applyBorder="1"/>
    <xf numFmtId="0" fontId="35" fillId="0" borderId="23" xfId="8" applyFont="1" applyBorder="1"/>
    <xf numFmtId="0" fontId="35" fillId="0" borderId="21" xfId="8" applyFont="1" applyBorder="1"/>
    <xf numFmtId="0" fontId="35" fillId="0" borderId="2" xfId="8" applyFont="1" applyBorder="1"/>
    <xf numFmtId="164" fontId="35" fillId="0" borderId="2" xfId="1" applyNumberFormat="1" applyFont="1" applyBorder="1"/>
    <xf numFmtId="164" fontId="35" fillId="0" borderId="0" xfId="1" applyNumberFormat="1" applyFont="1"/>
    <xf numFmtId="0" fontId="35" fillId="0" borderId="15" xfId="8" applyFont="1" applyBorder="1"/>
    <xf numFmtId="164" fontId="35" fillId="0" borderId="15" xfId="1" applyNumberFormat="1" applyFont="1" applyBorder="1"/>
    <xf numFmtId="169" fontId="0" fillId="0" borderId="0" xfId="0" applyNumberFormat="1"/>
    <xf numFmtId="169" fontId="3" fillId="0" borderId="0" xfId="0" applyNumberFormat="1" applyFont="1"/>
    <xf numFmtId="164" fontId="5" fillId="0" borderId="0" xfId="8" applyNumberFormat="1"/>
    <xf numFmtId="165" fontId="3" fillId="0" borderId="5" xfId="0" applyNumberFormat="1" applyFont="1" applyBorder="1"/>
    <xf numFmtId="9" fontId="0" fillId="0" borderId="23" xfId="3" applyFont="1" applyBorder="1"/>
    <xf numFmtId="164" fontId="3" fillId="0" borderId="23" xfId="0" applyNumberFormat="1" applyFont="1" applyBorder="1"/>
    <xf numFmtId="3" fontId="3" fillId="0" borderId="4" xfId="0" applyNumberFormat="1" applyFont="1" applyBorder="1"/>
    <xf numFmtId="164" fontId="12" fillId="0" borderId="52" xfId="1" applyNumberFormat="1" applyFont="1" applyBorder="1"/>
    <xf numFmtId="3" fontId="3" fillId="0" borderId="48" xfId="0" applyNumberFormat="1" applyFont="1" applyBorder="1"/>
    <xf numFmtId="3" fontId="3" fillId="0" borderId="53" xfId="0" applyNumberFormat="1" applyFont="1" applyBorder="1"/>
    <xf numFmtId="3" fontId="3" fillId="0" borderId="54" xfId="0" applyNumberFormat="1" applyFont="1" applyBorder="1"/>
    <xf numFmtId="3" fontId="12" fillId="0" borderId="4" xfId="0" applyNumberFormat="1" applyFont="1" applyBorder="1"/>
    <xf numFmtId="3" fontId="12" fillId="0" borderId="49" xfId="0" applyNumberFormat="1" applyFont="1" applyBorder="1"/>
    <xf numFmtId="3" fontId="12" fillId="0" borderId="52" xfId="0" applyNumberFormat="1" applyFont="1" applyBorder="1"/>
    <xf numFmtId="0" fontId="33" fillId="0" borderId="0" xfId="8" applyFont="1" applyAlignment="1">
      <alignment horizontal="center"/>
    </xf>
    <xf numFmtId="164" fontId="12" fillId="0" borderId="55" xfId="1" applyNumberFormat="1" applyFont="1" applyBorder="1"/>
    <xf numFmtId="164" fontId="12" fillId="0" borderId="56" xfId="1" applyNumberFormat="1" applyFont="1" applyBorder="1"/>
    <xf numFmtId="165" fontId="0" fillId="0" borderId="7" xfId="2" applyNumberFormat="1" applyFont="1" applyBorder="1"/>
    <xf numFmtId="11" fontId="18" fillId="0" borderId="0" xfId="0" applyNumberFormat="1" applyFont="1" applyAlignment="1">
      <alignment horizontal="center"/>
    </xf>
    <xf numFmtId="14" fontId="5" fillId="0" borderId="0" xfId="8" applyNumberFormat="1"/>
    <xf numFmtId="164" fontId="26" fillId="0" borderId="23" xfId="0" applyNumberFormat="1" applyFont="1" applyBorder="1"/>
    <xf numFmtId="164" fontId="26" fillId="0" borderId="25" xfId="0" applyNumberFormat="1" applyFont="1" applyBorder="1"/>
    <xf numFmtId="0" fontId="0" fillId="15" borderId="0" xfId="0" applyFill="1"/>
    <xf numFmtId="165" fontId="3" fillId="0" borderId="0" xfId="0" applyNumberFormat="1" applyFont="1"/>
    <xf numFmtId="9" fontId="3" fillId="0" borderId="0" xfId="0" applyNumberFormat="1" applyFont="1"/>
    <xf numFmtId="14" fontId="3" fillId="0" borderId="0" xfId="0" applyNumberFormat="1" applyFont="1"/>
    <xf numFmtId="9" fontId="3" fillId="0" borderId="0" xfId="0" applyNumberFormat="1" applyFont="1" applyAlignment="1">
      <alignment horizontal="right"/>
    </xf>
    <xf numFmtId="164" fontId="3" fillId="0" borderId="15" xfId="1" applyNumberFormat="1" applyFont="1" applyBorder="1"/>
    <xf numFmtId="164" fontId="3" fillId="0" borderId="15" xfId="0" applyNumberFormat="1" applyFont="1" applyBorder="1"/>
    <xf numFmtId="10" fontId="5" fillId="0" borderId="5" xfId="8" applyNumberFormat="1" applyBorder="1"/>
    <xf numFmtId="10" fontId="0" fillId="0" borderId="15" xfId="0" applyNumberFormat="1" applyBorder="1"/>
    <xf numFmtId="4" fontId="5" fillId="0" borderId="0" xfId="8" applyNumberFormat="1"/>
    <xf numFmtId="14" fontId="0" fillId="0" borderId="0" xfId="0" applyNumberFormat="1" applyAlignment="1">
      <alignment horizontal="center"/>
    </xf>
    <xf numFmtId="0" fontId="0" fillId="13" borderId="5" xfId="0" applyFill="1" applyBorder="1"/>
    <xf numFmtId="10" fontId="0" fillId="13" borderId="5" xfId="0" applyNumberFormat="1" applyFill="1" applyBorder="1"/>
    <xf numFmtId="164" fontId="5" fillId="17" borderId="0" xfId="8" applyNumberFormat="1" applyFill="1"/>
    <xf numFmtId="164" fontId="0" fillId="0" borderId="33" xfId="1" applyNumberFormat="1" applyFont="1" applyBorder="1"/>
    <xf numFmtId="164" fontId="1" fillId="0" borderId="33" xfId="1" applyNumberFormat="1" applyBorder="1"/>
    <xf numFmtId="164" fontId="12" fillId="0" borderId="33" xfId="1" applyNumberFormat="1" applyFont="1" applyBorder="1"/>
    <xf numFmtId="164" fontId="3" fillId="0" borderId="33" xfId="1" applyNumberFormat="1" applyFont="1" applyBorder="1"/>
    <xf numFmtId="164" fontId="2" fillId="8" borderId="24" xfId="1" applyNumberFormat="1" applyFont="1" applyFill="1" applyBorder="1"/>
    <xf numFmtId="164" fontId="0" fillId="9" borderId="15" xfId="6" applyNumberFormat="1" applyFont="1" applyFill="1" applyBorder="1"/>
    <xf numFmtId="0" fontId="5" fillId="9" borderId="15" xfId="8" applyFill="1" applyBorder="1"/>
    <xf numFmtId="164" fontId="5" fillId="0" borderId="2" xfId="8" applyNumberFormat="1" applyBorder="1"/>
    <xf numFmtId="0" fontId="0" fillId="18" borderId="0" xfId="0" applyFill="1"/>
    <xf numFmtId="164" fontId="1" fillId="0" borderId="24" xfId="1" applyNumberFormat="1" applyBorder="1" applyAlignment="1">
      <alignment horizontal="center"/>
    </xf>
    <xf numFmtId="164" fontId="1" fillId="0" borderId="15" xfId="1" applyNumberFormat="1" applyBorder="1" applyAlignment="1">
      <alignment horizontal="center"/>
    </xf>
    <xf numFmtId="10" fontId="1" fillId="0" borderId="0" xfId="3" applyNumberFormat="1" applyAlignment="1">
      <alignment horizontal="center"/>
    </xf>
    <xf numFmtId="164" fontId="1" fillId="0" borderId="26" xfId="1" applyNumberFormat="1" applyBorder="1" applyAlignment="1">
      <alignment horizontal="center"/>
    </xf>
    <xf numFmtId="164" fontId="13" fillId="0" borderId="23" xfId="1" applyNumberFormat="1" applyFont="1" applyBorder="1"/>
    <xf numFmtId="164" fontId="13" fillId="0" borderId="25" xfId="1" applyNumberFormat="1" applyFont="1" applyBorder="1"/>
    <xf numFmtId="0" fontId="42" fillId="0" borderId="0" xfId="8" applyFont="1"/>
    <xf numFmtId="3" fontId="5" fillId="0" borderId="0" xfId="8" applyNumberFormat="1"/>
    <xf numFmtId="14" fontId="5" fillId="0" borderId="2" xfId="8" applyNumberFormat="1" applyBorder="1"/>
    <xf numFmtId="3" fontId="5" fillId="0" borderId="2" xfId="8" applyNumberFormat="1" applyBorder="1"/>
    <xf numFmtId="0" fontId="5" fillId="0" borderId="58" xfId="8" applyBorder="1"/>
    <xf numFmtId="0" fontId="5" fillId="0" borderId="58" xfId="8" applyBorder="1" applyAlignment="1">
      <alignment horizontal="centerContinuous"/>
    </xf>
    <xf numFmtId="170" fontId="5" fillId="0" borderId="0" xfId="8" applyNumberFormat="1"/>
    <xf numFmtId="0" fontId="33" fillId="0" borderId="0" xfId="8" applyFont="1" applyAlignment="1">
      <alignment horizontal="left"/>
    </xf>
    <xf numFmtId="171" fontId="5" fillId="0" borderId="0" xfId="8" applyNumberFormat="1"/>
    <xf numFmtId="0" fontId="43" fillId="0" borderId="58" xfId="8" applyFont="1" applyBorder="1" applyAlignment="1">
      <alignment horizontal="centerContinuous"/>
    </xf>
    <xf numFmtId="0" fontId="41" fillId="0" borderId="0" xfId="19"/>
    <xf numFmtId="14" fontId="0" fillId="0" borderId="0" xfId="1" applyNumberFormat="1" applyFont="1"/>
    <xf numFmtId="0" fontId="5" fillId="0" borderId="0" xfId="8" applyAlignment="1">
      <alignment horizontal="right"/>
    </xf>
    <xf numFmtId="10" fontId="1" fillId="0" borderId="0" xfId="1" applyNumberFormat="1"/>
    <xf numFmtId="10" fontId="1" fillId="0" borderId="23" xfId="1" applyNumberFormat="1" applyBorder="1"/>
    <xf numFmtId="10" fontId="1" fillId="0" borderId="25" xfId="1" applyNumberFormat="1" applyBorder="1"/>
    <xf numFmtId="14" fontId="0" fillId="0" borderId="18" xfId="0" applyNumberFormat="1" applyBorder="1"/>
    <xf numFmtId="14" fontId="0" fillId="0" borderId="20" xfId="0" applyNumberFormat="1" applyBorder="1"/>
    <xf numFmtId="164" fontId="3" fillId="0" borderId="25" xfId="0" applyNumberFormat="1" applyFont="1" applyBorder="1"/>
    <xf numFmtId="164" fontId="0" fillId="0" borderId="23" xfId="0" applyNumberFormat="1" applyBorder="1"/>
    <xf numFmtId="164" fontId="0" fillId="0" borderId="25" xfId="0" applyNumberFormat="1" applyBorder="1"/>
    <xf numFmtId="14" fontId="0" fillId="0" borderId="23" xfId="0" applyNumberFormat="1" applyBorder="1"/>
    <xf numFmtId="14" fontId="0" fillId="0" borderId="25" xfId="0" applyNumberFormat="1" applyBorder="1"/>
    <xf numFmtId="164" fontId="3" fillId="0" borderId="24" xfId="1" applyNumberFormat="1" applyFont="1" applyBorder="1"/>
    <xf numFmtId="164" fontId="3" fillId="0" borderId="24" xfId="0" applyNumberFormat="1" applyFont="1" applyBorder="1"/>
    <xf numFmtId="14" fontId="0" fillId="0" borderId="19" xfId="0" applyNumberFormat="1" applyBorder="1"/>
    <xf numFmtId="164" fontId="0" fillId="0" borderId="30" xfId="0" applyNumberFormat="1" applyBorder="1"/>
    <xf numFmtId="164" fontId="0" fillId="0" borderId="29" xfId="0" applyNumberFormat="1" applyBorder="1"/>
    <xf numFmtId="14" fontId="0" fillId="0" borderId="18" xfId="0" applyNumberFormat="1" applyBorder="1" applyAlignment="1">
      <alignment horizontal="center"/>
    </xf>
    <xf numFmtId="14" fontId="0" fillId="0" borderId="19" xfId="0" applyNumberFormat="1" applyBorder="1" applyAlignment="1">
      <alignment horizontal="center"/>
    </xf>
    <xf numFmtId="165" fontId="3" fillId="0" borderId="37" xfId="0" applyNumberFormat="1" applyFont="1" applyBorder="1"/>
    <xf numFmtId="165" fontId="3" fillId="0" borderId="23" xfId="0" applyNumberFormat="1" applyFont="1" applyBorder="1"/>
    <xf numFmtId="14" fontId="0" fillId="0" borderId="20" xfId="0" applyNumberFormat="1" applyBorder="1" applyAlignment="1">
      <alignment horizontal="center"/>
    </xf>
    <xf numFmtId="165" fontId="3" fillId="0" borderId="38" xfId="0" applyNumberFormat="1" applyFont="1" applyBorder="1"/>
    <xf numFmtId="165" fontId="3" fillId="0" borderId="25" xfId="0" applyNumberFormat="1" applyFont="1" applyBorder="1"/>
    <xf numFmtId="164" fontId="0" fillId="9" borderId="0" xfId="1" applyNumberFormat="1" applyFont="1" applyFill="1"/>
    <xf numFmtId="43" fontId="0" fillId="0" borderId="23" xfId="1" applyFont="1" applyBorder="1"/>
    <xf numFmtId="43" fontId="0" fillId="0" borderId="25" xfId="1" applyFont="1" applyBorder="1"/>
    <xf numFmtId="164" fontId="3" fillId="0" borderId="59" xfId="1" applyNumberFormat="1" applyFont="1" applyBorder="1"/>
    <xf numFmtId="14" fontId="0" fillId="0" borderId="33" xfId="0" applyNumberFormat="1" applyBorder="1"/>
    <xf numFmtId="164" fontId="0" fillId="0" borderId="45" xfId="1" applyNumberFormat="1" applyFont="1" applyBorder="1"/>
    <xf numFmtId="165" fontId="0" fillId="0" borderId="33" xfId="2" applyNumberFormat="1" applyFont="1" applyBorder="1"/>
    <xf numFmtId="164" fontId="0" fillId="0" borderId="47" xfId="1" applyNumberFormat="1" applyFont="1" applyBorder="1"/>
    <xf numFmtId="164" fontId="3" fillId="0" borderId="42" xfId="1" applyNumberFormat="1" applyFont="1" applyBorder="1"/>
    <xf numFmtId="164" fontId="3" fillId="0" borderId="45" xfId="1" applyNumberFormat="1" applyFont="1" applyBorder="1"/>
    <xf numFmtId="43" fontId="3" fillId="0" borderId="16" xfId="1" applyFont="1" applyBorder="1" applyAlignment="1">
      <alignment horizontal="center"/>
    </xf>
    <xf numFmtId="164" fontId="1" fillId="0" borderId="46" xfId="1" applyNumberFormat="1" applyBorder="1" applyAlignment="1">
      <alignment horizontal="center"/>
    </xf>
    <xf numFmtId="0" fontId="0" fillId="0" borderId="23" xfId="0" applyBorder="1" applyAlignment="1">
      <alignment horizontal="left"/>
    </xf>
    <xf numFmtId="14" fontId="0" fillId="0" borderId="44" xfId="0" applyNumberFormat="1" applyBorder="1" applyAlignment="1">
      <alignment horizontal="center"/>
    </xf>
    <xf numFmtId="0" fontId="0" fillId="0" borderId="33" xfId="0" applyBorder="1" applyAlignment="1">
      <alignment horizontal="center"/>
    </xf>
    <xf numFmtId="165" fontId="3" fillId="0" borderId="47" xfId="0" applyNumberFormat="1" applyFont="1" applyBorder="1"/>
    <xf numFmtId="165" fontId="3" fillId="0" borderId="33" xfId="0" applyNumberFormat="1" applyFont="1" applyBorder="1"/>
    <xf numFmtId="164" fontId="3" fillId="0" borderId="47" xfId="1" applyNumberFormat="1" applyFont="1" applyBorder="1"/>
    <xf numFmtId="164" fontId="1" fillId="0" borderId="45" xfId="1" applyNumberFormat="1" applyBorder="1"/>
    <xf numFmtId="164" fontId="1" fillId="0" borderId="42" xfId="1" applyNumberFormat="1" applyBorder="1"/>
    <xf numFmtId="164" fontId="13" fillId="0" borderId="45" xfId="1" applyNumberFormat="1" applyFont="1" applyBorder="1"/>
    <xf numFmtId="164" fontId="13" fillId="0" borderId="33" xfId="1" applyNumberFormat="1" applyFont="1" applyBorder="1"/>
    <xf numFmtId="9" fontId="0" fillId="0" borderId="33" xfId="3" applyFont="1" applyBorder="1"/>
    <xf numFmtId="10" fontId="1" fillId="0" borderId="33" xfId="1" applyNumberFormat="1" applyBorder="1"/>
    <xf numFmtId="168" fontId="0" fillId="0" borderId="33" xfId="1" applyNumberFormat="1" applyFont="1" applyBorder="1"/>
    <xf numFmtId="14" fontId="0" fillId="0" borderId="44" xfId="0" applyNumberFormat="1" applyBorder="1"/>
    <xf numFmtId="164" fontId="3" fillId="0" borderId="33" xfId="0" applyNumberFormat="1" applyFont="1" applyBorder="1"/>
    <xf numFmtId="0" fontId="0" fillId="0" borderId="33" xfId="0" applyBorder="1"/>
    <xf numFmtId="164" fontId="0" fillId="0" borderId="33" xfId="0" applyNumberFormat="1" applyBorder="1"/>
    <xf numFmtId="164" fontId="0" fillId="0" borderId="45" xfId="0" applyNumberFormat="1" applyBorder="1"/>
    <xf numFmtId="164" fontId="12" fillId="9" borderId="0" xfId="1" applyNumberFormat="1" applyFont="1" applyFill="1"/>
    <xf numFmtId="164" fontId="3" fillId="0" borderId="0" xfId="0" applyNumberFormat="1" applyFont="1" applyAlignment="1">
      <alignment horizontal="center"/>
    </xf>
    <xf numFmtId="164" fontId="2" fillId="0" borderId="9" xfId="1" applyNumberFormat="1" applyFont="1" applyBorder="1"/>
    <xf numFmtId="3" fontId="12" fillId="0" borderId="60" xfId="0" applyNumberFormat="1" applyFont="1" applyBorder="1"/>
    <xf numFmtId="3" fontId="12" fillId="0" borderId="61" xfId="0" applyNumberFormat="1" applyFont="1" applyBorder="1"/>
    <xf numFmtId="3" fontId="12" fillId="0" borderId="14" xfId="0" applyNumberFormat="1" applyFont="1" applyBorder="1"/>
    <xf numFmtId="44" fontId="0" fillId="0" borderId="49" xfId="2" applyFont="1" applyBorder="1" applyAlignment="1">
      <alignment horizontal="right" vertical="top" wrapText="1"/>
    </xf>
    <xf numFmtId="164" fontId="39" fillId="0" borderId="49" xfId="1" applyNumberFormat="1" applyFont="1" applyBorder="1" applyAlignment="1">
      <alignment horizontal="right" vertical="top" wrapText="1"/>
    </xf>
    <xf numFmtId="44" fontId="0" fillId="0" borderId="51" xfId="2" applyFont="1" applyBorder="1" applyAlignment="1">
      <alignment horizontal="right" vertical="top" wrapText="1"/>
    </xf>
    <xf numFmtId="164" fontId="12" fillId="0" borderId="47" xfId="1" applyNumberFormat="1" applyFont="1" applyBorder="1"/>
    <xf numFmtId="3" fontId="12" fillId="0" borderId="47" xfId="0" applyNumberFormat="1" applyFont="1" applyBorder="1"/>
    <xf numFmtId="3" fontId="12" fillId="0" borderId="46" xfId="0" applyNumberFormat="1" applyFont="1" applyBorder="1"/>
    <xf numFmtId="3" fontId="3" fillId="0" borderId="42" xfId="0" applyNumberFormat="1" applyFont="1" applyBorder="1"/>
    <xf numFmtId="164" fontId="26" fillId="0" borderId="33" xfId="0" applyNumberFormat="1" applyFont="1" applyBorder="1"/>
    <xf numFmtId="43" fontId="3" fillId="0" borderId="0" xfId="1" applyFont="1" applyAlignment="1">
      <alignment horizontal="centerContinuous"/>
    </xf>
    <xf numFmtId="43" fontId="1" fillId="0" borderId="0" xfId="1" applyAlignment="1">
      <alignment horizontal="center" wrapText="1"/>
    </xf>
    <xf numFmtId="43" fontId="10" fillId="0" borderId="0" xfId="1" applyFont="1"/>
    <xf numFmtId="43" fontId="31" fillId="0" borderId="0" xfId="1" applyFont="1"/>
    <xf numFmtId="43" fontId="30" fillId="0" borderId="0" xfId="1" applyFont="1" applyAlignment="1">
      <alignment horizontal="centerContinuous"/>
    </xf>
    <xf numFmtId="0" fontId="45" fillId="0" borderId="0" xfId="0" applyFont="1" applyAlignment="1">
      <alignment horizontal="center"/>
    </xf>
    <xf numFmtId="164" fontId="12" fillId="0" borderId="0" xfId="0" applyNumberFormat="1" applyFont="1"/>
    <xf numFmtId="172" fontId="13" fillId="0" borderId="0" xfId="1" applyNumberFormat="1" applyFont="1" applyAlignment="1">
      <alignment horizontal="center"/>
    </xf>
    <xf numFmtId="0" fontId="40" fillId="0" borderId="0" xfId="0" applyFont="1"/>
    <xf numFmtId="172" fontId="12" fillId="0" borderId="0" xfId="1" applyNumberFormat="1" applyFont="1" applyAlignment="1">
      <alignment horizontal="center"/>
    </xf>
    <xf numFmtId="0" fontId="33" fillId="0" borderId="0" xfId="8" applyFont="1" applyAlignment="1">
      <alignment horizontal="centerContinuous"/>
    </xf>
    <xf numFmtId="0" fontId="5" fillId="0" borderId="0" xfId="8" applyAlignment="1">
      <alignment horizontal="center"/>
    </xf>
    <xf numFmtId="0" fontId="0" fillId="0" borderId="44" xfId="0" applyBorder="1" applyAlignment="1">
      <alignment horizontal="left"/>
    </xf>
    <xf numFmtId="164" fontId="12" fillId="0" borderId="43" xfId="1" applyNumberFormat="1" applyFont="1" applyBorder="1"/>
    <xf numFmtId="164" fontId="19" fillId="3" borderId="0" xfId="1" applyNumberFormat="1" applyFont="1" applyFill="1"/>
    <xf numFmtId="164" fontId="19" fillId="3" borderId="23" xfId="1" applyNumberFormat="1" applyFont="1" applyFill="1" applyBorder="1"/>
    <xf numFmtId="164" fontId="19" fillId="3" borderId="25" xfId="1" applyNumberFormat="1" applyFont="1" applyFill="1" applyBorder="1"/>
    <xf numFmtId="0" fontId="19" fillId="3" borderId="17" xfId="0" applyFont="1" applyFill="1" applyBorder="1" applyAlignment="1">
      <alignment vertical="top" wrapText="1"/>
    </xf>
    <xf numFmtId="0" fontId="19" fillId="3" borderId="17" xfId="0" applyFont="1" applyFill="1" applyBorder="1"/>
    <xf numFmtId="3" fontId="19" fillId="3" borderId="17" xfId="0" applyNumberFormat="1" applyFont="1" applyFill="1" applyBorder="1"/>
    <xf numFmtId="3" fontId="19" fillId="3" borderId="52" xfId="0" applyNumberFormat="1" applyFont="1" applyFill="1" applyBorder="1"/>
    <xf numFmtId="9" fontId="19" fillId="3" borderId="17" xfId="1" applyNumberFormat="1" applyFont="1" applyFill="1" applyBorder="1" applyAlignment="1">
      <alignment horizontal="center"/>
    </xf>
    <xf numFmtId="9" fontId="19" fillId="3" borderId="17" xfId="0" applyNumberFormat="1" applyFont="1" applyFill="1" applyBorder="1"/>
    <xf numFmtId="9" fontId="19" fillId="3" borderId="17" xfId="3" applyFont="1" applyFill="1" applyBorder="1"/>
    <xf numFmtId="9" fontId="19" fillId="3" borderId="17" xfId="0" applyNumberFormat="1" applyFont="1" applyFill="1" applyBorder="1" applyAlignment="1">
      <alignment horizontal="center"/>
    </xf>
    <xf numFmtId="10" fontId="19" fillId="3" borderId="35" xfId="0" applyNumberFormat="1" applyFont="1" applyFill="1" applyBorder="1"/>
    <xf numFmtId="168" fontId="19" fillId="3" borderId="35" xfId="0" applyNumberFormat="1" applyFont="1" applyFill="1" applyBorder="1"/>
    <xf numFmtId="0" fontId="19" fillId="3" borderId="35" xfId="0" applyFont="1" applyFill="1" applyBorder="1" applyAlignment="1">
      <alignment horizontal="center"/>
    </xf>
    <xf numFmtId="3" fontId="19" fillId="3" borderId="56" xfId="0" applyNumberFormat="1" applyFont="1" applyFill="1" applyBorder="1"/>
    <xf numFmtId="3" fontId="19" fillId="3" borderId="4" xfId="0" applyNumberFormat="1" applyFont="1" applyFill="1" applyBorder="1"/>
    <xf numFmtId="3" fontId="0" fillId="0" borderId="55" xfId="0" applyNumberFormat="1" applyBorder="1"/>
    <xf numFmtId="3" fontId="0" fillId="0" borderId="49" xfId="0" applyNumberFormat="1" applyBorder="1"/>
    <xf numFmtId="164" fontId="20" fillId="3" borderId="0" xfId="1" applyNumberFormat="1" applyFont="1" applyFill="1"/>
    <xf numFmtId="164" fontId="20" fillId="3" borderId="25" xfId="1" applyNumberFormat="1" applyFont="1" applyFill="1" applyBorder="1"/>
    <xf numFmtId="164" fontId="19" fillId="3" borderId="33" xfId="1" applyNumberFormat="1" applyFont="1" applyFill="1" applyBorder="1"/>
    <xf numFmtId="9" fontId="19" fillId="3" borderId="0" xfId="3" applyFont="1" applyFill="1"/>
    <xf numFmtId="9" fontId="19" fillId="3" borderId="23" xfId="3" applyFont="1" applyFill="1" applyBorder="1"/>
    <xf numFmtId="9" fontId="19" fillId="3" borderId="25" xfId="3" applyFont="1" applyFill="1" applyBorder="1"/>
    <xf numFmtId="9" fontId="19" fillId="3" borderId="33" xfId="3" applyFont="1" applyFill="1" applyBorder="1"/>
    <xf numFmtId="164" fontId="19" fillId="3" borderId="19" xfId="1" applyNumberFormat="1" applyFont="1" applyFill="1" applyBorder="1"/>
    <xf numFmtId="164" fontId="19" fillId="3" borderId="19" xfId="1" applyNumberFormat="1" applyFont="1" applyFill="1" applyBorder="1" applyAlignment="1">
      <alignment wrapText="1"/>
    </xf>
    <xf numFmtId="164" fontId="19" fillId="3" borderId="18" xfId="1" applyNumberFormat="1" applyFont="1" applyFill="1" applyBorder="1" applyAlignment="1">
      <alignment wrapText="1"/>
    </xf>
    <xf numFmtId="164" fontId="19" fillId="3" borderId="20" xfId="1" applyNumberFormat="1" applyFont="1" applyFill="1" applyBorder="1" applyAlignment="1">
      <alignment wrapText="1"/>
    </xf>
    <xf numFmtId="164" fontId="19" fillId="3" borderId="18" xfId="1" applyNumberFormat="1" applyFont="1" applyFill="1" applyBorder="1"/>
    <xf numFmtId="164" fontId="19" fillId="3" borderId="20" xfId="1" applyNumberFormat="1" applyFont="1" applyFill="1" applyBorder="1"/>
    <xf numFmtId="164" fontId="19" fillId="3" borderId="44" xfId="1" applyNumberFormat="1" applyFont="1" applyFill="1" applyBorder="1"/>
    <xf numFmtId="164" fontId="19" fillId="3" borderId="31" xfId="1" applyNumberFormat="1" applyFont="1" applyFill="1" applyBorder="1"/>
    <xf numFmtId="164" fontId="19" fillId="3" borderId="32" xfId="1" applyNumberFormat="1" applyFont="1" applyFill="1" applyBorder="1"/>
    <xf numFmtId="164" fontId="19" fillId="3" borderId="36" xfId="1" applyNumberFormat="1" applyFont="1" applyFill="1" applyBorder="1"/>
    <xf numFmtId="164" fontId="19" fillId="3" borderId="42" xfId="1" applyNumberFormat="1" applyFont="1" applyFill="1" applyBorder="1"/>
    <xf numFmtId="168" fontId="19" fillId="3" borderId="19" xfId="3" applyNumberFormat="1" applyFont="1" applyFill="1" applyBorder="1"/>
    <xf numFmtId="168" fontId="19" fillId="3" borderId="18" xfId="3" applyNumberFormat="1" applyFont="1" applyFill="1" applyBorder="1"/>
    <xf numFmtId="168" fontId="19" fillId="3" borderId="20" xfId="3" applyNumberFormat="1" applyFont="1" applyFill="1" applyBorder="1"/>
    <xf numFmtId="168" fontId="19" fillId="3" borderId="44" xfId="3" applyNumberFormat="1" applyFont="1" applyFill="1" applyBorder="1"/>
    <xf numFmtId="165" fontId="19" fillId="3" borderId="23" xfId="0" applyNumberFormat="1" applyFont="1" applyFill="1" applyBorder="1"/>
    <xf numFmtId="165" fontId="0" fillId="0" borderId="23" xfId="0" applyNumberFormat="1" applyBorder="1"/>
    <xf numFmtId="165" fontId="0" fillId="0" borderId="25" xfId="0" applyNumberFormat="1" applyBorder="1"/>
    <xf numFmtId="165" fontId="0" fillId="0" borderId="33" xfId="0" applyNumberFormat="1" applyBorder="1"/>
    <xf numFmtId="9" fontId="19" fillId="3" borderId="0" xfId="1" applyNumberFormat="1" applyFont="1" applyFill="1"/>
    <xf numFmtId="9" fontId="19" fillId="3" borderId="23" xfId="1" applyNumberFormat="1" applyFont="1" applyFill="1" applyBorder="1"/>
    <xf numFmtId="9" fontId="19" fillId="3" borderId="25" xfId="1" applyNumberFormat="1" applyFont="1" applyFill="1" applyBorder="1"/>
    <xf numFmtId="164" fontId="20" fillId="3" borderId="19" xfId="1" applyNumberFormat="1" applyFont="1" applyFill="1" applyBorder="1"/>
    <xf numFmtId="164" fontId="20" fillId="3" borderId="20" xfId="1" applyNumberFormat="1" applyFont="1" applyFill="1" applyBorder="1"/>
    <xf numFmtId="164" fontId="20" fillId="3" borderId="23" xfId="1" applyNumberFormat="1" applyFont="1" applyFill="1" applyBorder="1"/>
    <xf numFmtId="164" fontId="3" fillId="0" borderId="33" xfId="1" applyNumberFormat="1" applyFont="1" applyBorder="1" applyAlignment="1">
      <alignment horizontal="center"/>
    </xf>
    <xf numFmtId="164" fontId="20" fillId="3" borderId="23" xfId="1" applyNumberFormat="1" applyFont="1" applyFill="1" applyBorder="1" applyAlignment="1">
      <alignment horizontal="center"/>
    </xf>
    <xf numFmtId="164" fontId="20" fillId="3" borderId="0" xfId="1" applyNumberFormat="1" applyFont="1" applyFill="1" applyAlignment="1">
      <alignment horizontal="center"/>
    </xf>
    <xf numFmtId="164" fontId="20" fillId="3" borderId="25" xfId="1" applyNumberFormat="1" applyFont="1" applyFill="1" applyBorder="1" applyAlignment="1">
      <alignment horizontal="center"/>
    </xf>
    <xf numFmtId="0" fontId="33" fillId="0" borderId="0" xfId="0" applyFont="1"/>
    <xf numFmtId="164" fontId="3" fillId="0" borderId="5" xfId="0" applyNumberFormat="1" applyFont="1" applyBorder="1"/>
    <xf numFmtId="172" fontId="33" fillId="0" borderId="0" xfId="0" quotePrefix="1" applyNumberFormat="1" applyFont="1" applyAlignment="1">
      <alignment horizontal="center"/>
    </xf>
    <xf numFmtId="172" fontId="5" fillId="0" borderId="0" xfId="0" quotePrefix="1" applyNumberFormat="1" applyFont="1" applyAlignment="1">
      <alignment horizontal="center"/>
    </xf>
    <xf numFmtId="9" fontId="19" fillId="3" borderId="35" xfId="1" applyNumberFormat="1" applyFont="1" applyFill="1" applyBorder="1"/>
    <xf numFmtId="9" fontId="19" fillId="3" borderId="0" xfId="2" applyNumberFormat="1" applyFont="1" applyFill="1"/>
    <xf numFmtId="9" fontId="19" fillId="3" borderId="23" xfId="2" applyNumberFormat="1" applyFont="1" applyFill="1" applyBorder="1"/>
    <xf numFmtId="9" fontId="19" fillId="3" borderId="25" xfId="2" applyNumberFormat="1" applyFont="1" applyFill="1" applyBorder="1"/>
    <xf numFmtId="9" fontId="19" fillId="3" borderId="33" xfId="2" applyNumberFormat="1" applyFont="1" applyFill="1" applyBorder="1"/>
    <xf numFmtId="164" fontId="1" fillId="0" borderId="37" xfId="1" applyNumberFormat="1" applyBorder="1"/>
    <xf numFmtId="14" fontId="3" fillId="0" borderId="0" xfId="1" applyNumberFormat="1" applyFont="1"/>
    <xf numFmtId="43" fontId="3" fillId="0" borderId="5" xfId="0" applyNumberFormat="1" applyFont="1" applyBorder="1"/>
    <xf numFmtId="164" fontId="19" fillId="6" borderId="23" xfId="1" applyNumberFormat="1" applyFont="1" applyFill="1" applyBorder="1"/>
    <xf numFmtId="164" fontId="19" fillId="6" borderId="0" xfId="1" applyNumberFormat="1" applyFont="1" applyFill="1"/>
    <xf numFmtId="164" fontId="19" fillId="6" borderId="25" xfId="1" applyNumberFormat="1" applyFont="1" applyFill="1" applyBorder="1"/>
    <xf numFmtId="9" fontId="48" fillId="3" borderId="0" xfId="8" applyNumberFormat="1" applyFont="1" applyFill="1"/>
    <xf numFmtId="164" fontId="3" fillId="0" borderId="16" xfId="1" applyNumberFormat="1" applyFont="1" applyBorder="1" applyAlignment="1">
      <alignment horizontal="center"/>
    </xf>
    <xf numFmtId="164" fontId="49" fillId="6" borderId="0" xfId="1" applyNumberFormat="1" applyFont="1" applyFill="1"/>
    <xf numFmtId="172" fontId="13" fillId="0" borderId="2" xfId="1" applyNumberFormat="1" applyFont="1" applyBorder="1" applyAlignment="1">
      <alignment horizontal="center"/>
    </xf>
    <xf numFmtId="172" fontId="13" fillId="0" borderId="18" xfId="1" applyNumberFormat="1" applyFont="1" applyBorder="1" applyAlignment="1">
      <alignment horizontal="center"/>
    </xf>
    <xf numFmtId="172" fontId="13" fillId="0" borderId="19" xfId="1" applyNumberFormat="1" applyFont="1" applyBorder="1" applyAlignment="1">
      <alignment horizontal="center"/>
    </xf>
    <xf numFmtId="172" fontId="13" fillId="0" borderId="20" xfId="1" applyNumberFormat="1" applyFont="1" applyBorder="1" applyAlignment="1">
      <alignment horizontal="center"/>
    </xf>
    <xf numFmtId="172" fontId="13" fillId="0" borderId="44" xfId="1" applyNumberFormat="1" applyFont="1" applyBorder="1" applyAlignment="1">
      <alignment horizontal="center"/>
    </xf>
    <xf numFmtId="14" fontId="19" fillId="0" borderId="33" xfId="0" applyNumberFormat="1" applyFont="1" applyBorder="1"/>
    <xf numFmtId="14" fontId="19" fillId="3" borderId="35" xfId="1" applyNumberFormat="1" applyFont="1" applyFill="1" applyBorder="1"/>
    <xf numFmtId="0" fontId="33" fillId="0" borderId="41" xfId="0" applyFont="1" applyBorder="1"/>
    <xf numFmtId="164" fontId="1" fillId="0" borderId="23" xfId="1" applyNumberFormat="1" applyBorder="1" applyAlignment="1">
      <alignment horizontal="center"/>
    </xf>
    <xf numFmtId="164" fontId="1" fillId="0" borderId="25" xfId="1" applyNumberFormat="1" applyBorder="1" applyAlignment="1">
      <alignment horizontal="center"/>
    </xf>
    <xf numFmtId="164" fontId="1" fillId="0" borderId="33" xfId="1" applyNumberFormat="1" applyBorder="1" applyAlignment="1">
      <alignment horizontal="center"/>
    </xf>
    <xf numFmtId="14" fontId="19" fillId="3" borderId="35" xfId="0" applyNumberFormat="1" applyFont="1" applyFill="1" applyBorder="1"/>
    <xf numFmtId="0" fontId="19" fillId="3" borderId="0" xfId="0" applyFont="1" applyFill="1"/>
    <xf numFmtId="0" fontId="44" fillId="0" borderId="0" xfId="8" applyFont="1"/>
    <xf numFmtId="0" fontId="48" fillId="3" borderId="0" xfId="8" applyFont="1" applyFill="1"/>
    <xf numFmtId="164" fontId="19" fillId="3" borderId="0" xfId="6" applyNumberFormat="1" applyFont="1" applyFill="1"/>
    <xf numFmtId="168" fontId="48" fillId="3" borderId="0" xfId="8" applyNumberFormat="1" applyFont="1" applyFill="1"/>
    <xf numFmtId="14" fontId="48" fillId="3" borderId="0" xfId="8" applyNumberFormat="1" applyFont="1" applyFill="1"/>
    <xf numFmtId="164" fontId="5" fillId="0" borderId="0" xfId="1" applyNumberFormat="1" applyFont="1"/>
    <xf numFmtId="3" fontId="5" fillId="0" borderId="0" xfId="1" applyNumberFormat="1" applyFont="1"/>
    <xf numFmtId="164" fontId="48" fillId="3" borderId="0" xfId="1" applyNumberFormat="1" applyFont="1" applyFill="1"/>
    <xf numFmtId="0" fontId="0" fillId="3" borderId="0" xfId="0" applyFill="1"/>
    <xf numFmtId="0" fontId="50" fillId="0" borderId="3" xfId="0" applyFont="1" applyBorder="1" applyAlignment="1">
      <alignment horizontal="left"/>
    </xf>
    <xf numFmtId="0" fontId="33" fillId="0" borderId="41" xfId="0" applyFont="1" applyBorder="1" applyAlignment="1">
      <alignment horizontal="left"/>
    </xf>
    <xf numFmtId="173" fontId="1" fillId="0" borderId="0" xfId="1" applyNumberFormat="1"/>
    <xf numFmtId="173" fontId="0" fillId="0" borderId="0" xfId="0" applyNumberFormat="1"/>
    <xf numFmtId="173" fontId="0" fillId="0" borderId="2" xfId="0" applyNumberFormat="1" applyBorder="1"/>
    <xf numFmtId="0" fontId="50" fillId="0" borderId="0" xfId="0" applyFont="1"/>
    <xf numFmtId="0" fontId="51" fillId="0" borderId="3" xfId="0" applyFont="1" applyBorder="1"/>
    <xf numFmtId="0" fontId="52" fillId="0" borderId="0" xfId="0" applyFont="1"/>
    <xf numFmtId="0" fontId="53" fillId="0" borderId="62" xfId="0" applyFont="1" applyBorder="1" applyAlignment="1">
      <alignment horizontal="left"/>
    </xf>
    <xf numFmtId="0" fontId="54" fillId="0" borderId="41" xfId="0" applyFont="1" applyBorder="1"/>
    <xf numFmtId="173" fontId="0" fillId="0" borderId="0" xfId="15" applyNumberFormat="1" applyFont="1"/>
    <xf numFmtId="173" fontId="0" fillId="0" borderId="23" xfId="15" applyNumberFormat="1" applyFont="1" applyBorder="1" applyAlignment="1">
      <alignment horizontal="center"/>
    </xf>
    <xf numFmtId="173" fontId="0" fillId="0" borderId="0" xfId="15" applyNumberFormat="1" applyFont="1" applyAlignment="1">
      <alignment horizontal="center"/>
    </xf>
    <xf numFmtId="173" fontId="0" fillId="0" borderId="25" xfId="15" applyNumberFormat="1" applyFont="1" applyBorder="1" applyAlignment="1">
      <alignment horizontal="center"/>
    </xf>
    <xf numFmtId="173" fontId="0" fillId="0" borderId="33" xfId="15" applyNumberFormat="1" applyFont="1" applyBorder="1"/>
    <xf numFmtId="173" fontId="55" fillId="19" borderId="0" xfId="15" applyNumberFormat="1" applyFont="1" applyFill="1"/>
    <xf numFmtId="173" fontId="55" fillId="19" borderId="23" xfId="15" applyNumberFormat="1" applyFont="1" applyFill="1" applyBorder="1" applyAlignment="1">
      <alignment horizontal="center"/>
    </xf>
    <xf numFmtId="173" fontId="55" fillId="19" borderId="0" xfId="15" applyNumberFormat="1" applyFont="1" applyFill="1" applyAlignment="1">
      <alignment horizontal="center"/>
    </xf>
    <xf numFmtId="173" fontId="55" fillId="19" borderId="25" xfId="15" applyNumberFormat="1" applyFont="1" applyFill="1" applyBorder="1" applyAlignment="1">
      <alignment horizontal="center"/>
    </xf>
    <xf numFmtId="173" fontId="55" fillId="19" borderId="33" xfId="15" applyNumberFormat="1" applyFont="1" applyFill="1" applyBorder="1"/>
    <xf numFmtId="173" fontId="55" fillId="19" borderId="23" xfId="15" applyNumberFormat="1" applyFont="1" applyFill="1" applyBorder="1"/>
    <xf numFmtId="173" fontId="55" fillId="19" borderId="25" xfId="15" applyNumberFormat="1" applyFont="1" applyFill="1" applyBorder="1"/>
    <xf numFmtId="0" fontId="56" fillId="0" borderId="0" xfId="0" applyFont="1"/>
    <xf numFmtId="173" fontId="0" fillId="0" borderId="2" xfId="15" applyNumberFormat="1" applyFont="1" applyBorder="1"/>
    <xf numFmtId="173" fontId="0" fillId="0" borderId="29" xfId="15" applyNumberFormat="1" applyFont="1" applyBorder="1"/>
    <xf numFmtId="173" fontId="0" fillId="0" borderId="30" xfId="15" applyNumberFormat="1" applyFont="1" applyBorder="1"/>
    <xf numFmtId="173" fontId="0" fillId="0" borderId="45" xfId="15" applyNumberFormat="1" applyFont="1" applyBorder="1"/>
    <xf numFmtId="173" fontId="0" fillId="0" borderId="23" xfId="15" applyNumberFormat="1" applyFont="1" applyBorder="1"/>
    <xf numFmtId="173" fontId="0" fillId="0" borderId="25" xfId="15" applyNumberFormat="1" applyFont="1" applyBorder="1"/>
    <xf numFmtId="173" fontId="0" fillId="0" borderId="5" xfId="15" applyNumberFormat="1" applyFont="1" applyBorder="1"/>
    <xf numFmtId="173" fontId="0" fillId="0" borderId="37" xfId="15" applyNumberFormat="1" applyFont="1" applyBorder="1"/>
    <xf numFmtId="173" fontId="0" fillId="0" borderId="38" xfId="15" applyNumberFormat="1" applyFont="1" applyBorder="1"/>
    <xf numFmtId="173" fontId="0" fillId="0" borderId="47" xfId="15" applyNumberFormat="1" applyFont="1" applyBorder="1"/>
    <xf numFmtId="173" fontId="0" fillId="0" borderId="16" xfId="15" applyNumberFormat="1" applyFont="1" applyBorder="1"/>
    <xf numFmtId="173" fontId="55" fillId="19" borderId="19" xfId="15" applyNumberFormat="1" applyFont="1" applyFill="1" applyBorder="1"/>
    <xf numFmtId="173" fontId="55" fillId="19" borderId="18" xfId="15" applyNumberFormat="1" applyFont="1" applyFill="1" applyBorder="1"/>
    <xf numFmtId="173" fontId="55" fillId="19" borderId="20" xfId="15" applyNumberFormat="1" applyFont="1" applyFill="1" applyBorder="1"/>
    <xf numFmtId="173" fontId="56" fillId="0" borderId="5" xfId="15" applyNumberFormat="1" applyFont="1" applyBorder="1"/>
    <xf numFmtId="173" fontId="56" fillId="0" borderId="37" xfId="15" applyNumberFormat="1" applyFont="1" applyBorder="1"/>
    <xf numFmtId="173" fontId="56" fillId="0" borderId="38" xfId="15" applyNumberFormat="1" applyFont="1" applyBorder="1"/>
    <xf numFmtId="168" fontId="0" fillId="0" borderId="0" xfId="15" applyNumberFormat="1" applyFont="1"/>
    <xf numFmtId="168" fontId="0" fillId="0" borderId="16" xfId="15" applyNumberFormat="1" applyFont="1" applyBorder="1"/>
    <xf numFmtId="173" fontId="55" fillId="19" borderId="44" xfId="15" applyNumberFormat="1" applyFont="1" applyFill="1" applyBorder="1"/>
    <xf numFmtId="173" fontId="56" fillId="0" borderId="2" xfId="15" applyNumberFormat="1" applyFont="1" applyBorder="1"/>
    <xf numFmtId="173" fontId="56" fillId="0" borderId="29" xfId="15" applyNumberFormat="1" applyFont="1" applyBorder="1"/>
    <xf numFmtId="173" fontId="56" fillId="0" borderId="30" xfId="15" applyNumberFormat="1" applyFont="1" applyBorder="1"/>
    <xf numFmtId="173" fontId="56" fillId="0" borderId="45" xfId="15" applyNumberFormat="1" applyFont="1" applyBorder="1"/>
    <xf numFmtId="0" fontId="54" fillId="0" borderId="23" xfId="0" applyFont="1" applyBorder="1"/>
    <xf numFmtId="9" fontId="0" fillId="0" borderId="0" xfId="17" applyNumberFormat="1" applyFont="1"/>
    <xf numFmtId="9" fontId="0" fillId="0" borderId="23" xfId="17" applyNumberFormat="1" applyFont="1" applyBorder="1"/>
    <xf numFmtId="9" fontId="0" fillId="0" borderId="25" xfId="17" applyNumberFormat="1" applyFont="1" applyBorder="1"/>
    <xf numFmtId="9" fontId="0" fillId="0" borderId="33" xfId="17" applyNumberFormat="1" applyFont="1" applyBorder="1"/>
    <xf numFmtId="4" fontId="56" fillId="0" borderId="0" xfId="0" applyNumberFormat="1" applyFont="1"/>
    <xf numFmtId="9" fontId="55" fillId="19" borderId="0" xfId="17" applyNumberFormat="1" applyFont="1" applyFill="1"/>
    <xf numFmtId="9" fontId="55" fillId="19" borderId="23" xfId="17" applyNumberFormat="1" applyFont="1" applyFill="1" applyBorder="1"/>
    <xf numFmtId="9" fontId="55" fillId="19" borderId="25" xfId="17" applyNumberFormat="1" applyFont="1" applyFill="1" applyBorder="1"/>
    <xf numFmtId="9" fontId="55" fillId="19" borderId="33" xfId="17" applyNumberFormat="1" applyFont="1" applyFill="1" applyBorder="1"/>
    <xf numFmtId="4" fontId="55" fillId="0" borderId="0" xfId="17" applyNumberFormat="1" applyFont="1"/>
    <xf numFmtId="4" fontId="55" fillId="0" borderId="23" xfId="17" applyNumberFormat="1" applyFont="1" applyBorder="1"/>
    <xf numFmtId="4" fontId="55" fillId="0" borderId="25" xfId="17" applyNumberFormat="1" applyFont="1" applyBorder="1"/>
    <xf numFmtId="4" fontId="55" fillId="0" borderId="33" xfId="17" applyNumberFormat="1" applyFont="1" applyBorder="1"/>
    <xf numFmtId="4" fontId="57" fillId="0" borderId="29" xfId="0" applyNumberFormat="1" applyFont="1" applyBorder="1" applyAlignment="1">
      <alignment horizontal="right"/>
    </xf>
    <xf numFmtId="4" fontId="57" fillId="0" borderId="2" xfId="17" applyNumberFormat="1" applyFont="1" applyBorder="1"/>
    <xf numFmtId="4" fontId="57" fillId="0" borderId="29" xfId="17" applyNumberFormat="1" applyFont="1" applyBorder="1"/>
    <xf numFmtId="3" fontId="57" fillId="0" borderId="2" xfId="17" applyNumberFormat="1" applyFont="1" applyBorder="1"/>
    <xf numFmtId="3" fontId="57" fillId="0" borderId="30" xfId="17" applyNumberFormat="1" applyFont="1" applyBorder="1"/>
    <xf numFmtId="4" fontId="52" fillId="0" borderId="45" xfId="17" applyNumberFormat="1" applyFont="1" applyBorder="1"/>
    <xf numFmtId="4" fontId="52" fillId="0" borderId="30" xfId="17" applyNumberFormat="1" applyFont="1" applyBorder="1"/>
    <xf numFmtId="14" fontId="55" fillId="19" borderId="35" xfId="15" applyNumberFormat="1" applyFont="1" applyFill="1" applyBorder="1" applyAlignment="1">
      <alignment horizontal="center"/>
    </xf>
    <xf numFmtId="173" fontId="52" fillId="0" borderId="0" xfId="15" applyNumberFormat="1" applyFont="1"/>
    <xf numFmtId="4" fontId="0" fillId="0" borderId="23" xfId="0" applyNumberFormat="1" applyBorder="1" applyAlignment="1">
      <alignment horizontal="right"/>
    </xf>
    <xf numFmtId="173" fontId="56" fillId="0" borderId="0" xfId="15" applyNumberFormat="1" applyFont="1"/>
    <xf numFmtId="173" fontId="56" fillId="0" borderId="23" xfId="15" applyNumberFormat="1" applyFont="1" applyBorder="1"/>
    <xf numFmtId="173" fontId="56" fillId="0" borderId="25" xfId="15" applyNumberFormat="1" applyFont="1" applyBorder="1"/>
    <xf numFmtId="173" fontId="56" fillId="0" borderId="33" xfId="15" applyNumberFormat="1" applyFont="1" applyBorder="1"/>
    <xf numFmtId="0" fontId="56" fillId="0" borderId="37" xfId="0" applyFont="1" applyBorder="1" applyAlignment="1">
      <alignment horizontal="right"/>
    </xf>
    <xf numFmtId="9" fontId="0" fillId="0" borderId="5" xfId="17" applyNumberFormat="1" applyFont="1" applyBorder="1"/>
    <xf numFmtId="0" fontId="56" fillId="0" borderId="0" xfId="0" applyFont="1" applyAlignment="1">
      <alignment horizontal="right"/>
    </xf>
    <xf numFmtId="0" fontId="56" fillId="0" borderId="36" xfId="0" applyFont="1" applyBorder="1"/>
    <xf numFmtId="173" fontId="0" fillId="0" borderId="32" xfId="0" applyNumberFormat="1" applyBorder="1"/>
    <xf numFmtId="173" fontId="0" fillId="0" borderId="31" xfId="0" applyNumberFormat="1" applyBorder="1"/>
    <xf numFmtId="173" fontId="0" fillId="0" borderId="36" xfId="15" applyNumberFormat="1" applyFont="1" applyBorder="1"/>
    <xf numFmtId="173" fontId="0" fillId="0" borderId="32" xfId="15" applyNumberFormat="1" applyFont="1" applyBorder="1"/>
    <xf numFmtId="173" fontId="0" fillId="0" borderId="31" xfId="15" applyNumberFormat="1" applyFont="1" applyBorder="1"/>
    <xf numFmtId="173" fontId="0" fillId="0" borderId="42" xfId="15" applyNumberFormat="1" applyFont="1" applyBorder="1"/>
    <xf numFmtId="0" fontId="54" fillId="0" borderId="0" xfId="0" applyFont="1"/>
    <xf numFmtId="14" fontId="58" fillId="19" borderId="0" xfId="0" applyNumberFormat="1" applyFont="1" applyFill="1"/>
    <xf numFmtId="14" fontId="56" fillId="0" borderId="0" xfId="0" applyNumberFormat="1" applyFont="1"/>
    <xf numFmtId="9" fontId="55" fillId="19" borderId="0" xfId="0" applyNumberFormat="1" applyFont="1" applyFill="1"/>
    <xf numFmtId="14" fontId="55" fillId="19" borderId="0" xfId="0" applyNumberFormat="1" applyFont="1" applyFill="1"/>
    <xf numFmtId="0" fontId="56" fillId="0" borderId="2" xfId="0" applyFont="1" applyBorder="1"/>
    <xf numFmtId="9" fontId="56" fillId="0" borderId="2" xfId="0" applyNumberFormat="1" applyFont="1" applyBorder="1"/>
    <xf numFmtId="14" fontId="56" fillId="0" borderId="2" xfId="0" applyNumberFormat="1" applyFont="1" applyBorder="1"/>
    <xf numFmtId="9" fontId="52" fillId="0" borderId="0" xfId="0" applyNumberFormat="1" applyFont="1"/>
    <xf numFmtId="3" fontId="56" fillId="0" borderId="2" xfId="0" applyNumberFormat="1" applyFont="1" applyBorder="1"/>
    <xf numFmtId="10" fontId="0" fillId="20" borderId="0" xfId="0" applyNumberFormat="1" applyFill="1"/>
    <xf numFmtId="9" fontId="0" fillId="3" borderId="0" xfId="0" applyNumberFormat="1" applyFill="1"/>
    <xf numFmtId="10" fontId="0" fillId="3" borderId="0" xfId="0" applyNumberFormat="1" applyFill="1"/>
    <xf numFmtId="9" fontId="3" fillId="3" borderId="0" xfId="0" applyNumberFormat="1" applyFont="1" applyFill="1"/>
    <xf numFmtId="0" fontId="22" fillId="0" borderId="0" xfId="0" applyFont="1"/>
    <xf numFmtId="9" fontId="22" fillId="0" borderId="0" xfId="3" applyFont="1" applyAlignment="1">
      <alignment horizontal="center"/>
    </xf>
    <xf numFmtId="9" fontId="22" fillId="0" borderId="0" xfId="0" applyNumberFormat="1" applyFont="1" applyAlignment="1">
      <alignment horizontal="center"/>
    </xf>
    <xf numFmtId="9" fontId="22" fillId="0" borderId="0" xfId="0" applyNumberFormat="1" applyFont="1"/>
    <xf numFmtId="9" fontId="22" fillId="0" borderId="0" xfId="3" applyFont="1"/>
    <xf numFmtId="9" fontId="19" fillId="3" borderId="35" xfId="0" applyNumberFormat="1" applyFont="1" applyFill="1" applyBorder="1" applyAlignment="1">
      <alignment horizontal="center"/>
    </xf>
    <xf numFmtId="3" fontId="12" fillId="0" borderId="43" xfId="0" applyNumberFormat="1" applyFont="1" applyBorder="1"/>
    <xf numFmtId="0" fontId="0" fillId="0" borderId="65" xfId="0" applyBorder="1"/>
    <xf numFmtId="164" fontId="2" fillId="8" borderId="62" xfId="1" applyNumberFormat="1" applyFont="1" applyFill="1" applyBorder="1"/>
    <xf numFmtId="164" fontId="2" fillId="8" borderId="9" xfId="1" applyNumberFormat="1" applyFont="1" applyFill="1" applyBorder="1"/>
    <xf numFmtId="164" fontId="2" fillId="8" borderId="33" xfId="1" applyNumberFormat="1" applyFont="1" applyFill="1" applyBorder="1"/>
    <xf numFmtId="164" fontId="12" fillId="4" borderId="9" xfId="1" applyNumberFormat="1" applyFont="1" applyFill="1" applyBorder="1"/>
    <xf numFmtId="164" fontId="12" fillId="4" borderId="0" xfId="1" applyNumberFormat="1" applyFont="1" applyFill="1"/>
    <xf numFmtId="0" fontId="3" fillId="4" borderId="0" xfId="0" applyFont="1" applyFill="1" applyAlignment="1">
      <alignment horizontal="left"/>
    </xf>
    <xf numFmtId="0" fontId="12" fillId="4" borderId="0" xfId="0" applyFont="1" applyFill="1"/>
    <xf numFmtId="0" fontId="1" fillId="0" borderId="0" xfId="0" applyFont="1"/>
    <xf numFmtId="43" fontId="1" fillId="0" borderId="0" xfId="1" applyAlignment="1">
      <alignment horizontal="centerContinuous"/>
    </xf>
    <xf numFmtId="0" fontId="1" fillId="0" borderId="0" xfId="0" applyFont="1" applyAlignment="1">
      <alignment horizontal="centerContinuous"/>
    </xf>
    <xf numFmtId="4" fontId="1" fillId="0" borderId="0" xfId="0" applyNumberFormat="1" applyFont="1"/>
    <xf numFmtId="173" fontId="55" fillId="22" borderId="0" xfId="15" applyNumberFormat="1" applyFont="1" applyFill="1"/>
    <xf numFmtId="172" fontId="33" fillId="0" borderId="0" xfId="8" applyNumberFormat="1" applyFont="1" applyAlignment="1">
      <alignment horizontal="center"/>
    </xf>
    <xf numFmtId="164" fontId="19" fillId="3" borderId="12" xfId="6" applyNumberFormat="1" applyFont="1" applyFill="1" applyBorder="1"/>
    <xf numFmtId="0" fontId="5" fillId="14" borderId="0" xfId="8" applyFill="1"/>
    <xf numFmtId="164" fontId="0" fillId="14" borderId="0" xfId="6" applyNumberFormat="1" applyFont="1" applyFill="1"/>
    <xf numFmtId="9" fontId="5" fillId="14" borderId="0" xfId="8" applyNumberFormat="1" applyFill="1"/>
    <xf numFmtId="14" fontId="5" fillId="14" borderId="0" xfId="8" applyNumberFormat="1" applyFill="1"/>
    <xf numFmtId="173" fontId="56" fillId="2" borderId="2" xfId="15" applyNumberFormat="1" applyFont="1" applyFill="1" applyBorder="1"/>
    <xf numFmtId="164" fontId="19" fillId="2" borderId="33" xfId="1" applyNumberFormat="1" applyFont="1" applyFill="1" applyBorder="1"/>
    <xf numFmtId="11" fontId="0" fillId="2" borderId="0" xfId="1" applyNumberFormat="1" applyFont="1" applyFill="1"/>
    <xf numFmtId="0" fontId="0" fillId="2" borderId="0" xfId="0" applyFill="1"/>
    <xf numFmtId="0" fontId="21" fillId="0" borderId="0" xfId="0" applyFont="1" applyAlignment="1">
      <alignment horizontal="right"/>
    </xf>
    <xf numFmtId="9" fontId="19" fillId="3" borderId="0" xfId="0" applyNumberFormat="1" applyFont="1" applyFill="1"/>
    <xf numFmtId="164" fontId="60" fillId="3" borderId="0" xfId="1" applyNumberFormat="1" applyFont="1" applyFill="1"/>
    <xf numFmtId="164" fontId="60" fillId="3" borderId="23" xfId="1" applyNumberFormat="1" applyFont="1" applyFill="1" applyBorder="1"/>
    <xf numFmtId="164" fontId="60" fillId="3" borderId="25" xfId="1" applyNumberFormat="1" applyFont="1" applyFill="1" applyBorder="1"/>
    <xf numFmtId="164" fontId="60" fillId="3" borderId="33" xfId="1" applyNumberFormat="1" applyFont="1" applyFill="1" applyBorder="1"/>
    <xf numFmtId="164" fontId="60" fillId="0" borderId="0" xfId="1" applyNumberFormat="1" applyFont="1"/>
    <xf numFmtId="164" fontId="60" fillId="0" borderId="23" xfId="1" applyNumberFormat="1" applyFont="1" applyBorder="1"/>
    <xf numFmtId="164" fontId="60" fillId="0" borderId="25" xfId="1" applyNumberFormat="1" applyFont="1" applyBorder="1"/>
    <xf numFmtId="164" fontId="60" fillId="0" borderId="33" xfId="1" applyNumberFormat="1" applyFont="1" applyBorder="1"/>
    <xf numFmtId="9" fontId="19" fillId="3" borderId="20" xfId="0" applyNumberFormat="1" applyFont="1" applyFill="1" applyBorder="1" applyAlignment="1">
      <alignment horizontal="center"/>
    </xf>
    <xf numFmtId="164" fontId="19" fillId="3" borderId="44" xfId="1" applyNumberFormat="1" applyFont="1" applyFill="1" applyBorder="1" applyAlignment="1">
      <alignment wrapText="1"/>
    </xf>
    <xf numFmtId="168" fontId="60" fillId="3" borderId="19" xfId="1" applyNumberFormat="1" applyFont="1" applyFill="1" applyBorder="1"/>
    <xf numFmtId="168" fontId="60" fillId="3" borderId="20" xfId="1" applyNumberFormat="1" applyFont="1" applyFill="1" applyBorder="1"/>
    <xf numFmtId="168" fontId="60" fillId="3" borderId="18" xfId="1" applyNumberFormat="1" applyFont="1" applyFill="1" applyBorder="1"/>
    <xf numFmtId="168" fontId="60" fillId="3" borderId="44" xfId="1" applyNumberFormat="1" applyFont="1" applyFill="1" applyBorder="1"/>
    <xf numFmtId="164" fontId="61" fillId="0" borderId="29" xfId="1" applyNumberFormat="1" applyFont="1" applyBorder="1"/>
    <xf numFmtId="164" fontId="61" fillId="0" borderId="2" xfId="1" applyNumberFormat="1" applyFont="1" applyBorder="1"/>
    <xf numFmtId="164" fontId="61" fillId="0" borderId="30" xfId="1" applyNumberFormat="1" applyFont="1" applyBorder="1"/>
    <xf numFmtId="164" fontId="61" fillId="0" borderId="45" xfId="1" applyNumberFormat="1" applyFont="1" applyBorder="1"/>
    <xf numFmtId="164" fontId="61" fillId="0" borderId="23" xfId="1" applyNumberFormat="1" applyFont="1" applyBorder="1"/>
    <xf numFmtId="164" fontId="61" fillId="0" borderId="0" xfId="1" applyNumberFormat="1" applyFont="1"/>
    <xf numFmtId="164" fontId="61" fillId="0" borderId="25" xfId="1" applyNumberFormat="1" applyFont="1" applyBorder="1"/>
    <xf numFmtId="164" fontId="61" fillId="0" borderId="33" xfId="1" applyNumberFormat="1" applyFont="1" applyBorder="1"/>
    <xf numFmtId="10" fontId="0" fillId="0" borderId="0" xfId="2" applyNumberFormat="1" applyFont="1"/>
    <xf numFmtId="164" fontId="19" fillId="2" borderId="25" xfId="1" applyNumberFormat="1" applyFont="1" applyFill="1" applyBorder="1"/>
    <xf numFmtId="164" fontId="20" fillId="2" borderId="33" xfId="1" applyNumberFormat="1" applyFont="1" applyFill="1" applyBorder="1"/>
    <xf numFmtId="164" fontId="0" fillId="0" borderId="16" xfId="1" applyNumberFormat="1" applyFont="1" applyBorder="1" applyAlignment="1">
      <alignment horizontal="right"/>
    </xf>
    <xf numFmtId="9" fontId="0" fillId="0" borderId="33" xfId="1" applyNumberFormat="1" applyFont="1" applyBorder="1"/>
    <xf numFmtId="9" fontId="0" fillId="0" borderId="25" xfId="1" applyNumberFormat="1" applyFont="1" applyBorder="1"/>
    <xf numFmtId="164" fontId="19" fillId="3" borderId="0" xfId="1" applyNumberFormat="1" applyFont="1" applyFill="1" applyAlignment="1">
      <alignment wrapText="1"/>
    </xf>
    <xf numFmtId="164" fontId="19" fillId="3" borderId="23" xfId="1" applyNumberFormat="1" applyFont="1" applyFill="1" applyBorder="1" applyAlignment="1">
      <alignment wrapText="1"/>
    </xf>
    <xf numFmtId="164" fontId="19" fillId="3" borderId="25" xfId="1" applyNumberFormat="1" applyFont="1" applyFill="1" applyBorder="1" applyAlignment="1">
      <alignment wrapText="1"/>
    </xf>
    <xf numFmtId="164" fontId="19" fillId="3" borderId="33" xfId="1" applyNumberFormat="1" applyFont="1" applyFill="1" applyBorder="1" applyAlignment="1">
      <alignment wrapText="1"/>
    </xf>
    <xf numFmtId="10" fontId="0" fillId="0" borderId="16" xfId="1" applyNumberFormat="1" applyFont="1" applyBorder="1"/>
    <xf numFmtId="9" fontId="0" fillId="14" borderId="0" xfId="1" applyNumberFormat="1" applyFont="1" applyFill="1"/>
    <xf numFmtId="168" fontId="12" fillId="0" borderId="0" xfId="1" applyNumberFormat="1" applyFont="1"/>
    <xf numFmtId="174" fontId="19" fillId="3" borderId="0" xfId="1" applyNumberFormat="1" applyFont="1" applyFill="1"/>
    <xf numFmtId="164" fontId="12" fillId="0" borderId="2" xfId="1" applyNumberFormat="1" applyFont="1" applyBorder="1"/>
    <xf numFmtId="4" fontId="3" fillId="0" borderId="0" xfId="1" applyNumberFormat="1" applyFont="1"/>
    <xf numFmtId="9" fontId="3" fillId="0" borderId="0" xfId="1" applyNumberFormat="1" applyFont="1"/>
    <xf numFmtId="4" fontId="0" fillId="0" borderId="25" xfId="1" applyNumberFormat="1" applyFont="1" applyBorder="1"/>
    <xf numFmtId="4" fontId="0" fillId="0" borderId="33" xfId="1" applyNumberFormat="1" applyFont="1" applyBorder="1"/>
    <xf numFmtId="164" fontId="19" fillId="14" borderId="25" xfId="1" applyNumberFormat="1" applyFont="1" applyFill="1" applyBorder="1"/>
    <xf numFmtId="9" fontId="0" fillId="0" borderId="23" xfId="1" applyNumberFormat="1" applyFont="1" applyBorder="1"/>
    <xf numFmtId="9" fontId="3" fillId="0" borderId="0" xfId="1" applyNumberFormat="1" applyFont="1" applyAlignment="1">
      <alignment horizontal="center"/>
    </xf>
    <xf numFmtId="164" fontId="20" fillId="0" borderId="2" xfId="1" applyNumberFormat="1" applyFont="1" applyBorder="1"/>
    <xf numFmtId="164" fontId="12" fillId="0" borderId="19" xfId="1" applyNumberFormat="1" applyFont="1" applyBorder="1"/>
    <xf numFmtId="164" fontId="12" fillId="0" borderId="18" xfId="1" applyNumberFormat="1" applyFont="1" applyBorder="1"/>
    <xf numFmtId="164" fontId="12" fillId="0" borderId="20" xfId="1" applyNumberFormat="1" applyFont="1" applyBorder="1"/>
    <xf numFmtId="164" fontId="12" fillId="0" borderId="44" xfId="1" applyNumberFormat="1" applyFont="1" applyBorder="1"/>
    <xf numFmtId="0" fontId="56" fillId="0" borderId="2" xfId="0" applyFont="1" applyBorder="1" applyAlignment="1">
      <alignment horizontal="right"/>
    </xf>
    <xf numFmtId="0" fontId="0" fillId="0" borderId="2" xfId="0" applyBorder="1" applyAlignment="1">
      <alignment horizontal="left"/>
    </xf>
    <xf numFmtId="164" fontId="0" fillId="23" borderId="0" xfId="6" applyNumberFormat="1" applyFont="1" applyFill="1"/>
    <xf numFmtId="164" fontId="0" fillId="9" borderId="0" xfId="6" applyNumberFormat="1" applyFont="1" applyFill="1"/>
    <xf numFmtId="10" fontId="44" fillId="0" borderId="0" xfId="8" applyNumberFormat="1" applyFont="1"/>
    <xf numFmtId="14" fontId="44" fillId="0" borderId="0" xfId="8" applyNumberFormat="1" applyFont="1"/>
    <xf numFmtId="164" fontId="62" fillId="9" borderId="0" xfId="6" applyNumberFormat="1" applyFont="1" applyFill="1"/>
    <xf numFmtId="172" fontId="33" fillId="0" borderId="23" xfId="8" applyNumberFormat="1" applyFont="1" applyBorder="1" applyAlignment="1">
      <alignment horizontal="center"/>
    </xf>
    <xf numFmtId="172" fontId="33" fillId="0" borderId="25" xfId="8" applyNumberFormat="1" applyFont="1" applyBorder="1" applyAlignment="1">
      <alignment horizontal="center"/>
    </xf>
    <xf numFmtId="0" fontId="5" fillId="0" borderId="23" xfId="8" applyBorder="1" applyAlignment="1">
      <alignment horizontal="center"/>
    </xf>
    <xf numFmtId="0" fontId="5" fillId="0" borderId="25" xfId="8" applyBorder="1" applyAlignment="1">
      <alignment horizontal="center"/>
    </xf>
    <xf numFmtId="164" fontId="0" fillId="3" borderId="0" xfId="6" applyNumberFormat="1" applyFont="1" applyFill="1"/>
    <xf numFmtId="0" fontId="63" fillId="3" borderId="0" xfId="8" applyFont="1" applyFill="1"/>
    <xf numFmtId="164" fontId="64" fillId="3" borderId="0" xfId="6" applyNumberFormat="1" applyFont="1" applyFill="1"/>
    <xf numFmtId="9" fontId="63" fillId="3" borderId="0" xfId="8" applyNumberFormat="1" applyFont="1" applyFill="1"/>
    <xf numFmtId="14" fontId="63" fillId="3" borderId="0" xfId="8" applyNumberFormat="1" applyFont="1" applyFill="1"/>
    <xf numFmtId="11" fontId="48" fillId="3" borderId="0" xfId="8" applyNumberFormat="1" applyFont="1" applyFill="1"/>
    <xf numFmtId="164" fontId="19" fillId="9" borderId="0" xfId="1" applyNumberFormat="1" applyFont="1" applyFill="1"/>
    <xf numFmtId="164" fontId="19" fillId="6" borderId="19" xfId="1" applyNumberFormat="1" applyFont="1" applyFill="1" applyBorder="1"/>
    <xf numFmtId="164" fontId="19" fillId="6" borderId="12" xfId="6" applyNumberFormat="1" applyFont="1" applyFill="1" applyBorder="1"/>
    <xf numFmtId="164" fontId="19" fillId="6" borderId="20" xfId="1" applyNumberFormat="1" applyFont="1" applyFill="1" applyBorder="1"/>
    <xf numFmtId="164" fontId="0" fillId="6" borderId="25" xfId="6" applyNumberFormat="1" applyFont="1" applyFill="1" applyBorder="1"/>
    <xf numFmtId="173" fontId="55" fillId="24" borderId="25" xfId="15" applyNumberFormat="1" applyFont="1" applyFill="1" applyBorder="1"/>
    <xf numFmtId="164" fontId="19" fillId="9" borderId="23" xfId="1" applyNumberFormat="1" applyFont="1" applyFill="1" applyBorder="1"/>
    <xf numFmtId="173" fontId="55" fillId="25" borderId="0" xfId="15" applyNumberFormat="1" applyFont="1" applyFill="1"/>
    <xf numFmtId="164" fontId="0" fillId="9" borderId="2" xfId="1" applyNumberFormat="1" applyFont="1" applyFill="1" applyBorder="1"/>
    <xf numFmtId="164" fontId="19" fillId="6" borderId="18" xfId="1" applyNumberFormat="1" applyFont="1" applyFill="1" applyBorder="1"/>
    <xf numFmtId="173" fontId="55" fillId="24" borderId="0" xfId="15" applyNumberFormat="1" applyFont="1" applyFill="1"/>
    <xf numFmtId="164" fontId="0" fillId="9" borderId="25" xfId="6" applyNumberFormat="1" applyFont="1" applyFill="1" applyBorder="1"/>
    <xf numFmtId="164" fontId="5" fillId="9" borderId="0" xfId="8" applyNumberFormat="1" applyFill="1"/>
    <xf numFmtId="175" fontId="5" fillId="0" borderId="0" xfId="8" applyNumberFormat="1"/>
    <xf numFmtId="10" fontId="0" fillId="9" borderId="0" xfId="0" applyNumberFormat="1" applyFill="1"/>
    <xf numFmtId="10" fontId="33" fillId="0" borderId="0" xfId="8" applyNumberFormat="1" applyFont="1" applyAlignment="1">
      <alignment horizontal="center"/>
    </xf>
    <xf numFmtId="9" fontId="0" fillId="0" borderId="17" xfId="0" applyNumberFormat="1" applyBorder="1"/>
    <xf numFmtId="164" fontId="3" fillId="0" borderId="35" xfId="1" applyNumberFormat="1" applyFont="1" applyBorder="1"/>
    <xf numFmtId="168" fontId="3" fillId="0" borderId="17" xfId="0" applyNumberFormat="1" applyFont="1" applyBorder="1"/>
    <xf numFmtId="168" fontId="0" fillId="0" borderId="17" xfId="0" applyNumberFormat="1" applyBorder="1"/>
    <xf numFmtId="4" fontId="0" fillId="0" borderId="16" xfId="1" applyNumberFormat="1" applyFont="1" applyBorder="1"/>
    <xf numFmtId="164" fontId="0" fillId="10" borderId="0" xfId="1" applyNumberFormat="1" applyFont="1" applyFill="1"/>
    <xf numFmtId="168" fontId="3" fillId="6" borderId="17" xfId="0" applyNumberFormat="1" applyFont="1" applyFill="1" applyBorder="1"/>
    <xf numFmtId="168" fontId="0" fillId="6" borderId="17" xfId="0" applyNumberFormat="1" applyFill="1" applyBorder="1"/>
    <xf numFmtId="168" fontId="0" fillId="0" borderId="0" xfId="0" applyNumberFormat="1" applyAlignment="1">
      <alignment horizontal="center"/>
    </xf>
    <xf numFmtId="0" fontId="3" fillId="0" borderId="0" xfId="0" applyFont="1" applyAlignment="1">
      <alignment horizontal="centerContinuous"/>
    </xf>
    <xf numFmtId="3" fontId="3" fillId="0" borderId="0" xfId="0" applyNumberFormat="1" applyFont="1" applyAlignment="1">
      <alignment horizontal="left"/>
    </xf>
    <xf numFmtId="9" fontId="0" fillId="3" borderId="0" xfId="0" applyNumberFormat="1" applyFill="1" applyAlignment="1">
      <alignment horizontal="center"/>
    </xf>
    <xf numFmtId="168" fontId="0" fillId="3" borderId="0" xfId="0" applyNumberFormat="1" applyFill="1" applyAlignment="1">
      <alignment horizontal="center"/>
    </xf>
    <xf numFmtId="168" fontId="3" fillId="0" borderId="0" xfId="0" applyNumberFormat="1" applyFont="1"/>
    <xf numFmtId="2" fontId="3" fillId="0" borderId="0" xfId="0" applyNumberFormat="1" applyFont="1"/>
    <xf numFmtId="0" fontId="13" fillId="0" borderId="2" xfId="0" applyFont="1" applyBorder="1" applyAlignment="1">
      <alignment horizontal="right"/>
    </xf>
    <xf numFmtId="10" fontId="31" fillId="0" borderId="0" xfId="0" applyNumberFormat="1" applyFont="1"/>
    <xf numFmtId="0" fontId="31" fillId="0" borderId="0" xfId="0" applyFont="1" applyAlignment="1">
      <alignment horizontal="centerContinuous"/>
    </xf>
    <xf numFmtId="167" fontId="16" fillId="0" borderId="0" xfId="13" applyNumberFormat="1" applyFont="1" applyAlignment="1">
      <alignment vertical="center"/>
    </xf>
    <xf numFmtId="164" fontId="10" fillId="0" borderId="0" xfId="1" applyNumberFormat="1" applyFont="1"/>
    <xf numFmtId="0" fontId="31" fillId="0" borderId="0" xfId="0" applyFont="1"/>
    <xf numFmtId="4" fontId="31" fillId="0" borderId="0" xfId="0" applyNumberFormat="1" applyFont="1"/>
    <xf numFmtId="0" fontId="3" fillId="0" borderId="31" xfId="0" applyFont="1" applyBorder="1"/>
    <xf numFmtId="0" fontId="15" fillId="0" borderId="0" xfId="13" applyFont="1" applyAlignment="1">
      <alignment vertical="center"/>
    </xf>
    <xf numFmtId="3" fontId="0" fillId="0" borderId="2" xfId="0" applyNumberFormat="1" applyBorder="1" applyAlignment="1">
      <alignment horizontal="center"/>
    </xf>
    <xf numFmtId="14" fontId="12" fillId="0" borderId="0" xfId="0" applyNumberFormat="1" applyFont="1" applyAlignment="1">
      <alignment horizontal="center"/>
    </xf>
    <xf numFmtId="164" fontId="3" fillId="0" borderId="27" xfId="1" applyNumberFormat="1" applyFont="1" applyBorder="1"/>
    <xf numFmtId="164" fontId="3" fillId="0" borderId="66" xfId="1" applyNumberFormat="1" applyFont="1" applyBorder="1"/>
    <xf numFmtId="164" fontId="3" fillId="0" borderId="28" xfId="1" applyNumberFormat="1" applyFont="1" applyBorder="1"/>
    <xf numFmtId="0" fontId="47" fillId="3" borderId="41" xfId="0" applyFont="1" applyFill="1" applyBorder="1" applyAlignment="1">
      <alignment horizontal="left"/>
    </xf>
    <xf numFmtId="0" fontId="47" fillId="3" borderId="0" xfId="0" applyFont="1" applyFill="1"/>
    <xf numFmtId="0" fontId="57" fillId="0" borderId="0" xfId="13" applyFont="1" applyAlignment="1">
      <alignment vertical="center"/>
    </xf>
    <xf numFmtId="0" fontId="38" fillId="0" borderId="0" xfId="13" applyFont="1" applyAlignment="1">
      <alignment vertical="center"/>
    </xf>
    <xf numFmtId="0" fontId="66" fillId="0" borderId="0" xfId="0" applyFont="1"/>
    <xf numFmtId="0" fontId="65" fillId="0" borderId="0" xfId="0" applyFont="1"/>
    <xf numFmtId="0" fontId="38" fillId="0" borderId="0" xfId="13" applyFont="1" applyAlignment="1">
      <alignment horizontal="left" vertical="center" indent="1"/>
    </xf>
    <xf numFmtId="0" fontId="65" fillId="0" borderId="0" xfId="0" applyFont="1" applyAlignment="1">
      <alignment horizontal="left" indent="1"/>
    </xf>
    <xf numFmtId="0" fontId="38" fillId="0" borderId="23" xfId="13" applyFont="1" applyBorder="1" applyAlignment="1">
      <alignment horizontal="left" indent="1"/>
    </xf>
    <xf numFmtId="0" fontId="38" fillId="0" borderId="0" xfId="13" applyFont="1" applyAlignment="1">
      <alignment horizontal="left" indent="1"/>
    </xf>
    <xf numFmtId="0" fontId="38" fillId="0" borderId="15" xfId="13" applyFont="1" applyBorder="1" applyAlignment="1">
      <alignment horizontal="center" vertical="center"/>
    </xf>
    <xf numFmtId="0" fontId="38" fillId="0" borderId="23" xfId="13" applyFont="1" applyBorder="1" applyAlignment="1">
      <alignment vertical="center"/>
    </xf>
    <xf numFmtId="0" fontId="38" fillId="0" borderId="23" xfId="13" applyFont="1" applyBorder="1" applyAlignment="1">
      <alignment horizontal="left" vertical="center" indent="1"/>
    </xf>
    <xf numFmtId="168" fontId="67" fillId="0" borderId="0" xfId="3" applyNumberFormat="1" applyFont="1" applyAlignment="1">
      <alignment horizontal="left" vertical="center"/>
    </xf>
    <xf numFmtId="168" fontId="67" fillId="0" borderId="0" xfId="3" applyNumberFormat="1" applyFont="1" applyAlignment="1">
      <alignment horizontal="center" vertical="center"/>
    </xf>
    <xf numFmtId="0" fontId="57" fillId="0" borderId="23" xfId="13" applyFont="1" applyBorder="1" applyAlignment="1">
      <alignment horizontal="right" vertical="center"/>
    </xf>
    <xf numFmtId="0" fontId="38" fillId="0" borderId="23" xfId="13" applyFont="1" applyBorder="1" applyAlignment="1">
      <alignment horizontal="right" vertical="center"/>
    </xf>
    <xf numFmtId="0" fontId="38" fillId="0" borderId="0" xfId="13" applyFont="1" applyAlignment="1">
      <alignment horizontal="center" vertical="center"/>
    </xf>
    <xf numFmtId="176" fontId="38" fillId="0" borderId="0" xfId="13" applyNumberFormat="1" applyFont="1" applyAlignment="1">
      <alignment horizontal="center" vertical="center"/>
    </xf>
    <xf numFmtId="0" fontId="38" fillId="0" borderId="0" xfId="13" applyFont="1" applyAlignment="1">
      <alignment horizontal="left" vertical="center"/>
    </xf>
    <xf numFmtId="164" fontId="38" fillId="0" borderId="0" xfId="1" applyNumberFormat="1" applyFont="1" applyAlignment="1">
      <alignment vertical="center"/>
    </xf>
    <xf numFmtId="0" fontId="57" fillId="0" borderId="2" xfId="13" applyFont="1" applyBorder="1" applyAlignment="1">
      <alignment horizontal="right" vertical="center"/>
    </xf>
    <xf numFmtId="164" fontId="38" fillId="6" borderId="2" xfId="1" applyNumberFormat="1" applyFont="1" applyFill="1" applyBorder="1" applyAlignment="1">
      <alignment vertical="center"/>
    </xf>
    <xf numFmtId="0" fontId="38" fillId="0" borderId="0" xfId="13" applyFont="1" applyAlignment="1">
      <alignment horizontal="right" vertical="center"/>
    </xf>
    <xf numFmtId="0" fontId="38" fillId="2" borderId="0" xfId="13" applyFont="1" applyFill="1" applyAlignment="1">
      <alignment vertical="center"/>
    </xf>
    <xf numFmtId="164" fontId="32" fillId="3" borderId="0" xfId="1" applyNumberFormat="1" applyFont="1" applyFill="1" applyAlignment="1">
      <alignment vertical="center"/>
    </xf>
    <xf numFmtId="164" fontId="57" fillId="0" borderId="2" xfId="1" applyNumberFormat="1" applyFont="1" applyBorder="1" applyAlignment="1">
      <alignment vertical="center"/>
    </xf>
    <xf numFmtId="0" fontId="57" fillId="0" borderId="2" xfId="13" applyFont="1" applyBorder="1" applyAlignment="1">
      <alignment horizontal="left" vertical="center"/>
    </xf>
    <xf numFmtId="0" fontId="57" fillId="0" borderId="5" xfId="13" applyFont="1" applyBorder="1" applyAlignment="1">
      <alignment horizontal="left" vertical="center"/>
    </xf>
    <xf numFmtId="0" fontId="57" fillId="0" borderId="0" xfId="13" applyFont="1" applyAlignment="1">
      <alignment horizontal="left" vertical="center"/>
    </xf>
    <xf numFmtId="164" fontId="57" fillId="0" borderId="0" xfId="1" applyNumberFormat="1" applyFont="1" applyAlignment="1">
      <alignment vertical="center"/>
    </xf>
    <xf numFmtId="0" fontId="57" fillId="0" borderId="31" xfId="13" applyFont="1" applyBorder="1" applyAlignment="1">
      <alignment vertical="center"/>
    </xf>
    <xf numFmtId="164" fontId="57" fillId="0" borderId="31" xfId="1" applyNumberFormat="1" applyFont="1" applyBorder="1" applyAlignment="1">
      <alignment vertical="center"/>
    </xf>
    <xf numFmtId="0" fontId="68" fillId="0" borderId="0" xfId="13" applyFont="1" applyAlignment="1">
      <alignment vertical="center"/>
    </xf>
    <xf numFmtId="0" fontId="70" fillId="0" borderId="0" xfId="13" applyFont="1" applyAlignment="1">
      <alignment horizontal="center" vertical="center"/>
    </xf>
    <xf numFmtId="164" fontId="65" fillId="0" borderId="0" xfId="1" applyNumberFormat="1" applyFont="1"/>
    <xf numFmtId="0" fontId="53" fillId="0" borderId="2" xfId="0" applyFont="1" applyBorder="1" applyAlignment="1">
      <alignment horizontal="right"/>
    </xf>
    <xf numFmtId="164" fontId="38" fillId="6" borderId="0" xfId="1" applyNumberFormat="1" applyFont="1" applyFill="1" applyAlignment="1">
      <alignment vertical="center"/>
    </xf>
    <xf numFmtId="164" fontId="65" fillId="0" borderId="2" xfId="1" applyNumberFormat="1" applyFont="1" applyBorder="1"/>
    <xf numFmtId="0" fontId="53" fillId="0" borderId="0" xfId="0" applyFont="1" applyAlignment="1">
      <alignment horizontal="right"/>
    </xf>
    <xf numFmtId="0" fontId="53" fillId="0" borderId="31" xfId="0" applyFont="1" applyBorder="1" applyAlignment="1">
      <alignment horizontal="right"/>
    </xf>
    <xf numFmtId="164" fontId="65" fillId="0" borderId="31" xfId="1" applyNumberFormat="1" applyFont="1" applyBorder="1"/>
    <xf numFmtId="164" fontId="32" fillId="3" borderId="0" xfId="1" applyNumberFormat="1" applyFont="1" applyFill="1"/>
    <xf numFmtId="0" fontId="72" fillId="11" borderId="18" xfId="13" applyFont="1" applyFill="1" applyBorder="1" applyAlignment="1">
      <alignment vertical="center"/>
    </xf>
    <xf numFmtId="0" fontId="71" fillId="11" borderId="19" xfId="13" applyFont="1" applyFill="1" applyBorder="1" applyAlignment="1">
      <alignment vertical="center"/>
    </xf>
    <xf numFmtId="0" fontId="71" fillId="11" borderId="20" xfId="13" applyFont="1" applyFill="1" applyBorder="1" applyAlignment="1">
      <alignment vertical="center"/>
    </xf>
    <xf numFmtId="0" fontId="57" fillId="0" borderId="18" xfId="13" applyFont="1" applyBorder="1" applyAlignment="1">
      <alignment vertical="center"/>
    </xf>
    <xf numFmtId="172" fontId="70" fillId="0" borderId="19" xfId="13" applyNumberFormat="1" applyFont="1" applyBorder="1" applyAlignment="1">
      <alignment horizontal="center" vertical="center"/>
    </xf>
    <xf numFmtId="172" fontId="70" fillId="0" borderId="18" xfId="13" applyNumberFormat="1" applyFont="1" applyBorder="1" applyAlignment="1">
      <alignment horizontal="center" vertical="center"/>
    </xf>
    <xf numFmtId="172" fontId="70" fillId="0" borderId="20" xfId="13" applyNumberFormat="1" applyFont="1" applyBorder="1" applyAlignment="1">
      <alignment horizontal="center" vertical="center"/>
    </xf>
    <xf numFmtId="0" fontId="38" fillId="0" borderId="24" xfId="13" applyFont="1" applyBorder="1" applyAlignment="1">
      <alignment vertical="center"/>
    </xf>
    <xf numFmtId="0" fontId="38" fillId="0" borderId="24" xfId="13" applyFont="1" applyBorder="1" applyAlignment="1">
      <alignment horizontal="center" vertical="center"/>
    </xf>
    <xf numFmtId="0" fontId="38" fillId="0" borderId="26" xfId="13" applyFont="1" applyBorder="1" applyAlignment="1">
      <alignment horizontal="center" vertical="center"/>
    </xf>
    <xf numFmtId="176" fontId="38" fillId="0" borderId="15" xfId="13" applyNumberFormat="1" applyFont="1" applyBorder="1" applyAlignment="1">
      <alignment horizontal="center" vertical="center"/>
    </xf>
    <xf numFmtId="0" fontId="73" fillId="0" borderId="0" xfId="8" applyFont="1" applyAlignment="1">
      <alignment horizontal="centerContinuous"/>
    </xf>
    <xf numFmtId="0" fontId="67" fillId="0" borderId="0" xfId="13" applyFont="1" applyAlignment="1">
      <alignment vertical="center"/>
    </xf>
    <xf numFmtId="0" fontId="74" fillId="0" borderId="0" xfId="13" applyFont="1" applyAlignment="1">
      <alignment vertical="center"/>
    </xf>
    <xf numFmtId="0" fontId="57" fillId="0" borderId="23" xfId="13" applyFont="1" applyBorder="1" applyAlignment="1">
      <alignment horizontal="center" vertical="center"/>
    </xf>
    <xf numFmtId="0" fontId="53" fillId="0" borderId="0" xfId="0" applyFont="1" applyAlignment="1">
      <alignment horizontal="center"/>
    </xf>
    <xf numFmtId="0" fontId="57" fillId="0" borderId="0" xfId="13" applyFont="1" applyAlignment="1">
      <alignment horizontal="right" vertical="center"/>
    </xf>
    <xf numFmtId="3" fontId="65" fillId="0" borderId="0" xfId="0" applyNumberFormat="1" applyFont="1" applyAlignment="1">
      <alignment horizontal="center"/>
    </xf>
    <xf numFmtId="168" fontId="75" fillId="0" borderId="0" xfId="3" applyNumberFormat="1" applyFont="1" applyAlignment="1">
      <alignment horizontal="center" vertical="center"/>
    </xf>
    <xf numFmtId="0" fontId="65" fillId="0" borderId="0" xfId="0" applyFont="1" applyAlignment="1">
      <alignment horizontal="center"/>
    </xf>
    <xf numFmtId="172" fontId="32" fillId="3" borderId="0" xfId="13" applyNumberFormat="1" applyFont="1" applyFill="1" applyAlignment="1">
      <alignment horizontal="center" vertical="center"/>
    </xf>
    <xf numFmtId="0" fontId="32" fillId="3" borderId="15" xfId="13" applyFont="1" applyFill="1" applyBorder="1" applyAlignment="1">
      <alignment horizontal="center" vertical="center"/>
    </xf>
    <xf numFmtId="0" fontId="57" fillId="0" borderId="23" xfId="13" applyFont="1" applyBorder="1" applyAlignment="1">
      <alignment vertical="center"/>
    </xf>
    <xf numFmtId="0" fontId="57" fillId="0" borderId="0" xfId="13" applyFont="1" applyAlignment="1">
      <alignment horizontal="center" vertical="center"/>
    </xf>
    <xf numFmtId="0" fontId="57" fillId="0" borderId="25" xfId="13" applyFont="1" applyBorder="1" applyAlignment="1">
      <alignment horizontal="center" vertical="center"/>
    </xf>
    <xf numFmtId="0" fontId="38" fillId="0" borderId="25" xfId="13" applyFont="1" applyBorder="1" applyAlignment="1">
      <alignment horizontal="right" vertical="center"/>
    </xf>
    <xf numFmtId="176" fontId="38" fillId="0" borderId="33" xfId="13" applyNumberFormat="1" applyFont="1" applyBorder="1" applyAlignment="1">
      <alignment horizontal="right" vertical="center"/>
    </xf>
    <xf numFmtId="0" fontId="38" fillId="0" borderId="29" xfId="13" applyFont="1" applyBorder="1" applyAlignment="1">
      <alignment horizontal="left" vertical="center" indent="1"/>
    </xf>
    <xf numFmtId="164" fontId="38" fillId="0" borderId="23" xfId="1" applyNumberFormat="1" applyFont="1" applyBorder="1" applyAlignment="1">
      <alignment vertical="center"/>
    </xf>
    <xf numFmtId="164" fontId="38" fillId="0" borderId="25" xfId="1" applyNumberFormat="1" applyFont="1" applyBorder="1" applyAlignment="1">
      <alignment vertical="center"/>
    </xf>
    <xf numFmtId="164" fontId="38" fillId="0" borderId="33" xfId="1" applyNumberFormat="1" applyFont="1" applyBorder="1" applyAlignment="1">
      <alignment vertical="center"/>
    </xf>
    <xf numFmtId="0" fontId="57" fillId="0" borderId="32" xfId="13" applyFont="1" applyBorder="1" applyAlignment="1">
      <alignment horizontal="right" vertical="center"/>
    </xf>
    <xf numFmtId="164" fontId="57" fillId="0" borderId="32" xfId="1" applyNumberFormat="1" applyFont="1" applyBorder="1" applyAlignment="1">
      <alignment vertical="center"/>
    </xf>
    <xf numFmtId="164" fontId="57" fillId="0" borderId="36" xfId="1" applyNumberFormat="1" applyFont="1" applyBorder="1" applyAlignment="1">
      <alignment vertical="center"/>
    </xf>
    <xf numFmtId="164" fontId="57" fillId="0" borderId="42" xfId="1" applyNumberFormat="1" applyFont="1" applyBorder="1" applyAlignment="1">
      <alignment vertical="center"/>
    </xf>
    <xf numFmtId="168" fontId="38" fillId="0" borderId="23" xfId="13" applyNumberFormat="1" applyFont="1" applyBorder="1" applyAlignment="1">
      <alignment horizontal="right" vertical="center"/>
    </xf>
    <xf numFmtId="168" fontId="38" fillId="0" borderId="0" xfId="13" applyNumberFormat="1" applyFont="1" applyAlignment="1">
      <alignment horizontal="right" vertical="center"/>
    </xf>
    <xf numFmtId="168" fontId="38" fillId="0" borderId="25" xfId="13" applyNumberFormat="1" applyFont="1" applyBorder="1" applyAlignment="1">
      <alignment horizontal="right" vertical="center"/>
    </xf>
    <xf numFmtId="168" fontId="38" fillId="0" borderId="33" xfId="13" applyNumberFormat="1" applyFont="1" applyBorder="1" applyAlignment="1">
      <alignment horizontal="right" vertical="center"/>
    </xf>
    <xf numFmtId="0" fontId="57" fillId="0" borderId="29" xfId="13" applyFont="1" applyBorder="1" applyAlignment="1">
      <alignment horizontal="right" vertical="center"/>
    </xf>
    <xf numFmtId="164" fontId="57" fillId="0" borderId="29" xfId="1" applyNumberFormat="1" applyFont="1" applyBorder="1" applyAlignment="1">
      <alignment horizontal="center" vertical="center"/>
    </xf>
    <xf numFmtId="164" fontId="57" fillId="0" borderId="2" xfId="1" applyNumberFormat="1" applyFont="1" applyBorder="1" applyAlignment="1">
      <alignment horizontal="center" vertical="center"/>
    </xf>
    <xf numFmtId="164" fontId="57" fillId="0" borderId="30" xfId="1" applyNumberFormat="1" applyFont="1" applyBorder="1" applyAlignment="1">
      <alignment horizontal="center" vertical="center"/>
    </xf>
    <xf numFmtId="164" fontId="57" fillId="0" borderId="29" xfId="1" applyNumberFormat="1" applyFont="1" applyBorder="1" applyAlignment="1">
      <alignment horizontal="right" vertical="center"/>
    </xf>
    <xf numFmtId="164" fontId="57" fillId="0" borderId="2" xfId="1" applyNumberFormat="1" applyFont="1" applyBorder="1" applyAlignment="1">
      <alignment horizontal="right" vertical="center"/>
    </xf>
    <xf numFmtId="164" fontId="57" fillId="0" borderId="30" xfId="1" applyNumberFormat="1" applyFont="1" applyBorder="1" applyAlignment="1">
      <alignment horizontal="right" vertical="center"/>
    </xf>
    <xf numFmtId="164" fontId="57" fillId="0" borderId="45" xfId="1" applyNumberFormat="1" applyFont="1" applyBorder="1" applyAlignment="1">
      <alignment horizontal="right" vertical="center"/>
    </xf>
    <xf numFmtId="164" fontId="32" fillId="3" borderId="23" xfId="1" applyNumberFormat="1" applyFont="1" applyFill="1" applyBorder="1" applyAlignment="1">
      <alignment vertical="center"/>
    </xf>
    <xf numFmtId="164" fontId="32" fillId="3" borderId="25" xfId="1" applyNumberFormat="1" applyFont="1" applyFill="1" applyBorder="1" applyAlignment="1">
      <alignment vertical="center"/>
    </xf>
    <xf numFmtId="164" fontId="32" fillId="3" borderId="33" xfId="1" applyNumberFormat="1" applyFont="1" applyFill="1" applyBorder="1" applyAlignment="1">
      <alignment vertical="center"/>
    </xf>
    <xf numFmtId="164" fontId="57" fillId="0" borderId="29" xfId="1" applyNumberFormat="1" applyFont="1" applyBorder="1" applyAlignment="1">
      <alignment vertical="center"/>
    </xf>
    <xf numFmtId="164" fontId="57" fillId="0" borderId="30" xfId="1" applyNumberFormat="1" applyFont="1" applyBorder="1" applyAlignment="1">
      <alignment vertical="center"/>
    </xf>
    <xf numFmtId="164" fontId="57" fillId="0" borderId="45" xfId="1" applyNumberFormat="1" applyFont="1" applyBorder="1" applyAlignment="1">
      <alignment vertical="center"/>
    </xf>
    <xf numFmtId="0" fontId="57" fillId="0" borderId="23" xfId="13" applyFont="1" applyBorder="1" applyAlignment="1">
      <alignment horizontal="right" indent="1"/>
    </xf>
    <xf numFmtId="164" fontId="57" fillId="0" borderId="23" xfId="1" applyNumberFormat="1" applyFont="1" applyBorder="1" applyAlignment="1">
      <alignment vertical="center"/>
    </xf>
    <xf numFmtId="164" fontId="57" fillId="0" borderId="25" xfId="1" applyNumberFormat="1" applyFont="1" applyBorder="1" applyAlignment="1">
      <alignment vertical="center"/>
    </xf>
    <xf numFmtId="164" fontId="57" fillId="0" borderId="33" xfId="1" applyNumberFormat="1" applyFont="1" applyBorder="1" applyAlignment="1">
      <alignment vertical="center"/>
    </xf>
    <xf numFmtId="164" fontId="32" fillId="0" borderId="0" xfId="1" applyNumberFormat="1" applyFont="1" applyAlignment="1">
      <alignment vertical="center"/>
    </xf>
    <xf numFmtId="164" fontId="32" fillId="0" borderId="23" xfId="1" applyNumberFormat="1" applyFont="1" applyBorder="1" applyAlignment="1">
      <alignment vertical="center"/>
    </xf>
    <xf numFmtId="164" fontId="32" fillId="0" borderId="25" xfId="1" applyNumberFormat="1" applyFont="1" applyBorder="1" applyAlignment="1">
      <alignment vertical="center"/>
    </xf>
    <xf numFmtId="164" fontId="32" fillId="0" borderId="33" xfId="1" applyNumberFormat="1" applyFont="1" applyBorder="1" applyAlignment="1">
      <alignment vertical="center"/>
    </xf>
    <xf numFmtId="164" fontId="32" fillId="6" borderId="23" xfId="1" applyNumberFormat="1" applyFont="1" applyFill="1" applyBorder="1" applyAlignment="1">
      <alignment vertical="center"/>
    </xf>
    <xf numFmtId="164" fontId="32" fillId="6" borderId="0" xfId="1" applyNumberFormat="1" applyFont="1" applyFill="1" applyAlignment="1">
      <alignment vertical="center"/>
    </xf>
    <xf numFmtId="164" fontId="32" fillId="6" borderId="25" xfId="1" applyNumberFormat="1" applyFont="1" applyFill="1" applyBorder="1" applyAlignment="1">
      <alignment vertical="center"/>
    </xf>
    <xf numFmtId="164" fontId="65" fillId="0" borderId="0" xfId="1" applyNumberFormat="1" applyFont="1" applyAlignment="1">
      <alignment horizontal="center"/>
    </xf>
    <xf numFmtId="0" fontId="38" fillId="0" borderId="24" xfId="13" applyFont="1" applyBorder="1" applyAlignment="1">
      <alignment horizontal="left" vertical="center" indent="1"/>
    </xf>
    <xf numFmtId="164" fontId="38" fillId="0" borderId="15" xfId="1" applyNumberFormat="1" applyFont="1" applyBorder="1" applyAlignment="1">
      <alignment vertical="center"/>
    </xf>
    <xf numFmtId="164" fontId="38" fillId="0" borderId="24" xfId="1" applyNumberFormat="1" applyFont="1" applyBorder="1" applyAlignment="1">
      <alignment vertical="center"/>
    </xf>
    <xf numFmtId="164" fontId="38" fillId="0" borderId="26" xfId="1" applyNumberFormat="1" applyFont="1" applyBorder="1" applyAlignment="1">
      <alignment vertical="center"/>
    </xf>
    <xf numFmtId="164" fontId="38" fillId="0" borderId="46" xfId="1" applyNumberFormat="1" applyFont="1" applyBorder="1" applyAlignment="1">
      <alignment vertical="center"/>
    </xf>
    <xf numFmtId="0" fontId="38" fillId="0" borderId="23" xfId="13" applyFont="1" applyBorder="1" applyAlignment="1">
      <alignment horizontal="left"/>
    </xf>
    <xf numFmtId="0" fontId="57" fillId="0" borderId="29" xfId="13" applyFont="1" applyBorder="1" applyAlignment="1">
      <alignment vertical="center"/>
    </xf>
    <xf numFmtId="0" fontId="57" fillId="0" borderId="32" xfId="13" applyFont="1" applyBorder="1" applyAlignment="1">
      <alignment vertical="center"/>
    </xf>
    <xf numFmtId="164" fontId="57" fillId="0" borderId="31" xfId="1" applyNumberFormat="1" applyFont="1" applyBorder="1" applyAlignment="1">
      <alignment horizontal="right" vertical="center"/>
    </xf>
    <xf numFmtId="164" fontId="57" fillId="0" borderId="32" xfId="1" applyNumberFormat="1" applyFont="1" applyBorder="1" applyAlignment="1">
      <alignment horizontal="right" vertical="center"/>
    </xf>
    <xf numFmtId="164" fontId="57" fillId="0" borderId="36" xfId="1" applyNumberFormat="1" applyFont="1" applyBorder="1" applyAlignment="1">
      <alignment horizontal="right" vertical="center"/>
    </xf>
    <xf numFmtId="164" fontId="57" fillId="0" borderId="42" xfId="1" applyNumberFormat="1" applyFont="1" applyBorder="1" applyAlignment="1">
      <alignment horizontal="right" vertical="center"/>
    </xf>
    <xf numFmtId="4" fontId="66" fillId="0" borderId="19" xfId="3" applyNumberFormat="1" applyFont="1" applyBorder="1"/>
    <xf numFmtId="9" fontId="66" fillId="0" borderId="19" xfId="3" applyFont="1" applyBorder="1"/>
    <xf numFmtId="4" fontId="66" fillId="0" borderId="0" xfId="3" applyNumberFormat="1" applyFont="1"/>
    <xf numFmtId="9" fontId="66" fillId="0" borderId="0" xfId="3" applyFont="1"/>
    <xf numFmtId="164" fontId="66" fillId="3" borderId="0" xfId="1" applyNumberFormat="1" applyFont="1" applyFill="1"/>
    <xf numFmtId="0" fontId="66" fillId="0" borderId="0" xfId="0" applyFont="1" applyAlignment="1">
      <alignment horizontal="right"/>
    </xf>
    <xf numFmtId="164" fontId="66" fillId="0" borderId="0" xfId="3" applyNumberFormat="1" applyFont="1"/>
    <xf numFmtId="3" fontId="66" fillId="0" borderId="0" xfId="3" applyNumberFormat="1" applyFont="1"/>
    <xf numFmtId="0" fontId="66" fillId="0" borderId="3" xfId="0" applyFont="1" applyBorder="1"/>
    <xf numFmtId="164" fontId="76" fillId="3" borderId="2" xfId="1" applyNumberFormat="1" applyFont="1" applyFill="1" applyBorder="1"/>
    <xf numFmtId="164" fontId="76" fillId="3" borderId="3" xfId="1" applyNumberFormat="1" applyFont="1" applyFill="1" applyBorder="1"/>
    <xf numFmtId="164" fontId="76" fillId="3" borderId="11" xfId="1" applyNumberFormat="1" applyFont="1" applyFill="1" applyBorder="1"/>
    <xf numFmtId="164" fontId="76" fillId="3" borderId="7" xfId="1" applyNumberFormat="1" applyFont="1" applyFill="1" applyBorder="1"/>
    <xf numFmtId="0" fontId="66" fillId="0" borderId="41" xfId="0" applyFont="1" applyBorder="1"/>
    <xf numFmtId="164" fontId="66" fillId="0" borderId="0" xfId="1" applyNumberFormat="1" applyFont="1"/>
    <xf numFmtId="164" fontId="66" fillId="0" borderId="41" xfId="1" applyNumberFormat="1" applyFont="1" applyBorder="1"/>
    <xf numFmtId="164" fontId="66" fillId="0" borderId="12" xfId="1" applyNumberFormat="1" applyFont="1" applyBorder="1"/>
    <xf numFmtId="164" fontId="66" fillId="0" borderId="9" xfId="1" applyNumberFormat="1" applyFont="1" applyBorder="1"/>
    <xf numFmtId="0" fontId="66" fillId="0" borderId="14" xfId="0" applyFont="1" applyBorder="1"/>
    <xf numFmtId="164" fontId="66" fillId="0" borderId="5" xfId="3" applyNumberFormat="1" applyFont="1" applyBorder="1"/>
    <xf numFmtId="164" fontId="66" fillId="0" borderId="4" xfId="3" applyNumberFormat="1" applyFont="1" applyBorder="1"/>
    <xf numFmtId="164" fontId="66" fillId="0" borderId="6" xfId="3" applyNumberFormat="1" applyFont="1" applyBorder="1"/>
    <xf numFmtId="164" fontId="66" fillId="0" borderId="17" xfId="3" applyNumberFormat="1" applyFont="1" applyBorder="1"/>
    <xf numFmtId="9" fontId="65" fillId="0" borderId="0" xfId="3" applyFont="1"/>
    <xf numFmtId="0" fontId="77" fillId="0" borderId="0" xfId="0" applyFont="1"/>
    <xf numFmtId="0" fontId="53" fillId="0" borderId="29" xfId="0" applyFont="1" applyBorder="1" applyAlignment="1">
      <alignment horizontal="right"/>
    </xf>
    <xf numFmtId="0" fontId="77" fillId="0" borderId="0" xfId="0" applyFont="1" applyAlignment="1">
      <alignment horizontal="left"/>
    </xf>
    <xf numFmtId="164" fontId="65" fillId="0" borderId="0" xfId="0" applyNumberFormat="1" applyFont="1"/>
    <xf numFmtId="164" fontId="65" fillId="0" borderId="2" xfId="0" applyNumberFormat="1" applyFont="1" applyBorder="1"/>
    <xf numFmtId="0" fontId="65" fillId="0" borderId="0" xfId="0" applyFont="1" applyAlignment="1">
      <alignment horizontal="right"/>
    </xf>
    <xf numFmtId="168" fontId="65" fillId="0" borderId="0" xfId="0" applyNumberFormat="1" applyFont="1"/>
    <xf numFmtId="10" fontId="65" fillId="0" borderId="0" xfId="0" applyNumberFormat="1" applyFont="1"/>
    <xf numFmtId="9" fontId="32" fillId="3" borderId="17" xfId="0" applyNumberFormat="1" applyFont="1" applyFill="1" applyBorder="1"/>
    <xf numFmtId="9" fontId="65" fillId="0" borderId="17" xfId="0" applyNumberFormat="1" applyFont="1" applyBorder="1"/>
    <xf numFmtId="9" fontId="53" fillId="0" borderId="17" xfId="0" applyNumberFormat="1" applyFont="1" applyBorder="1"/>
    <xf numFmtId="3" fontId="53" fillId="0" borderId="17" xfId="0" applyNumberFormat="1" applyFont="1" applyBorder="1"/>
    <xf numFmtId="9" fontId="32" fillId="3" borderId="0" xfId="0" applyNumberFormat="1" applyFont="1" applyFill="1"/>
    <xf numFmtId="172" fontId="38" fillId="0" borderId="0" xfId="13" applyNumberFormat="1" applyFont="1" applyAlignment="1">
      <alignment horizontal="center" vertical="center"/>
    </xf>
    <xf numFmtId="176" fontId="38" fillId="0" borderId="0" xfId="13" applyNumberFormat="1" applyFont="1" applyAlignment="1">
      <alignment horizontal="right" vertical="center"/>
    </xf>
    <xf numFmtId="0" fontId="53" fillId="0" borderId="17" xfId="0" applyFont="1" applyBorder="1" applyAlignment="1">
      <alignment horizontal="right"/>
    </xf>
    <xf numFmtId="0" fontId="53" fillId="0" borderId="4" xfId="0" applyFont="1" applyBorder="1"/>
    <xf numFmtId="0" fontId="53" fillId="0" borderId="14" xfId="0" applyFont="1" applyBorder="1"/>
    <xf numFmtId="3" fontId="65" fillId="0" borderId="17" xfId="0" applyNumberFormat="1" applyFont="1" applyBorder="1"/>
    <xf numFmtId="3" fontId="65" fillId="0" borderId="4" xfId="0" applyNumberFormat="1" applyFont="1" applyBorder="1"/>
    <xf numFmtId="3" fontId="65" fillId="0" borderId="51" xfId="0" applyNumberFormat="1" applyFont="1" applyBorder="1"/>
    <xf numFmtId="3" fontId="65" fillId="0" borderId="55" xfId="0" applyNumberFormat="1" applyFont="1" applyBorder="1"/>
    <xf numFmtId="3" fontId="65" fillId="0" borderId="56" xfId="0" applyNumberFormat="1" applyFont="1" applyBorder="1"/>
    <xf numFmtId="3" fontId="65" fillId="0" borderId="43" xfId="0" applyNumberFormat="1" applyFont="1" applyBorder="1"/>
    <xf numFmtId="3" fontId="65" fillId="0" borderId="0" xfId="0" applyNumberFormat="1" applyFont="1"/>
    <xf numFmtId="3" fontId="65" fillId="0" borderId="49" xfId="0" applyNumberFormat="1" applyFont="1" applyBorder="1"/>
    <xf numFmtId="3" fontId="65" fillId="0" borderId="52" xfId="0" applyNumberFormat="1" applyFont="1" applyBorder="1"/>
    <xf numFmtId="3" fontId="65" fillId="0" borderId="47" xfId="0" applyNumberFormat="1" applyFont="1" applyBorder="1"/>
    <xf numFmtId="3" fontId="53" fillId="0" borderId="4" xfId="0" applyNumberFormat="1" applyFont="1" applyBorder="1"/>
    <xf numFmtId="3" fontId="53" fillId="0" borderId="48" xfId="0" applyNumberFormat="1" applyFont="1" applyBorder="1"/>
    <xf numFmtId="3" fontId="53" fillId="0" borderId="53" xfId="0" applyNumberFormat="1" applyFont="1" applyBorder="1"/>
    <xf numFmtId="3" fontId="53" fillId="0" borderId="54" xfId="0" applyNumberFormat="1" applyFont="1" applyBorder="1"/>
    <xf numFmtId="3" fontId="53" fillId="0" borderId="42" xfId="0" applyNumberFormat="1" applyFont="1" applyBorder="1"/>
    <xf numFmtId="3" fontId="53" fillId="0" borderId="0" xfId="0" applyNumberFormat="1" applyFont="1"/>
    <xf numFmtId="0" fontId="53" fillId="0" borderId="0" xfId="0" applyFont="1"/>
    <xf numFmtId="0" fontId="65" fillId="0" borderId="2" xfId="0" applyFont="1" applyBorder="1" applyAlignment="1">
      <alignment horizontal="right"/>
    </xf>
    <xf numFmtId="3" fontId="65" fillId="0" borderId="2" xfId="0" applyNumberFormat="1" applyFont="1" applyBorder="1"/>
    <xf numFmtId="0" fontId="65" fillId="5" borderId="0" xfId="0" applyFont="1" applyFill="1"/>
    <xf numFmtId="3" fontId="65" fillId="5" borderId="0" xfId="0" applyNumberFormat="1" applyFont="1" applyFill="1"/>
    <xf numFmtId="0" fontId="65" fillId="0" borderId="0" xfId="0" applyFont="1" applyAlignment="1">
      <alignment horizontal="centerContinuous"/>
    </xf>
    <xf numFmtId="0" fontId="32" fillId="3" borderId="17" xfId="0" applyFont="1" applyFill="1" applyBorder="1"/>
    <xf numFmtId="0" fontId="32" fillId="3" borderId="17" xfId="0" applyFont="1" applyFill="1" applyBorder="1" applyAlignment="1">
      <alignment horizontal="center"/>
    </xf>
    <xf numFmtId="0" fontId="32" fillId="3" borderId="4" xfId="0" applyFont="1" applyFill="1" applyBorder="1" applyAlignment="1">
      <alignment horizontal="center"/>
    </xf>
    <xf numFmtId="0" fontId="32" fillId="3" borderId="51" xfId="0" applyFont="1" applyFill="1" applyBorder="1" applyAlignment="1">
      <alignment horizontal="center"/>
    </xf>
    <xf numFmtId="0" fontId="32" fillId="3" borderId="55" xfId="0" applyFont="1" applyFill="1" applyBorder="1" applyAlignment="1">
      <alignment horizontal="center"/>
    </xf>
    <xf numFmtId="0" fontId="32" fillId="3" borderId="56" xfId="0" applyFont="1" applyFill="1" applyBorder="1" applyAlignment="1">
      <alignment horizontal="center"/>
    </xf>
    <xf numFmtId="164" fontId="32" fillId="3" borderId="49" xfId="1" applyNumberFormat="1" applyFont="1" applyFill="1" applyBorder="1" applyAlignment="1">
      <alignment horizontal="center"/>
    </xf>
    <xf numFmtId="11" fontId="32" fillId="3" borderId="17" xfId="0" applyNumberFormat="1" applyFont="1" applyFill="1" applyBorder="1" applyAlignment="1">
      <alignment horizontal="center"/>
    </xf>
    <xf numFmtId="164" fontId="32" fillId="3" borderId="17" xfId="1" applyNumberFormat="1" applyFont="1" applyFill="1" applyBorder="1" applyAlignment="1">
      <alignment horizontal="center"/>
    </xf>
    <xf numFmtId="164" fontId="32" fillId="3" borderId="52" xfId="1" applyNumberFormat="1" applyFont="1" applyFill="1" applyBorder="1" applyAlignment="1">
      <alignment horizontal="center"/>
    </xf>
    <xf numFmtId="0" fontId="32" fillId="3" borderId="52" xfId="0" applyFont="1" applyFill="1" applyBorder="1" applyAlignment="1">
      <alignment horizontal="center"/>
    </xf>
    <xf numFmtId="164" fontId="32" fillId="3" borderId="4" xfId="1" applyNumberFormat="1" applyFont="1" applyFill="1" applyBorder="1" applyAlignment="1">
      <alignment horizontal="center"/>
    </xf>
    <xf numFmtId="0" fontId="32" fillId="3" borderId="49" xfId="0" applyFont="1" applyFill="1" applyBorder="1" applyAlignment="1">
      <alignment horizontal="center"/>
    </xf>
    <xf numFmtId="164" fontId="53" fillId="0" borderId="17" xfId="1" applyNumberFormat="1" applyFont="1" applyBorder="1" applyAlignment="1">
      <alignment horizontal="center"/>
    </xf>
    <xf numFmtId="164" fontId="53" fillId="0" borderId="4" xfId="1" applyNumberFormat="1" applyFont="1" applyBorder="1" applyAlignment="1">
      <alignment horizontal="center"/>
    </xf>
    <xf numFmtId="164" fontId="53" fillId="0" borderId="48" xfId="1" applyNumberFormat="1" applyFont="1" applyBorder="1" applyAlignment="1">
      <alignment horizontal="center"/>
    </xf>
    <xf numFmtId="164" fontId="53" fillId="0" borderId="53" xfId="1" applyNumberFormat="1" applyFont="1" applyBorder="1" applyAlignment="1">
      <alignment horizontal="center"/>
    </xf>
    <xf numFmtId="164" fontId="53" fillId="0" borderId="54" xfId="1" applyNumberFormat="1" applyFont="1" applyBorder="1" applyAlignment="1">
      <alignment horizontal="center"/>
    </xf>
    <xf numFmtId="164" fontId="53" fillId="0" borderId="0" xfId="1" applyNumberFormat="1" applyFont="1" applyAlignment="1">
      <alignment horizontal="center"/>
    </xf>
    <xf numFmtId="164" fontId="32" fillId="3" borderId="51" xfId="1" applyNumberFormat="1" applyFont="1" applyFill="1" applyBorder="1" applyAlignment="1">
      <alignment horizontal="center"/>
    </xf>
    <xf numFmtId="164" fontId="32" fillId="3" borderId="55" xfId="1" applyNumberFormat="1" applyFont="1" applyFill="1" applyBorder="1" applyAlignment="1">
      <alignment horizontal="center"/>
    </xf>
    <xf numFmtId="167" fontId="65" fillId="0" borderId="0" xfId="0" applyNumberFormat="1" applyFont="1"/>
    <xf numFmtId="172" fontId="65" fillId="0" borderId="0" xfId="0" applyNumberFormat="1" applyFont="1" applyAlignment="1">
      <alignment horizontal="center"/>
    </xf>
    <xf numFmtId="167" fontId="65" fillId="0" borderId="0" xfId="0" applyNumberFormat="1" applyFont="1" applyAlignment="1">
      <alignment horizontal="center"/>
    </xf>
    <xf numFmtId="164" fontId="78" fillId="0" borderId="0" xfId="1" applyNumberFormat="1" applyFont="1"/>
    <xf numFmtId="164" fontId="32" fillId="0" borderId="0" xfId="1" applyNumberFormat="1" applyFont="1"/>
    <xf numFmtId="164" fontId="38" fillId="0" borderId="2" xfId="1" applyNumberFormat="1" applyFont="1" applyBorder="1"/>
    <xf numFmtId="174" fontId="32" fillId="3" borderId="0" xfId="1" applyNumberFormat="1" applyFont="1" applyFill="1"/>
    <xf numFmtId="0" fontId="53" fillId="0" borderId="2" xfId="0" applyFont="1" applyBorder="1"/>
    <xf numFmtId="0" fontId="65" fillId="0" borderId="2" xfId="0" applyFont="1" applyBorder="1"/>
    <xf numFmtId="9" fontId="65" fillId="0" borderId="0" xfId="0" applyNumberFormat="1" applyFont="1" applyAlignment="1">
      <alignment horizontal="center"/>
    </xf>
    <xf numFmtId="4" fontId="66" fillId="0" borderId="0" xfId="0" applyNumberFormat="1" applyFont="1"/>
    <xf numFmtId="164" fontId="66" fillId="0" borderId="25" xfId="1" applyNumberFormat="1" applyFont="1" applyBorder="1"/>
    <xf numFmtId="0" fontId="79" fillId="0" borderId="0" xfId="0" applyFont="1"/>
    <xf numFmtId="0" fontId="66" fillId="0" borderId="23" xfId="0" applyFont="1" applyBorder="1"/>
    <xf numFmtId="9" fontId="32" fillId="0" borderId="0" xfId="0" applyNumberFormat="1" applyFont="1" applyAlignment="1">
      <alignment horizontal="center"/>
    </xf>
    <xf numFmtId="0" fontId="65" fillId="0" borderId="0" xfId="0" applyFont="1" applyAlignment="1">
      <alignment horizontal="left"/>
    </xf>
    <xf numFmtId="4" fontId="80" fillId="0" borderId="23" xfId="0" applyNumberFormat="1" applyFont="1" applyBorder="1"/>
    <xf numFmtId="164" fontId="76" fillId="3" borderId="0" xfId="1" applyNumberFormat="1" applyFont="1" applyFill="1"/>
    <xf numFmtId="164" fontId="76" fillId="3" borderId="25" xfId="1" applyNumberFormat="1" applyFont="1" applyFill="1" applyBorder="1"/>
    <xf numFmtId="164" fontId="76" fillId="3" borderId="33" xfId="1" applyNumberFormat="1" applyFont="1" applyFill="1" applyBorder="1"/>
    <xf numFmtId="4" fontId="66" fillId="0" borderId="23" xfId="0" applyNumberFormat="1" applyFont="1" applyBorder="1"/>
    <xf numFmtId="164" fontId="76" fillId="6" borderId="0" xfId="1" applyNumberFormat="1" applyFont="1" applyFill="1"/>
    <xf numFmtId="164" fontId="76" fillId="6" borderId="25" xfId="1" applyNumberFormat="1" applyFont="1" applyFill="1" applyBorder="1"/>
    <xf numFmtId="164" fontId="76" fillId="6" borderId="33" xfId="1" applyNumberFormat="1" applyFont="1" applyFill="1" applyBorder="1"/>
    <xf numFmtId="0" fontId="81" fillId="0" borderId="23" xfId="0" applyFont="1" applyBorder="1"/>
    <xf numFmtId="0" fontId="80" fillId="0" borderId="29" xfId="0" applyFont="1" applyBorder="1"/>
    <xf numFmtId="0" fontId="82" fillId="0" borderId="0" xfId="0" applyFont="1"/>
    <xf numFmtId="0" fontId="82" fillId="0" borderId="23" xfId="0" applyFont="1" applyBorder="1"/>
    <xf numFmtId="0" fontId="79" fillId="0" borderId="23" xfId="0" applyFont="1" applyBorder="1"/>
    <xf numFmtId="9" fontId="32" fillId="3" borderId="35" xfId="0" applyNumberFormat="1" applyFont="1" applyFill="1" applyBorder="1" applyAlignment="1">
      <alignment horizontal="center"/>
    </xf>
    <xf numFmtId="0" fontId="82" fillId="0" borderId="29" xfId="0" applyFont="1" applyBorder="1" applyAlignment="1">
      <alignment horizontal="right"/>
    </xf>
    <xf numFmtId="0" fontId="83" fillId="0" borderId="23" xfId="0" applyFont="1" applyBorder="1"/>
    <xf numFmtId="164" fontId="76" fillId="3" borderId="23" xfId="1" applyNumberFormat="1" applyFont="1" applyFill="1" applyBorder="1"/>
    <xf numFmtId="164" fontId="80" fillId="0" borderId="2" xfId="1" applyNumberFormat="1" applyFont="1" applyBorder="1"/>
    <xf numFmtId="164" fontId="80" fillId="0" borderId="30" xfId="1" applyNumberFormat="1" applyFont="1" applyBorder="1"/>
    <xf numFmtId="164" fontId="80" fillId="0" borderId="45" xfId="1" applyNumberFormat="1" applyFont="1" applyBorder="1"/>
    <xf numFmtId="0" fontId="80" fillId="0" borderId="23" xfId="0" applyFont="1" applyBorder="1"/>
    <xf numFmtId="0" fontId="80" fillId="0" borderId="23" xfId="0" applyFont="1" applyBorder="1" applyAlignment="1">
      <alignment horizontal="right"/>
    </xf>
    <xf numFmtId="4" fontId="80" fillId="0" borderId="23" xfId="0" applyNumberFormat="1" applyFont="1" applyBorder="1" applyAlignment="1">
      <alignment horizontal="right"/>
    </xf>
    <xf numFmtId="164" fontId="80" fillId="0" borderId="5" xfId="1" applyNumberFormat="1" applyFont="1" applyBorder="1"/>
    <xf numFmtId="164" fontId="80" fillId="0" borderId="37" xfId="1" applyNumberFormat="1" applyFont="1" applyBorder="1"/>
    <xf numFmtId="164" fontId="80" fillId="0" borderId="38" xfId="1" applyNumberFormat="1" applyFont="1" applyBorder="1"/>
    <xf numFmtId="164" fontId="80" fillId="0" borderId="47" xfId="1" applyNumberFormat="1" applyFont="1" applyBorder="1"/>
    <xf numFmtId="164" fontId="66" fillId="0" borderId="23" xfId="1" applyNumberFormat="1" applyFont="1" applyBorder="1"/>
    <xf numFmtId="164" fontId="66" fillId="0" borderId="33" xfId="1" applyNumberFormat="1" applyFont="1" applyBorder="1"/>
    <xf numFmtId="9" fontId="65" fillId="0" borderId="0" xfId="0" applyNumberFormat="1" applyFont="1"/>
    <xf numFmtId="15" fontId="65" fillId="0" borderId="0" xfId="0" applyNumberFormat="1" applyFont="1"/>
    <xf numFmtId="4" fontId="53" fillId="0" borderId="0" xfId="0" applyNumberFormat="1" applyFont="1"/>
    <xf numFmtId="164" fontId="66" fillId="0" borderId="2" xfId="1" applyNumberFormat="1" applyFont="1" applyBorder="1"/>
    <xf numFmtId="164" fontId="66" fillId="0" borderId="45" xfId="1" applyNumberFormat="1" applyFont="1" applyBorder="1"/>
    <xf numFmtId="164" fontId="66" fillId="0" borderId="30" xfId="1" applyNumberFormat="1" applyFont="1" applyBorder="1"/>
    <xf numFmtId="0" fontId="82" fillId="0" borderId="2" xfId="0" applyFont="1" applyBorder="1"/>
    <xf numFmtId="43" fontId="65" fillId="0" borderId="0" xfId="1" applyFont="1" applyAlignment="1">
      <alignment horizontal="center"/>
    </xf>
    <xf numFmtId="0" fontId="84" fillId="0" borderId="0" xfId="0" applyFont="1"/>
    <xf numFmtId="10" fontId="65" fillId="0" borderId="0" xfId="0" applyNumberFormat="1" applyFont="1" applyAlignment="1">
      <alignment horizontal="center"/>
    </xf>
    <xf numFmtId="0" fontId="83" fillId="0" borderId="0" xfId="0" applyFont="1"/>
    <xf numFmtId="10" fontId="65" fillId="0" borderId="0" xfId="0" applyNumberFormat="1" applyFont="1" applyAlignment="1">
      <alignment horizontal="right"/>
    </xf>
    <xf numFmtId="165" fontId="66" fillId="0" borderId="0" xfId="2" applyNumberFormat="1" applyFont="1"/>
    <xf numFmtId="173" fontId="66" fillId="0" borderId="0" xfId="15" applyNumberFormat="1" applyFont="1"/>
    <xf numFmtId="173" fontId="32" fillId="19" borderId="19" xfId="15" applyNumberFormat="1" applyFont="1" applyFill="1" applyBorder="1"/>
    <xf numFmtId="173" fontId="32" fillId="19" borderId="44" xfId="15" applyNumberFormat="1" applyFont="1" applyFill="1" applyBorder="1"/>
    <xf numFmtId="173" fontId="32" fillId="19" borderId="20" xfId="15" applyNumberFormat="1" applyFont="1" applyFill="1" applyBorder="1"/>
    <xf numFmtId="173" fontId="32" fillId="19" borderId="0" xfId="15" applyNumberFormat="1" applyFont="1" applyFill="1"/>
    <xf numFmtId="173" fontId="32" fillId="24" borderId="0" xfId="15" applyNumberFormat="1" applyFont="1" applyFill="1"/>
    <xf numFmtId="173" fontId="32" fillId="19" borderId="33" xfId="15" applyNumberFormat="1" applyFont="1" applyFill="1" applyBorder="1"/>
    <xf numFmtId="173" fontId="32" fillId="19" borderId="25" xfId="15" applyNumberFormat="1" applyFont="1" applyFill="1" applyBorder="1"/>
    <xf numFmtId="4" fontId="80" fillId="0" borderId="2" xfId="0" applyNumberFormat="1" applyFont="1" applyBorder="1" applyAlignment="1">
      <alignment horizontal="right"/>
    </xf>
    <xf numFmtId="173" fontId="65" fillId="0" borderId="2" xfId="15" applyNumberFormat="1" applyFont="1" applyBorder="1"/>
    <xf numFmtId="4" fontId="80" fillId="0" borderId="0" xfId="0" applyNumberFormat="1" applyFont="1" applyAlignment="1">
      <alignment horizontal="left"/>
    </xf>
    <xf numFmtId="173" fontId="65" fillId="0" borderId="0" xfId="15" applyNumberFormat="1" applyFont="1"/>
    <xf numFmtId="0" fontId="66" fillId="0" borderId="18" xfId="0" applyFont="1" applyBorder="1"/>
    <xf numFmtId="0" fontId="80" fillId="0" borderId="29" xfId="0" applyFont="1" applyBorder="1" applyAlignment="1">
      <alignment horizontal="right"/>
    </xf>
    <xf numFmtId="0" fontId="57" fillId="0" borderId="0" xfId="0" applyFont="1" applyAlignment="1">
      <alignment horizontal="right"/>
    </xf>
    <xf numFmtId="173" fontId="76" fillId="19" borderId="0" xfId="15" applyNumberFormat="1" applyFont="1" applyFill="1"/>
    <xf numFmtId="173" fontId="76" fillId="19" borderId="23" xfId="15" applyNumberFormat="1" applyFont="1" applyFill="1" applyBorder="1"/>
    <xf numFmtId="173" fontId="76" fillId="19" borderId="25" xfId="15" applyNumberFormat="1" applyFont="1" applyFill="1" applyBorder="1"/>
    <xf numFmtId="173" fontId="76" fillId="19" borderId="33" xfId="15" applyNumberFormat="1" applyFont="1" applyFill="1" applyBorder="1"/>
    <xf numFmtId="173" fontId="66" fillId="0" borderId="23" xfId="15" applyNumberFormat="1" applyFont="1" applyBorder="1"/>
    <xf numFmtId="173" fontId="66" fillId="0" borderId="25" xfId="15" applyNumberFormat="1" applyFont="1" applyBorder="1"/>
    <xf numFmtId="173" fontId="66" fillId="0" borderId="33" xfId="15" applyNumberFormat="1" applyFont="1" applyBorder="1"/>
    <xf numFmtId="9" fontId="32" fillId="3" borderId="0" xfId="0" applyNumberFormat="1" applyFont="1" applyFill="1" applyAlignment="1">
      <alignment horizontal="center"/>
    </xf>
    <xf numFmtId="0" fontId="66" fillId="0" borderId="29" xfId="0" applyFont="1" applyBorder="1" applyAlignment="1">
      <alignment horizontal="right"/>
    </xf>
    <xf numFmtId="9" fontId="65" fillId="0" borderId="0" xfId="1" applyNumberFormat="1" applyFont="1" applyAlignment="1">
      <alignment horizontal="center"/>
    </xf>
    <xf numFmtId="43" fontId="65" fillId="0" borderId="0" xfId="0" applyNumberFormat="1" applyFont="1" applyAlignment="1">
      <alignment horizontal="left"/>
    </xf>
    <xf numFmtId="164" fontId="22" fillId="0" borderId="0" xfId="1" applyNumberFormat="1" applyFont="1"/>
    <xf numFmtId="164" fontId="22" fillId="0" borderId="33" xfId="1" applyNumberFormat="1" applyFont="1" applyBorder="1"/>
    <xf numFmtId="0" fontId="66" fillId="0" borderId="0" xfId="0" applyFont="1" applyAlignment="1">
      <alignment horizontal="center"/>
    </xf>
    <xf numFmtId="164" fontId="66" fillId="0" borderId="0" xfId="1" applyNumberFormat="1" applyFont="1" applyAlignment="1">
      <alignment horizontal="center"/>
    </xf>
    <xf numFmtId="168" fontId="22" fillId="0" borderId="0" xfId="3" applyNumberFormat="1" applyFont="1"/>
    <xf numFmtId="164" fontId="22" fillId="0" borderId="0" xfId="0" applyNumberFormat="1" applyFont="1"/>
    <xf numFmtId="9" fontId="0" fillId="6" borderId="17" xfId="0" applyNumberFormat="1" applyFill="1" applyBorder="1"/>
    <xf numFmtId="0" fontId="14" fillId="0" borderId="0" xfId="0" applyFont="1" applyAlignment="1">
      <alignment horizontal="right"/>
    </xf>
    <xf numFmtId="164" fontId="5" fillId="9" borderId="18" xfId="1" applyNumberFormat="1" applyFont="1" applyFill="1" applyBorder="1"/>
    <xf numFmtId="164" fontId="5" fillId="9" borderId="19" xfId="1" applyNumberFormat="1" applyFont="1" applyFill="1" applyBorder="1"/>
    <xf numFmtId="164" fontId="0" fillId="0" borderId="2" xfId="6" applyNumberFormat="1" applyFont="1" applyBorder="1"/>
    <xf numFmtId="9" fontId="5" fillId="0" borderId="2" xfId="8" applyNumberFormat="1" applyBorder="1"/>
    <xf numFmtId="164" fontId="19" fillId="3" borderId="2" xfId="6" applyNumberFormat="1" applyFont="1" applyFill="1" applyBorder="1"/>
    <xf numFmtId="164" fontId="19" fillId="3" borderId="11" xfId="6" applyNumberFormat="1" applyFont="1" applyFill="1" applyBorder="1"/>
    <xf numFmtId="10" fontId="59" fillId="6" borderId="0" xfId="0" applyNumberFormat="1" applyFont="1" applyFill="1"/>
    <xf numFmtId="0" fontId="85" fillId="26" borderId="3" xfId="8" applyFont="1" applyFill="1" applyBorder="1"/>
    <xf numFmtId="0" fontId="85" fillId="26" borderId="11" xfId="8" applyFont="1" applyFill="1" applyBorder="1"/>
    <xf numFmtId="0" fontId="85" fillId="26" borderId="41" xfId="8" applyFont="1" applyFill="1" applyBorder="1"/>
    <xf numFmtId="0" fontId="85" fillId="26" borderId="12" xfId="8" applyFont="1" applyFill="1" applyBorder="1"/>
    <xf numFmtId="0" fontId="85" fillId="26" borderId="14" xfId="8" applyFont="1" applyFill="1" applyBorder="1"/>
    <xf numFmtId="0" fontId="85" fillId="26" borderId="13" xfId="8" applyFont="1" applyFill="1" applyBorder="1"/>
    <xf numFmtId="175" fontId="86" fillId="6" borderId="0" xfId="8" applyNumberFormat="1" applyFont="1" applyFill="1"/>
    <xf numFmtId="164" fontId="19" fillId="2" borderId="0" xfId="1" applyNumberFormat="1" applyFont="1" applyFill="1"/>
    <xf numFmtId="0" fontId="66" fillId="2" borderId="23" xfId="0" applyFont="1" applyFill="1" applyBorder="1"/>
    <xf numFmtId="164" fontId="20" fillId="0" borderId="23" xfId="1" applyNumberFormat="1" applyFont="1" applyBorder="1"/>
    <xf numFmtId="164" fontId="19" fillId="0" borderId="25" xfId="1" applyNumberFormat="1" applyFont="1" applyBorder="1"/>
    <xf numFmtId="168" fontId="3" fillId="0" borderId="0" xfId="1" applyNumberFormat="1" applyFont="1" applyAlignment="1">
      <alignment horizontal="center"/>
    </xf>
    <xf numFmtId="168" fontId="3" fillId="0" borderId="19" xfId="1" applyNumberFormat="1" applyFont="1" applyBorder="1" applyAlignment="1">
      <alignment horizontal="center"/>
    </xf>
    <xf numFmtId="9" fontId="3" fillId="0" borderId="33" xfId="0" applyNumberFormat="1" applyFont="1" applyBorder="1"/>
    <xf numFmtId="9" fontId="3" fillId="0" borderId="25" xfId="0" applyNumberFormat="1" applyFont="1" applyBorder="1"/>
    <xf numFmtId="9" fontId="87" fillId="27" borderId="0" xfId="0" applyNumberFormat="1" applyFont="1" applyFill="1" applyAlignment="1">
      <alignment horizontal="center"/>
    </xf>
    <xf numFmtId="164" fontId="3" fillId="0" borderId="0" xfId="0" applyNumberFormat="1" applyFont="1" applyAlignment="1">
      <alignment horizontal="right"/>
    </xf>
    <xf numFmtId="164" fontId="3" fillId="28" borderId="31" xfId="1" applyNumberFormat="1" applyFont="1" applyFill="1" applyBorder="1"/>
    <xf numFmtId="164" fontId="0" fillId="28" borderId="5" xfId="1" applyNumberFormat="1" applyFont="1" applyFill="1" applyBorder="1"/>
    <xf numFmtId="164" fontId="0" fillId="28" borderId="0" xfId="1" applyNumberFormat="1" applyFont="1" applyFill="1"/>
    <xf numFmtId="164" fontId="3" fillId="2" borderId="47" xfId="1" applyNumberFormat="1" applyFont="1" applyFill="1" applyBorder="1"/>
    <xf numFmtId="164" fontId="12" fillId="2" borderId="0" xfId="1" applyNumberFormat="1" applyFont="1" applyFill="1"/>
    <xf numFmtId="164" fontId="5" fillId="0" borderId="2" xfId="1" applyNumberFormat="1" applyFont="1" applyBorder="1"/>
    <xf numFmtId="0" fontId="85" fillId="29" borderId="0" xfId="0" applyFont="1" applyFill="1"/>
    <xf numFmtId="173" fontId="19" fillId="29" borderId="0" xfId="0" applyNumberFormat="1" applyFont="1" applyFill="1"/>
    <xf numFmtId="9" fontId="85" fillId="29" borderId="0" xfId="0" applyNumberFormat="1" applyFont="1" applyFill="1"/>
    <xf numFmtId="168" fontId="85" fillId="29" borderId="0" xfId="0" applyNumberFormat="1" applyFont="1" applyFill="1"/>
    <xf numFmtId="14" fontId="85" fillId="29" borderId="0" xfId="0" applyNumberFormat="1" applyFont="1" applyFill="1"/>
    <xf numFmtId="0" fontId="85" fillId="29" borderId="2" xfId="0" applyFont="1" applyFill="1" applyBorder="1"/>
    <xf numFmtId="173" fontId="19" fillId="29" borderId="2" xfId="0" applyNumberFormat="1" applyFont="1" applyFill="1" applyBorder="1"/>
    <xf numFmtId="9" fontId="85" fillId="29" borderId="2" xfId="0" applyNumberFormat="1" applyFont="1" applyFill="1" applyBorder="1"/>
    <xf numFmtId="14" fontId="85" fillId="29" borderId="2" xfId="0" applyNumberFormat="1" applyFont="1" applyFill="1" applyBorder="1"/>
    <xf numFmtId="14" fontId="48" fillId="3" borderId="2" xfId="8" applyNumberFormat="1" applyFont="1" applyFill="1" applyBorder="1"/>
    <xf numFmtId="14" fontId="85" fillId="3" borderId="35" xfId="8" applyNumberFormat="1" applyFont="1" applyFill="1" applyBorder="1"/>
    <xf numFmtId="10" fontId="14" fillId="0" borderId="0" xfId="0" applyNumberFormat="1" applyFont="1"/>
    <xf numFmtId="3" fontId="17" fillId="0" borderId="0" xfId="0" applyNumberFormat="1" applyFont="1"/>
    <xf numFmtId="3" fontId="17" fillId="0" borderId="35" xfId="0" applyNumberFormat="1" applyFont="1" applyBorder="1"/>
    <xf numFmtId="3" fontId="17" fillId="0" borderId="68" xfId="0" applyNumberFormat="1" applyFont="1" applyBorder="1"/>
    <xf numFmtId="3" fontId="17" fillId="0" borderId="69" xfId="0" applyNumberFormat="1" applyFont="1" applyBorder="1"/>
    <xf numFmtId="3" fontId="17" fillId="0" borderId="70" xfId="0" applyNumberFormat="1" applyFont="1" applyBorder="1"/>
    <xf numFmtId="3" fontId="17" fillId="0" borderId="71" xfId="0" applyNumberFormat="1" applyFont="1" applyBorder="1"/>
    <xf numFmtId="0" fontId="17" fillId="0" borderId="70" xfId="0" applyFont="1" applyBorder="1" applyAlignment="1">
      <alignment horizontal="right"/>
    </xf>
    <xf numFmtId="3" fontId="14" fillId="0" borderId="45" xfId="0" applyNumberFormat="1" applyFont="1" applyBorder="1"/>
    <xf numFmtId="3" fontId="89" fillId="3" borderId="45" xfId="0" applyNumberFormat="1" applyFont="1" applyFill="1" applyBorder="1"/>
    <xf numFmtId="3" fontId="89" fillId="3" borderId="72" xfId="0" applyNumberFormat="1" applyFont="1" applyFill="1" applyBorder="1"/>
    <xf numFmtId="3" fontId="14" fillId="0" borderId="7" xfId="0" applyNumberFormat="1" applyFont="1" applyBorder="1"/>
    <xf numFmtId="3" fontId="89" fillId="3" borderId="50" xfId="0" applyNumberFormat="1" applyFont="1" applyFill="1" applyBorder="1"/>
    <xf numFmtId="3" fontId="14" fillId="0" borderId="50" xfId="0" applyNumberFormat="1" applyFont="1" applyBorder="1"/>
    <xf numFmtId="0" fontId="14" fillId="0" borderId="3" xfId="0" applyFont="1" applyBorder="1"/>
    <xf numFmtId="0" fontId="14" fillId="0" borderId="7" xfId="0" applyFont="1" applyBorder="1"/>
    <xf numFmtId="0" fontId="12" fillId="0" borderId="7" xfId="0" applyFont="1" applyBorder="1"/>
    <xf numFmtId="3" fontId="14" fillId="0" borderId="47" xfId="0" applyNumberFormat="1" applyFont="1" applyBorder="1"/>
    <xf numFmtId="3" fontId="14" fillId="0" borderId="52" xfId="0" applyNumberFormat="1" applyFont="1" applyBorder="1"/>
    <xf numFmtId="3" fontId="14" fillId="0" borderId="17" xfId="0" applyNumberFormat="1" applyFont="1" applyBorder="1"/>
    <xf numFmtId="3" fontId="14" fillId="0" borderId="49" xfId="0" applyNumberFormat="1" applyFont="1" applyBorder="1"/>
    <xf numFmtId="0" fontId="14" fillId="0" borderId="4" xfId="0" applyFont="1" applyBorder="1"/>
    <xf numFmtId="0" fontId="14" fillId="0" borderId="17" xfId="0" applyFont="1" applyBorder="1"/>
    <xf numFmtId="3" fontId="14" fillId="0" borderId="43" xfId="0" applyNumberFormat="1" applyFont="1" applyBorder="1"/>
    <xf numFmtId="3" fontId="14" fillId="0" borderId="56" xfId="0" applyNumberFormat="1" applyFont="1" applyBorder="1"/>
    <xf numFmtId="3" fontId="14" fillId="0" borderId="55" xfId="0" applyNumberFormat="1" applyFont="1" applyBorder="1"/>
    <xf numFmtId="3" fontId="14" fillId="0" borderId="51" xfId="0" applyNumberFormat="1" applyFont="1" applyBorder="1"/>
    <xf numFmtId="0" fontId="17" fillId="0" borderId="65" xfId="0" applyFont="1" applyBorder="1"/>
    <xf numFmtId="164" fontId="16" fillId="0" borderId="0" xfId="1" applyNumberFormat="1" applyFont="1" applyAlignment="1">
      <alignment vertical="center"/>
    </xf>
    <xf numFmtId="0" fontId="17" fillId="0" borderId="0" xfId="0" applyFont="1" applyAlignment="1">
      <alignment horizontal="right"/>
    </xf>
    <xf numFmtId="3" fontId="3" fillId="0" borderId="35" xfId="0" applyNumberFormat="1" applyFont="1" applyBorder="1"/>
    <xf numFmtId="3" fontId="3" fillId="0" borderId="68" xfId="0" applyNumberFormat="1" applyFont="1" applyBorder="1"/>
    <xf numFmtId="3" fontId="3" fillId="0" borderId="69" xfId="0" applyNumberFormat="1" applyFont="1" applyBorder="1"/>
    <xf numFmtId="3" fontId="3" fillId="0" borderId="70" xfId="0" applyNumberFormat="1" applyFont="1" applyBorder="1"/>
    <xf numFmtId="3" fontId="3" fillId="0" borderId="71" xfId="0" applyNumberFormat="1" applyFont="1" applyBorder="1"/>
    <xf numFmtId="3" fontId="12" fillId="0" borderId="45" xfId="0" applyNumberFormat="1" applyFont="1" applyBorder="1"/>
    <xf numFmtId="3" fontId="19" fillId="3" borderId="72" xfId="0" applyNumberFormat="1" applyFont="1" applyFill="1" applyBorder="1"/>
    <xf numFmtId="3" fontId="19" fillId="3" borderId="7" xfId="0" applyNumberFormat="1" applyFont="1" applyFill="1" applyBorder="1"/>
    <xf numFmtId="3" fontId="12" fillId="0" borderId="3" xfId="0" applyNumberFormat="1" applyFont="1" applyBorder="1"/>
    <xf numFmtId="3" fontId="12" fillId="0" borderId="7" xfId="0" applyNumberFormat="1" applyFont="1" applyBorder="1"/>
    <xf numFmtId="177" fontId="0" fillId="0" borderId="47" xfId="1" applyNumberFormat="1" applyFont="1" applyBorder="1"/>
    <xf numFmtId="164" fontId="0" fillId="0" borderId="0" xfId="0" applyNumberFormat="1" applyAlignment="1">
      <alignment horizontal="center" vertical="center"/>
    </xf>
    <xf numFmtId="177" fontId="0" fillId="0" borderId="43" xfId="1" applyNumberFormat="1" applyFont="1" applyBorder="1"/>
    <xf numFmtId="4" fontId="12" fillId="0" borderId="4" xfId="0" applyNumberFormat="1" applyFont="1" applyBorder="1"/>
    <xf numFmtId="0" fontId="90" fillId="0" borderId="0" xfId="13" applyFont="1" applyAlignment="1">
      <alignment horizontal="right" vertical="center" indent="1"/>
    </xf>
    <xf numFmtId="0" fontId="16" fillId="0" borderId="0" xfId="13" applyFont="1" applyAlignment="1">
      <alignment horizontal="left" vertical="center" indent="1"/>
    </xf>
    <xf numFmtId="164" fontId="0" fillId="0" borderId="2" xfId="0" applyNumberFormat="1" applyBorder="1" applyAlignment="1">
      <alignment horizontal="center"/>
    </xf>
    <xf numFmtId="0" fontId="16" fillId="0" borderId="2" xfId="13" applyFont="1" applyBorder="1" applyAlignment="1">
      <alignment horizontal="right" vertical="center"/>
    </xf>
    <xf numFmtId="164" fontId="12" fillId="0" borderId="45" xfId="1" applyNumberFormat="1" applyFont="1" applyBorder="1"/>
    <xf numFmtId="164" fontId="12" fillId="0" borderId="72" xfId="1" applyNumberFormat="1" applyFont="1" applyBorder="1"/>
    <xf numFmtId="164" fontId="12" fillId="0" borderId="7" xfId="1" applyNumberFormat="1" applyFont="1" applyBorder="1"/>
    <xf numFmtId="164" fontId="12" fillId="0" borderId="54" xfId="1" applyNumberFormat="1" applyFont="1" applyBorder="1"/>
    <xf numFmtId="164" fontId="12" fillId="0" borderId="53" xfId="1" applyNumberFormat="1" applyFont="1" applyBorder="1"/>
    <xf numFmtId="164" fontId="12" fillId="0" borderId="48" xfId="1" applyNumberFormat="1" applyFont="1" applyBorder="1"/>
    <xf numFmtId="1" fontId="0" fillId="0" borderId="3" xfId="0" applyNumberFormat="1" applyBorder="1"/>
    <xf numFmtId="1" fontId="0" fillId="0" borderId="7" xfId="0" applyNumberFormat="1" applyBorder="1"/>
    <xf numFmtId="164" fontId="12" fillId="0" borderId="49" xfId="1" applyNumberFormat="1" applyFont="1" applyBorder="1"/>
    <xf numFmtId="1" fontId="0" fillId="0" borderId="4" xfId="0" applyNumberFormat="1" applyBorder="1"/>
    <xf numFmtId="1" fontId="19" fillId="3" borderId="17" xfId="0" applyNumberFormat="1" applyFont="1" applyFill="1" applyBorder="1"/>
    <xf numFmtId="0" fontId="0" fillId="0" borderId="4" xfId="0" applyBorder="1"/>
    <xf numFmtId="9" fontId="12" fillId="0" borderId="64" xfId="0" applyNumberFormat="1" applyFont="1" applyBorder="1"/>
    <xf numFmtId="0" fontId="23" fillId="0" borderId="4" xfId="0" applyFont="1" applyBorder="1"/>
    <xf numFmtId="0" fontId="14" fillId="0" borderId="0" xfId="0" applyFont="1" applyAlignment="1">
      <alignment horizontal="centerContinuous"/>
    </xf>
    <xf numFmtId="0" fontId="9" fillId="0" borderId="0" xfId="0" applyFont="1" applyAlignment="1">
      <alignment horizontal="centerContinuous"/>
    </xf>
    <xf numFmtId="164" fontId="12" fillId="0" borderId="51" xfId="1" applyNumberFormat="1" applyFont="1" applyBorder="1"/>
    <xf numFmtId="9" fontId="12" fillId="0" borderId="17" xfId="0" applyNumberFormat="1" applyFont="1" applyBorder="1"/>
    <xf numFmtId="176" fontId="16" fillId="0" borderId="0" xfId="13" applyNumberFormat="1" applyFont="1" applyAlignment="1">
      <alignment horizontal="right" vertical="center"/>
    </xf>
    <xf numFmtId="176" fontId="16" fillId="0" borderId="0" xfId="13" applyNumberFormat="1" applyFont="1" applyAlignment="1">
      <alignment horizontal="center" vertical="center"/>
    </xf>
    <xf numFmtId="0" fontId="16" fillId="0" borderId="0" xfId="13" applyFont="1" applyAlignment="1">
      <alignment horizontal="center" vertical="center"/>
    </xf>
    <xf numFmtId="0" fontId="16" fillId="0" borderId="0" xfId="13" applyFont="1" applyAlignment="1">
      <alignment vertical="center"/>
    </xf>
    <xf numFmtId="172" fontId="16" fillId="0" borderId="0" xfId="13" applyNumberFormat="1" applyFont="1" applyAlignment="1">
      <alignment horizontal="center" vertical="center"/>
    </xf>
    <xf numFmtId="168" fontId="17" fillId="0" borderId="0" xfId="0" applyNumberFormat="1" applyFont="1"/>
    <xf numFmtId="0" fontId="0" fillId="11" borderId="0" xfId="0" applyFill="1"/>
    <xf numFmtId="0" fontId="14" fillId="11" borderId="0" xfId="0" applyFont="1" applyFill="1"/>
    <xf numFmtId="164" fontId="16" fillId="0" borderId="19" xfId="1" applyNumberFormat="1" applyFont="1" applyBorder="1" applyAlignment="1">
      <alignment vertical="center"/>
    </xf>
    <xf numFmtId="164" fontId="90" fillId="0" borderId="0" xfId="1" applyNumberFormat="1" applyFont="1" applyAlignment="1">
      <alignment horizontal="right" vertical="center"/>
    </xf>
    <xf numFmtId="164" fontId="90" fillId="0" borderId="42" xfId="1" applyNumberFormat="1" applyFont="1" applyBorder="1" applyAlignment="1">
      <alignment horizontal="right" vertical="center"/>
    </xf>
    <xf numFmtId="164" fontId="90" fillId="0" borderId="36" xfId="1" applyNumberFormat="1" applyFont="1" applyBorder="1" applyAlignment="1">
      <alignment horizontal="right" vertical="center"/>
    </xf>
    <xf numFmtId="164" fontId="90" fillId="0" borderId="31" xfId="1" applyNumberFormat="1" applyFont="1" applyBorder="1" applyAlignment="1">
      <alignment horizontal="right" vertical="center"/>
    </xf>
    <xf numFmtId="164" fontId="90" fillId="0" borderId="32" xfId="1" applyNumberFormat="1" applyFont="1" applyBorder="1" applyAlignment="1">
      <alignment horizontal="right" vertical="center"/>
    </xf>
    <xf numFmtId="0" fontId="90" fillId="0" borderId="32" xfId="13" applyFont="1" applyBorder="1" applyAlignment="1">
      <alignment vertical="center"/>
    </xf>
    <xf numFmtId="164" fontId="16" fillId="0" borderId="46" xfId="1" applyNumberFormat="1" applyFont="1" applyBorder="1" applyAlignment="1">
      <alignment vertical="center"/>
    </xf>
    <xf numFmtId="164" fontId="16" fillId="0" borderId="26" xfId="1" applyNumberFormat="1" applyFont="1" applyBorder="1" applyAlignment="1">
      <alignment vertical="center"/>
    </xf>
    <xf numFmtId="164" fontId="16" fillId="0" borderId="15" xfId="1" applyNumberFormat="1" applyFont="1" applyBorder="1" applyAlignment="1">
      <alignment vertical="center"/>
    </xf>
    <xf numFmtId="164" fontId="16" fillId="0" borderId="24" xfId="1" applyNumberFormat="1" applyFont="1" applyBorder="1" applyAlignment="1">
      <alignment vertical="center"/>
    </xf>
    <xf numFmtId="0" fontId="16" fillId="0" borderId="24" xfId="13" applyFont="1" applyBorder="1" applyAlignment="1">
      <alignment vertical="center"/>
    </xf>
    <xf numFmtId="164" fontId="14" fillId="0" borderId="33" xfId="0" applyNumberFormat="1" applyFont="1" applyBorder="1"/>
    <xf numFmtId="164" fontId="14" fillId="0" borderId="25" xfId="0" applyNumberFormat="1" applyFont="1" applyBorder="1"/>
    <xf numFmtId="164" fontId="14" fillId="0" borderId="23" xfId="0" applyNumberFormat="1" applyFont="1" applyBorder="1"/>
    <xf numFmtId="0" fontId="14" fillId="0" borderId="25" xfId="0" applyFont="1" applyBorder="1"/>
    <xf numFmtId="0" fontId="14" fillId="0" borderId="23" xfId="0" applyFont="1" applyBorder="1"/>
    <xf numFmtId="164" fontId="14" fillId="0" borderId="47" xfId="0" applyNumberFormat="1" applyFont="1" applyBorder="1"/>
    <xf numFmtId="164" fontId="14" fillId="0" borderId="38" xfId="0" applyNumberFormat="1" applyFont="1" applyBorder="1"/>
    <xf numFmtId="164" fontId="14" fillId="0" borderId="5" xfId="0" applyNumberFormat="1" applyFont="1" applyBorder="1"/>
    <xf numFmtId="164" fontId="14" fillId="0" borderId="37" xfId="0" applyNumberFormat="1" applyFont="1" applyBorder="1"/>
    <xf numFmtId="0" fontId="17" fillId="0" borderId="5" xfId="0" applyFont="1" applyBorder="1"/>
    <xf numFmtId="164" fontId="16" fillId="0" borderId="63" xfId="1" applyNumberFormat="1" applyFont="1" applyBorder="1" applyAlignment="1">
      <alignment vertical="center"/>
    </xf>
    <xf numFmtId="164" fontId="16" fillId="0" borderId="62" xfId="1" applyNumberFormat="1" applyFont="1" applyBorder="1" applyAlignment="1">
      <alignment vertical="center"/>
    </xf>
    <xf numFmtId="164" fontId="90" fillId="0" borderId="0" xfId="1" applyNumberFormat="1" applyFont="1" applyAlignment="1">
      <alignment vertical="center"/>
    </xf>
    <xf numFmtId="164" fontId="90" fillId="0" borderId="45" xfId="1" applyNumberFormat="1" applyFont="1" applyBorder="1" applyAlignment="1">
      <alignment vertical="center"/>
    </xf>
    <xf numFmtId="164" fontId="90" fillId="0" borderId="30" xfId="1" applyNumberFormat="1" applyFont="1" applyBorder="1" applyAlignment="1">
      <alignment vertical="center"/>
    </xf>
    <xf numFmtId="164" fontId="90" fillId="0" borderId="2" xfId="1" applyNumberFormat="1" applyFont="1" applyBorder="1" applyAlignment="1">
      <alignment vertical="center"/>
    </xf>
    <xf numFmtId="164" fontId="90" fillId="0" borderId="29" xfId="1" applyNumberFormat="1" applyFont="1" applyBorder="1" applyAlignment="1">
      <alignment vertical="center"/>
    </xf>
    <xf numFmtId="0" fontId="90" fillId="0" borderId="29" xfId="13" applyFont="1" applyBorder="1" applyAlignment="1">
      <alignment vertical="center"/>
    </xf>
    <xf numFmtId="164" fontId="16" fillId="0" borderId="33" xfId="1" applyNumberFormat="1" applyFont="1" applyBorder="1" applyAlignment="1">
      <alignment vertical="center"/>
    </xf>
    <xf numFmtId="164" fontId="16" fillId="0" borderId="25" xfId="1" applyNumberFormat="1" applyFont="1" applyBorder="1" applyAlignment="1">
      <alignment vertical="center"/>
    </xf>
    <xf numFmtId="164" fontId="16" fillId="0" borderId="23" xfId="1" applyNumberFormat="1" applyFont="1" applyBorder="1" applyAlignment="1">
      <alignment vertical="center"/>
    </xf>
    <xf numFmtId="164" fontId="14" fillId="0" borderId="62" xfId="1" applyNumberFormat="1" applyFont="1" applyBorder="1"/>
    <xf numFmtId="0" fontId="16" fillId="0" borderId="0" xfId="13" applyFont="1" applyAlignment="1">
      <alignment horizontal="left" indent="1"/>
    </xf>
    <xf numFmtId="0" fontId="14" fillId="0" borderId="0" xfId="0" applyFont="1" applyAlignment="1">
      <alignment horizontal="left" indent="1"/>
    </xf>
    <xf numFmtId="0" fontId="90" fillId="0" borderId="23" xfId="13" applyFont="1" applyBorder="1" applyAlignment="1">
      <alignment vertical="center"/>
    </xf>
    <xf numFmtId="168" fontId="16" fillId="0" borderId="33" xfId="1" applyNumberFormat="1" applyFont="1" applyBorder="1" applyAlignment="1">
      <alignment vertical="center"/>
    </xf>
    <xf numFmtId="168" fontId="16" fillId="0" borderId="25" xfId="1" applyNumberFormat="1" applyFont="1" applyBorder="1" applyAlignment="1">
      <alignment vertical="center"/>
    </xf>
    <xf numFmtId="168" fontId="16" fillId="0" borderId="0" xfId="1" applyNumberFormat="1" applyFont="1" applyAlignment="1">
      <alignment vertical="center"/>
    </xf>
    <xf numFmtId="168" fontId="16" fillId="0" borderId="23" xfId="1" applyNumberFormat="1" applyFont="1" applyBorder="1" applyAlignment="1">
      <alignment vertical="center"/>
    </xf>
    <xf numFmtId="0" fontId="90" fillId="0" borderId="23" xfId="13" applyFont="1" applyBorder="1" applyAlignment="1">
      <alignment horizontal="right" vertical="center" indent="1"/>
    </xf>
    <xf numFmtId="164" fontId="16" fillId="0" borderId="45" xfId="1" applyNumberFormat="1" applyFont="1" applyBorder="1" applyAlignment="1">
      <alignment vertical="center"/>
    </xf>
    <xf numFmtId="164" fontId="16" fillId="0" borderId="30" xfId="1" applyNumberFormat="1" applyFont="1" applyBorder="1" applyAlignment="1">
      <alignment vertical="center"/>
    </xf>
    <xf numFmtId="164" fontId="16" fillId="0" borderId="2" xfId="1" applyNumberFormat="1" applyFont="1" applyBorder="1" applyAlignment="1">
      <alignment vertical="center"/>
    </xf>
    <xf numFmtId="164" fontId="16" fillId="0" borderId="29" xfId="1" applyNumberFormat="1" applyFont="1" applyBorder="1" applyAlignment="1">
      <alignment vertical="center"/>
    </xf>
    <xf numFmtId="0" fontId="16" fillId="0" borderId="29" xfId="13" applyFont="1" applyBorder="1" applyAlignment="1">
      <alignment horizontal="left" vertical="center" indent="1"/>
    </xf>
    <xf numFmtId="0" fontId="16" fillId="0" borderId="23" xfId="13" applyFont="1" applyBorder="1" applyAlignment="1">
      <alignment horizontal="left" vertical="center" indent="1"/>
    </xf>
    <xf numFmtId="0" fontId="16" fillId="0" borderId="23" xfId="13" applyFont="1" applyBorder="1" applyAlignment="1">
      <alignment vertical="center"/>
    </xf>
    <xf numFmtId="0" fontId="90" fillId="0" borderId="29" xfId="13" applyFont="1" applyBorder="1" applyAlignment="1">
      <alignment horizontal="left" vertical="center" indent="1"/>
    </xf>
    <xf numFmtId="164" fontId="89" fillId="0" borderId="0" xfId="1" applyNumberFormat="1" applyFont="1" applyAlignment="1">
      <alignment vertical="center"/>
    </xf>
    <xf numFmtId="9" fontId="91" fillId="3" borderId="0" xfId="1" applyNumberFormat="1" applyFont="1" applyFill="1" applyAlignment="1">
      <alignment vertical="center"/>
    </xf>
    <xf numFmtId="164" fontId="90" fillId="0" borderId="33" xfId="1" applyNumberFormat="1" applyFont="1" applyBorder="1" applyAlignment="1">
      <alignment vertical="center"/>
    </xf>
    <xf numFmtId="164" fontId="90" fillId="0" borderId="25" xfId="1" applyNumberFormat="1" applyFont="1" applyBorder="1" applyAlignment="1">
      <alignment vertical="center"/>
    </xf>
    <xf numFmtId="164" fontId="90" fillId="0" borderId="23" xfId="1" applyNumberFormat="1" applyFont="1" applyBorder="1" applyAlignment="1">
      <alignment vertical="center"/>
    </xf>
    <xf numFmtId="0" fontId="90" fillId="0" borderId="29" xfId="13" applyFont="1" applyBorder="1" applyAlignment="1">
      <alignment horizontal="right" vertical="center"/>
    </xf>
    <xf numFmtId="0" fontId="16" fillId="0" borderId="23" xfId="13" applyFont="1" applyBorder="1" applyAlignment="1">
      <alignment horizontal="left" vertical="center"/>
    </xf>
    <xf numFmtId="164" fontId="90" fillId="0" borderId="2" xfId="1" applyNumberFormat="1" applyFont="1" applyBorder="1"/>
    <xf numFmtId="0" fontId="17" fillId="0" borderId="2" xfId="0" applyFont="1" applyBorder="1" applyAlignment="1">
      <alignment horizontal="right"/>
    </xf>
    <xf numFmtId="164" fontId="16" fillId="0" borderId="0" xfId="1" applyNumberFormat="1" applyFont="1"/>
    <xf numFmtId="164" fontId="16" fillId="0" borderId="0" xfId="0" applyNumberFormat="1" applyFont="1"/>
    <xf numFmtId="0" fontId="16" fillId="0" borderId="0" xfId="0" applyFont="1"/>
    <xf numFmtId="0" fontId="14" fillId="0" borderId="0" xfId="0" applyFont="1" applyAlignment="1">
      <alignment horizontal="left"/>
    </xf>
    <xf numFmtId="164" fontId="89" fillId="3" borderId="0" xfId="1" applyNumberFormat="1" applyFont="1" applyFill="1"/>
    <xf numFmtId="164" fontId="16" fillId="6" borderId="0" xfId="1" applyNumberFormat="1" applyFont="1" applyFill="1" applyAlignment="1">
      <alignment vertical="center"/>
    </xf>
    <xf numFmtId="0" fontId="16" fillId="0" borderId="0" xfId="13" applyFont="1" applyAlignment="1">
      <alignment horizontal="left" vertical="center"/>
    </xf>
    <xf numFmtId="164" fontId="89" fillId="3" borderId="0" xfId="1" applyNumberFormat="1" applyFont="1" applyFill="1" applyAlignment="1">
      <alignment vertical="center"/>
    </xf>
    <xf numFmtId="0" fontId="90" fillId="0" borderId="0" xfId="13" applyFont="1" applyAlignment="1">
      <alignment horizontal="left" vertical="center"/>
    </xf>
    <xf numFmtId="0" fontId="90" fillId="0" borderId="0" xfId="13" applyFont="1" applyAlignment="1">
      <alignment horizontal="right" vertical="center"/>
    </xf>
    <xf numFmtId="164" fontId="89" fillId="3" borderId="23" xfId="1" applyNumberFormat="1" applyFont="1" applyFill="1" applyBorder="1" applyAlignment="1">
      <alignment vertical="center"/>
    </xf>
    <xf numFmtId="164" fontId="89" fillId="6" borderId="0" xfId="1" applyNumberFormat="1" applyFont="1" applyFill="1" applyAlignment="1">
      <alignment vertical="center"/>
    </xf>
    <xf numFmtId="4" fontId="18" fillId="0" borderId="0" xfId="0" applyNumberFormat="1" applyFont="1" applyAlignment="1">
      <alignment horizontal="center"/>
    </xf>
    <xf numFmtId="9" fontId="16" fillId="0" borderId="0" xfId="1" applyNumberFormat="1" applyFont="1" applyAlignment="1">
      <alignment vertical="center"/>
    </xf>
    <xf numFmtId="0" fontId="90" fillId="0" borderId="0" xfId="13" applyFont="1" applyAlignment="1">
      <alignment vertical="center"/>
    </xf>
    <xf numFmtId="10" fontId="18" fillId="0" borderId="0" xfId="0" applyNumberFormat="1" applyFont="1" applyAlignment="1">
      <alignment horizontal="center"/>
    </xf>
    <xf numFmtId="0" fontId="16" fillId="0" borderId="0" xfId="13" applyFont="1" applyAlignment="1">
      <alignment horizontal="right" vertical="center"/>
    </xf>
    <xf numFmtId="43" fontId="89" fillId="3" borderId="0" xfId="1" applyFont="1" applyFill="1" applyAlignment="1">
      <alignment vertical="center"/>
    </xf>
    <xf numFmtId="164" fontId="90" fillId="0" borderId="7" xfId="1" applyNumberFormat="1" applyFont="1" applyBorder="1" applyAlignment="1">
      <alignment vertical="center"/>
    </xf>
    <xf numFmtId="164" fontId="90" fillId="0" borderId="11" xfId="1" applyNumberFormat="1" applyFont="1" applyBorder="1" applyAlignment="1">
      <alignment vertical="center"/>
    </xf>
    <xf numFmtId="164" fontId="90" fillId="0" borderId="3" xfId="1" applyNumberFormat="1" applyFont="1" applyBorder="1" applyAlignment="1">
      <alignment vertical="center"/>
    </xf>
    <xf numFmtId="0" fontId="90" fillId="0" borderId="2" xfId="13" applyFont="1" applyBorder="1" applyAlignment="1">
      <alignment horizontal="right" vertical="center" indent="1"/>
    </xf>
    <xf numFmtId="164" fontId="89" fillId="3" borderId="9" xfId="1" applyNumberFormat="1" applyFont="1" applyFill="1" applyBorder="1" applyAlignment="1">
      <alignment vertical="center"/>
    </xf>
    <xf numFmtId="164" fontId="89" fillId="3" borderId="12" xfId="1" applyNumberFormat="1" applyFont="1" applyFill="1" applyBorder="1" applyAlignment="1">
      <alignment vertical="center"/>
    </xf>
    <xf numFmtId="164" fontId="89" fillId="3" borderId="41" xfId="1" applyNumberFormat="1" applyFont="1" applyFill="1" applyBorder="1" applyAlignment="1">
      <alignment vertical="center"/>
    </xf>
    <xf numFmtId="168" fontId="14" fillId="0" borderId="0" xfId="0" applyNumberFormat="1" applyFont="1"/>
    <xf numFmtId="0" fontId="0" fillId="0" borderId="0" xfId="0" applyAlignment="1">
      <alignment horizontal="left" indent="1"/>
    </xf>
    <xf numFmtId="43" fontId="16" fillId="0" borderId="0" xfId="1" applyFont="1" applyAlignment="1">
      <alignment vertical="center"/>
    </xf>
    <xf numFmtId="0" fontId="16" fillId="0" borderId="44" xfId="13" applyFont="1" applyBorder="1" applyAlignment="1">
      <alignment vertical="center"/>
    </xf>
    <xf numFmtId="0" fontId="16" fillId="0" borderId="25" xfId="13" applyFont="1" applyBorder="1" applyAlignment="1">
      <alignment vertical="center"/>
    </xf>
    <xf numFmtId="164" fontId="16" fillId="0" borderId="0" xfId="13" applyNumberFormat="1" applyFont="1" applyAlignment="1">
      <alignment vertical="center"/>
    </xf>
    <xf numFmtId="176" fontId="16" fillId="0" borderId="62" xfId="13" applyNumberFormat="1" applyFont="1" applyBorder="1" applyAlignment="1">
      <alignment horizontal="center" vertical="center"/>
    </xf>
    <xf numFmtId="0" fontId="16" fillId="0" borderId="62" xfId="13" applyFont="1" applyBorder="1" applyAlignment="1">
      <alignment horizontal="center" vertical="center"/>
    </xf>
    <xf numFmtId="168" fontId="92" fillId="0" borderId="0" xfId="3" applyNumberFormat="1" applyFont="1" applyAlignment="1">
      <alignment horizontal="center" vertical="center"/>
    </xf>
    <xf numFmtId="168" fontId="92" fillId="0" borderId="0" xfId="3" applyNumberFormat="1" applyFont="1" applyAlignment="1">
      <alignment horizontal="left" vertical="center"/>
    </xf>
    <xf numFmtId="0" fontId="17" fillId="0" borderId="17" xfId="0" applyFont="1" applyBorder="1" applyAlignment="1">
      <alignment horizontal="right"/>
    </xf>
    <xf numFmtId="9" fontId="0" fillId="0" borderId="6" xfId="3" applyFont="1" applyBorder="1" applyAlignment="1">
      <alignment horizontal="center"/>
    </xf>
    <xf numFmtId="10" fontId="12" fillId="0" borderId="35" xfId="0" applyNumberFormat="1" applyFont="1" applyBorder="1"/>
    <xf numFmtId="4" fontId="13" fillId="0" borderId="17" xfId="1" applyNumberFormat="1" applyFont="1" applyBorder="1"/>
    <xf numFmtId="4" fontId="3" fillId="0" borderId="0" xfId="1" applyNumberFormat="1" applyFont="1" applyAlignment="1">
      <alignment horizontal="left"/>
    </xf>
    <xf numFmtId="3" fontId="93" fillId="3" borderId="45" xfId="0" applyNumberFormat="1" applyFont="1" applyFill="1" applyBorder="1"/>
    <xf numFmtId="3" fontId="89" fillId="3" borderId="54" xfId="0" applyNumberFormat="1" applyFont="1" applyFill="1" applyBorder="1"/>
    <xf numFmtId="3" fontId="14" fillId="0" borderId="53" xfId="0" applyNumberFormat="1" applyFont="1" applyBorder="1"/>
    <xf numFmtId="3" fontId="89" fillId="3" borderId="48" xfId="0" applyNumberFormat="1" applyFont="1" applyFill="1" applyBorder="1"/>
    <xf numFmtId="3" fontId="14" fillId="0" borderId="48" xfId="0" applyNumberFormat="1" applyFont="1" applyBorder="1"/>
    <xf numFmtId="177" fontId="0" fillId="0" borderId="0" xfId="0" applyNumberFormat="1"/>
    <xf numFmtId="0" fontId="17" fillId="0" borderId="64" xfId="0" applyFont="1" applyBorder="1"/>
    <xf numFmtId="3" fontId="12" fillId="0" borderId="50" xfId="0" applyNumberFormat="1" applyFont="1" applyBorder="1"/>
    <xf numFmtId="3" fontId="12" fillId="0" borderId="55" xfId="0" applyNumberFormat="1" applyFont="1" applyBorder="1"/>
    <xf numFmtId="4" fontId="12" fillId="0" borderId="55" xfId="0" applyNumberFormat="1" applyFont="1" applyBorder="1"/>
    <xf numFmtId="4" fontId="12" fillId="0" borderId="51" xfId="0" applyNumberFormat="1" applyFont="1" applyBorder="1"/>
    <xf numFmtId="3" fontId="19" fillId="3" borderId="45" xfId="0" applyNumberFormat="1" applyFont="1" applyFill="1" applyBorder="1"/>
    <xf numFmtId="3" fontId="12" fillId="0" borderId="72" xfId="0" applyNumberFormat="1" applyFont="1" applyBorder="1"/>
    <xf numFmtId="1" fontId="12" fillId="0" borderId="3" xfId="0" applyNumberFormat="1" applyFont="1" applyBorder="1"/>
    <xf numFmtId="1" fontId="12" fillId="0" borderId="7" xfId="0" applyNumberFormat="1" applyFont="1" applyBorder="1"/>
    <xf numFmtId="3" fontId="12" fillId="0" borderId="47" xfId="1" applyNumberFormat="1" applyFont="1" applyBorder="1"/>
    <xf numFmtId="3" fontId="12" fillId="0" borderId="52" xfId="1" applyNumberFormat="1" applyFont="1" applyBorder="1"/>
    <xf numFmtId="3" fontId="12" fillId="0" borderId="17" xfId="1" applyNumberFormat="1" applyFont="1" applyBorder="1"/>
    <xf numFmtId="0" fontId="12" fillId="0" borderId="4" xfId="0" applyFont="1" applyBorder="1"/>
    <xf numFmtId="3" fontId="12" fillId="0" borderId="64" xfId="0" applyNumberFormat="1" applyFont="1" applyBorder="1"/>
    <xf numFmtId="0" fontId="12" fillId="0" borderId="65" xfId="0" applyFont="1" applyBorder="1"/>
    <xf numFmtId="0" fontId="12" fillId="0" borderId="64" xfId="0" applyFont="1" applyBorder="1"/>
    <xf numFmtId="176" fontId="16" fillId="0" borderId="34" xfId="13" applyNumberFormat="1" applyFont="1" applyBorder="1" applyAlignment="1">
      <alignment horizontal="right" vertical="center"/>
    </xf>
    <xf numFmtId="0" fontId="90" fillId="0" borderId="22" xfId="13" applyFont="1" applyBorder="1" applyAlignment="1">
      <alignment horizontal="center" vertical="center"/>
    </xf>
    <xf numFmtId="0" fontId="90" fillId="0" borderId="16" xfId="13" applyFont="1" applyBorder="1" applyAlignment="1">
      <alignment horizontal="center" vertical="center"/>
    </xf>
    <xf numFmtId="0" fontId="90" fillId="0" borderId="21" xfId="13" applyFont="1" applyBorder="1" applyAlignment="1">
      <alignment horizontal="center" vertical="center"/>
    </xf>
    <xf numFmtId="0" fontId="16" fillId="0" borderId="16" xfId="13" applyFont="1" applyBorder="1" applyAlignment="1">
      <alignment vertical="center"/>
    </xf>
    <xf numFmtId="4" fontId="13" fillId="0" borderId="42" xfId="0" applyNumberFormat="1" applyFont="1" applyBorder="1"/>
    <xf numFmtId="172" fontId="15" fillId="0" borderId="44" xfId="13" applyNumberFormat="1" applyFont="1" applyBorder="1" applyAlignment="1">
      <alignment horizontal="center" vertical="center"/>
    </xf>
    <xf numFmtId="172" fontId="15" fillId="0" borderId="20" xfId="13" applyNumberFormat="1" applyFont="1" applyBorder="1" applyAlignment="1">
      <alignment horizontal="center" vertical="center"/>
    </xf>
    <xf numFmtId="172" fontId="15" fillId="0" borderId="19" xfId="13" applyNumberFormat="1" applyFont="1" applyBorder="1" applyAlignment="1">
      <alignment horizontal="center" vertical="center"/>
    </xf>
    <xf numFmtId="172" fontId="15" fillId="0" borderId="18" xfId="13" applyNumberFormat="1" applyFont="1" applyBorder="1" applyAlignment="1">
      <alignment horizontal="center" vertical="center"/>
    </xf>
    <xf numFmtId="0" fontId="15" fillId="0" borderId="19" xfId="13" applyFont="1" applyBorder="1" applyAlignment="1">
      <alignment vertical="center"/>
    </xf>
    <xf numFmtId="168" fontId="3" fillId="0" borderId="43" xfId="0" applyNumberFormat="1" applyFont="1" applyBorder="1"/>
    <xf numFmtId="0" fontId="90" fillId="0" borderId="2" xfId="13" applyFont="1" applyBorder="1" applyAlignment="1">
      <alignment vertical="center"/>
    </xf>
    <xf numFmtId="164" fontId="90" fillId="0" borderId="53" xfId="1" applyNumberFormat="1" applyFont="1" applyBorder="1" applyAlignment="1">
      <alignment horizontal="right" vertical="center"/>
    </xf>
    <xf numFmtId="164" fontId="90" fillId="0" borderId="57" xfId="1" applyNumberFormat="1" applyFont="1" applyBorder="1" applyAlignment="1">
      <alignment horizontal="right" vertical="center"/>
    </xf>
    <xf numFmtId="164" fontId="90" fillId="0" borderId="73" xfId="1" applyNumberFormat="1" applyFont="1" applyBorder="1" applyAlignment="1">
      <alignment horizontal="right" vertical="center"/>
    </xf>
    <xf numFmtId="164" fontId="16" fillId="0" borderId="64" xfId="1" applyNumberFormat="1" applyFont="1" applyBorder="1" applyAlignment="1">
      <alignment vertical="center"/>
    </xf>
    <xf numFmtId="164" fontId="16" fillId="0" borderId="74" xfId="1" applyNumberFormat="1" applyFont="1" applyBorder="1" applyAlignment="1">
      <alignment vertical="center"/>
    </xf>
    <xf numFmtId="164" fontId="16" fillId="0" borderId="65" xfId="1" applyNumberFormat="1" applyFont="1" applyBorder="1" applyAlignment="1">
      <alignment vertical="center"/>
    </xf>
    <xf numFmtId="164" fontId="14" fillId="0" borderId="9" xfId="0" applyNumberFormat="1" applyFont="1" applyBorder="1"/>
    <xf numFmtId="164" fontId="14" fillId="0" borderId="12" xfId="0" applyNumberFormat="1" applyFont="1" applyBorder="1"/>
    <xf numFmtId="164" fontId="14" fillId="0" borderId="41" xfId="0" applyNumberFormat="1" applyFont="1" applyBorder="1"/>
    <xf numFmtId="0" fontId="14" fillId="0" borderId="12" xfId="0" applyFont="1" applyBorder="1"/>
    <xf numFmtId="0" fontId="14" fillId="0" borderId="41" xfId="0" applyFont="1" applyBorder="1"/>
    <xf numFmtId="164" fontId="14" fillId="0" borderId="17" xfId="0" applyNumberFormat="1" applyFont="1" applyBorder="1"/>
    <xf numFmtId="164" fontId="14" fillId="0" borderId="6" xfId="0" applyNumberFormat="1" applyFont="1" applyBorder="1"/>
    <xf numFmtId="164" fontId="14" fillId="0" borderId="4" xfId="0" applyNumberFormat="1" applyFont="1" applyBorder="1"/>
    <xf numFmtId="164" fontId="90" fillId="0" borderId="9" xfId="1" applyNumberFormat="1" applyFont="1" applyBorder="1" applyAlignment="1">
      <alignment vertical="center"/>
    </xf>
    <xf numFmtId="164" fontId="90" fillId="0" borderId="12" xfId="1" applyNumberFormat="1" applyFont="1" applyBorder="1" applyAlignment="1">
      <alignment vertical="center"/>
    </xf>
    <xf numFmtId="164" fontId="90" fillId="0" borderId="41" xfId="1" applyNumberFormat="1" applyFont="1" applyBorder="1" applyAlignment="1">
      <alignment vertical="center"/>
    </xf>
    <xf numFmtId="164" fontId="16" fillId="0" borderId="9" xfId="1" applyNumberFormat="1" applyFont="1" applyBorder="1" applyAlignment="1">
      <alignment vertical="center"/>
    </xf>
    <xf numFmtId="164" fontId="16" fillId="0" borderId="12" xfId="1" applyNumberFormat="1" applyFont="1" applyBorder="1" applyAlignment="1">
      <alignment vertical="center"/>
    </xf>
    <xf numFmtId="164" fontId="16" fillId="0" borderId="41" xfId="1" applyNumberFormat="1" applyFont="1" applyBorder="1" applyAlignment="1">
      <alignment vertical="center"/>
    </xf>
    <xf numFmtId="164" fontId="14" fillId="0" borderId="65" xfId="1" applyNumberFormat="1" applyFont="1" applyBorder="1"/>
    <xf numFmtId="0" fontId="16" fillId="6" borderId="23" xfId="13" applyFont="1" applyFill="1" applyBorder="1" applyAlignment="1">
      <alignment horizontal="left" indent="1"/>
    </xf>
    <xf numFmtId="164" fontId="14" fillId="0" borderId="12" xfId="1" applyNumberFormat="1" applyFont="1" applyBorder="1"/>
    <xf numFmtId="164" fontId="14" fillId="0" borderId="41" xfId="1" applyNumberFormat="1" applyFont="1" applyBorder="1"/>
    <xf numFmtId="0" fontId="14" fillId="6" borderId="0" xfId="0" applyFont="1" applyFill="1" applyAlignment="1">
      <alignment horizontal="left" indent="1"/>
    </xf>
    <xf numFmtId="168" fontId="16" fillId="0" borderId="41" xfId="1" applyNumberFormat="1" applyFont="1" applyBorder="1" applyAlignment="1">
      <alignment vertical="center"/>
    </xf>
    <xf numFmtId="168" fontId="16" fillId="0" borderId="9" xfId="1" applyNumberFormat="1" applyFont="1" applyBorder="1" applyAlignment="1">
      <alignment vertical="center"/>
    </xf>
    <xf numFmtId="168" fontId="16" fillId="0" borderId="12" xfId="1" applyNumberFormat="1" applyFont="1" applyBorder="1" applyAlignment="1">
      <alignment vertical="center"/>
    </xf>
    <xf numFmtId="9" fontId="16" fillId="0" borderId="12" xfId="1" applyNumberFormat="1" applyFont="1" applyBorder="1" applyAlignment="1">
      <alignment vertical="center"/>
    </xf>
    <xf numFmtId="9" fontId="16" fillId="0" borderId="41" xfId="1" applyNumberFormat="1" applyFont="1" applyBorder="1" applyAlignment="1">
      <alignment vertical="center"/>
    </xf>
    <xf numFmtId="0" fontId="16" fillId="0" borderId="23" xfId="13" applyFont="1" applyBorder="1" applyAlignment="1">
      <alignment horizontal="right" vertical="center"/>
    </xf>
    <xf numFmtId="164" fontId="16" fillId="0" borderId="7" xfId="1" applyNumberFormat="1" applyFont="1" applyBorder="1" applyAlignment="1">
      <alignment vertical="center"/>
    </xf>
    <xf numFmtId="164" fontId="16" fillId="0" borderId="11" xfId="1" applyNumberFormat="1" applyFont="1" applyBorder="1" applyAlignment="1">
      <alignment vertical="center"/>
    </xf>
    <xf numFmtId="164" fontId="16" fillId="0" borderId="3" xfId="1" applyNumberFormat="1" applyFont="1" applyBorder="1" applyAlignment="1">
      <alignment vertical="center"/>
    </xf>
    <xf numFmtId="164" fontId="89" fillId="0" borderId="41" xfId="1" applyNumberFormat="1" applyFont="1" applyBorder="1" applyAlignment="1">
      <alignment vertical="center"/>
    </xf>
    <xf numFmtId="0" fontId="90" fillId="0" borderId="23" xfId="13" applyFont="1" applyBorder="1" applyAlignment="1">
      <alignment horizontal="right" vertical="center"/>
    </xf>
    <xf numFmtId="9" fontId="2" fillId="0" borderId="0" xfId="3" applyFont="1" applyAlignment="1">
      <alignment horizontal="center"/>
    </xf>
    <xf numFmtId="0" fontId="16" fillId="0" borderId="24" xfId="13" applyFont="1" applyBorder="1" applyAlignment="1">
      <alignment horizontal="left" vertical="center" indent="1"/>
    </xf>
    <xf numFmtId="4" fontId="0" fillId="0" borderId="0" xfId="1" applyNumberFormat="1" applyFont="1" applyAlignment="1">
      <alignment horizontal="centerContinuous"/>
    </xf>
    <xf numFmtId="164" fontId="89" fillId="0" borderId="9" xfId="1" applyNumberFormat="1" applyFont="1" applyBorder="1" applyAlignment="1">
      <alignment vertical="center"/>
    </xf>
    <xf numFmtId="164" fontId="89" fillId="0" borderId="12" xfId="1" applyNumberFormat="1" applyFont="1" applyBorder="1" applyAlignment="1">
      <alignment vertical="center"/>
    </xf>
    <xf numFmtId="164" fontId="89" fillId="6" borderId="12" xfId="1" applyNumberFormat="1" applyFont="1" applyFill="1" applyBorder="1" applyAlignment="1">
      <alignment vertical="center"/>
    </xf>
    <xf numFmtId="164" fontId="89" fillId="6" borderId="41" xfId="1" applyNumberFormat="1" applyFont="1" applyFill="1" applyBorder="1" applyAlignment="1">
      <alignment vertical="center"/>
    </xf>
    <xf numFmtId="0" fontId="90" fillId="0" borderId="2" xfId="13" applyFont="1" applyBorder="1" applyAlignment="1">
      <alignment horizontal="right" vertical="center"/>
    </xf>
    <xf numFmtId="164" fontId="90" fillId="6" borderId="2" xfId="1" applyNumberFormat="1" applyFont="1" applyFill="1" applyBorder="1" applyAlignment="1">
      <alignment vertical="center"/>
    </xf>
    <xf numFmtId="9" fontId="18" fillId="0" borderId="0" xfId="0" applyNumberFormat="1" applyFont="1" applyAlignment="1">
      <alignment horizontal="center"/>
    </xf>
    <xf numFmtId="10" fontId="19" fillId="0" borderId="0" xfId="0" applyNumberFormat="1" applyFont="1"/>
    <xf numFmtId="43" fontId="89" fillId="0" borderId="0" xfId="1" applyFont="1" applyAlignment="1">
      <alignment vertical="center"/>
    </xf>
    <xf numFmtId="9" fontId="19" fillId="0" borderId="0" xfId="0" applyNumberFormat="1" applyFont="1"/>
    <xf numFmtId="0" fontId="16" fillId="0" borderId="9" xfId="13" applyFont="1" applyBorder="1" applyAlignment="1">
      <alignment vertical="center"/>
    </xf>
    <xf numFmtId="0" fontId="16" fillId="0" borderId="12" xfId="13" applyFont="1" applyBorder="1" applyAlignment="1">
      <alignment vertical="center"/>
    </xf>
    <xf numFmtId="0" fontId="16" fillId="0" borderId="41" xfId="13" applyFont="1" applyBorder="1" applyAlignment="1">
      <alignment vertical="center"/>
    </xf>
    <xf numFmtId="0" fontId="16" fillId="0" borderId="74" xfId="13" applyFont="1" applyBorder="1" applyAlignment="1">
      <alignment vertical="center"/>
    </xf>
    <xf numFmtId="0" fontId="16" fillId="0" borderId="62" xfId="13" applyFont="1" applyBorder="1" applyAlignment="1">
      <alignment vertical="center"/>
    </xf>
    <xf numFmtId="0" fontId="16" fillId="0" borderId="65" xfId="13" applyFont="1" applyBorder="1" applyAlignment="1">
      <alignment vertical="center"/>
    </xf>
    <xf numFmtId="176" fontId="16" fillId="0" borderId="9" xfId="13" applyNumberFormat="1" applyFont="1" applyBorder="1" applyAlignment="1">
      <alignment horizontal="center" vertical="center"/>
    </xf>
    <xf numFmtId="0" fontId="16" fillId="0" borderId="12" xfId="13" applyFont="1" applyBorder="1" applyAlignment="1">
      <alignment horizontal="center" vertical="center"/>
    </xf>
    <xf numFmtId="0" fontId="16" fillId="0" borderId="41" xfId="13" applyFont="1" applyBorder="1" applyAlignment="1">
      <alignment horizontal="center" vertical="center"/>
    </xf>
    <xf numFmtId="172" fontId="16" fillId="0" borderId="7" xfId="13" applyNumberFormat="1" applyFont="1" applyBorder="1" applyAlignment="1">
      <alignment horizontal="center" vertical="center"/>
    </xf>
    <xf numFmtId="172" fontId="16" fillId="0" borderId="11" xfId="13" applyNumberFormat="1" applyFont="1" applyBorder="1" applyAlignment="1">
      <alignment horizontal="center" vertical="center"/>
    </xf>
    <xf numFmtId="172" fontId="16" fillId="0" borderId="2" xfId="13" applyNumberFormat="1" applyFont="1" applyBorder="1" applyAlignment="1">
      <alignment horizontal="center" vertical="center"/>
    </xf>
    <xf numFmtId="172" fontId="16" fillId="0" borderId="3" xfId="13" applyNumberFormat="1" applyFont="1" applyBorder="1" applyAlignment="1">
      <alignment horizontal="center" vertical="center"/>
    </xf>
    <xf numFmtId="9" fontId="12" fillId="0" borderId="17" xfId="3" applyFont="1" applyBorder="1" applyAlignment="1">
      <alignment horizontal="center"/>
    </xf>
    <xf numFmtId="0" fontId="17" fillId="0" borderId="0" xfId="0" applyFont="1" applyAlignment="1">
      <alignment horizontal="centerContinuous"/>
    </xf>
    <xf numFmtId="3" fontId="17" fillId="0" borderId="42" xfId="0" applyNumberFormat="1" applyFont="1" applyBorder="1"/>
    <xf numFmtId="3" fontId="17" fillId="0" borderId="54" xfId="0" applyNumberFormat="1" applyFont="1" applyBorder="1"/>
    <xf numFmtId="3" fontId="17" fillId="0" borderId="53" xfId="0" applyNumberFormat="1" applyFont="1" applyBorder="1"/>
    <xf numFmtId="3" fontId="17" fillId="0" borderId="48" xfId="0" applyNumberFormat="1" applyFont="1" applyBorder="1"/>
    <xf numFmtId="3" fontId="17" fillId="0" borderId="4" xfId="0" applyNumberFormat="1" applyFont="1" applyBorder="1"/>
    <xf numFmtId="3" fontId="17" fillId="0" borderId="17" xfId="0" applyNumberFormat="1" applyFont="1" applyBorder="1"/>
    <xf numFmtId="3" fontId="89" fillId="3" borderId="47" xfId="0" applyNumberFormat="1" applyFont="1" applyFill="1" applyBorder="1"/>
    <xf numFmtId="3" fontId="89" fillId="3" borderId="52" xfId="0" applyNumberFormat="1" applyFont="1" applyFill="1" applyBorder="1"/>
    <xf numFmtId="3" fontId="89" fillId="3" borderId="17" xfId="0" applyNumberFormat="1" applyFont="1" applyFill="1" applyBorder="1"/>
    <xf numFmtId="3" fontId="89" fillId="3" borderId="49" xfId="0" applyNumberFormat="1" applyFont="1" applyFill="1" applyBorder="1"/>
    <xf numFmtId="3" fontId="14" fillId="3" borderId="47" xfId="0" applyNumberFormat="1" applyFont="1" applyFill="1" applyBorder="1"/>
    <xf numFmtId="3" fontId="14" fillId="3" borderId="52" xfId="0" applyNumberFormat="1" applyFont="1" applyFill="1" applyBorder="1"/>
    <xf numFmtId="3" fontId="14" fillId="3" borderId="17" xfId="0" applyNumberFormat="1" applyFont="1" applyFill="1" applyBorder="1"/>
    <xf numFmtId="3" fontId="14" fillId="3" borderId="49" xfId="0" applyNumberFormat="1" applyFont="1" applyFill="1" applyBorder="1"/>
    <xf numFmtId="0" fontId="14" fillId="3" borderId="4" xfId="0" applyFont="1" applyFill="1" applyBorder="1"/>
    <xf numFmtId="0" fontId="14" fillId="3" borderId="17" xfId="0" applyFont="1" applyFill="1" applyBorder="1"/>
    <xf numFmtId="0" fontId="12" fillId="3" borderId="17" xfId="0" applyFont="1" applyFill="1" applyBorder="1"/>
    <xf numFmtId="0" fontId="0" fillId="7" borderId="11" xfId="0" applyFill="1" applyBorder="1"/>
    <xf numFmtId="0" fontId="14" fillId="7" borderId="2" xfId="0" applyFont="1" applyFill="1" applyBorder="1"/>
    <xf numFmtId="0" fontId="14" fillId="7" borderId="5" xfId="0" applyFont="1" applyFill="1" applyBorder="1"/>
    <xf numFmtId="0" fontId="17" fillId="7" borderId="4" xfId="0" applyFont="1" applyFill="1" applyBorder="1"/>
    <xf numFmtId="0" fontId="17" fillId="0" borderId="3" xfId="0" applyFont="1" applyBorder="1" applyAlignment="1">
      <alignment horizontal="right"/>
    </xf>
    <xf numFmtId="164" fontId="0" fillId="0" borderId="0" xfId="1" applyNumberFormat="1" applyFont="1" applyAlignment="1">
      <alignment horizontal="center"/>
    </xf>
    <xf numFmtId="0" fontId="17" fillId="0" borderId="4" xfId="0" applyFont="1" applyBorder="1" applyAlignment="1">
      <alignment horizontal="right"/>
    </xf>
    <xf numFmtId="0" fontId="23" fillId="0" borderId="65" xfId="0" applyFont="1" applyBorder="1"/>
    <xf numFmtId="0" fontId="23" fillId="0" borderId="64" xfId="0" applyFont="1" applyBorder="1"/>
    <xf numFmtId="176" fontId="16" fillId="7" borderId="46" xfId="13" applyNumberFormat="1" applyFont="1" applyFill="1" applyBorder="1" applyAlignment="1">
      <alignment horizontal="right" vertical="center"/>
    </xf>
    <xf numFmtId="0" fontId="16" fillId="7" borderId="63" xfId="13" applyFont="1" applyFill="1" applyBorder="1" applyAlignment="1">
      <alignment horizontal="right" vertical="center"/>
    </xf>
    <xf numFmtId="0" fontId="16" fillId="7" borderId="62" xfId="13" applyFont="1" applyFill="1" applyBorder="1" applyAlignment="1">
      <alignment horizontal="right" vertical="center"/>
    </xf>
    <xf numFmtId="0" fontId="16" fillId="7" borderId="24" xfId="13" applyFont="1" applyFill="1" applyBorder="1" applyAlignment="1">
      <alignment horizontal="right" vertical="center"/>
    </xf>
    <xf numFmtId="0" fontId="90" fillId="7" borderId="22" xfId="13" applyFont="1" applyFill="1" applyBorder="1" applyAlignment="1">
      <alignment horizontal="center" vertical="center"/>
    </xf>
    <xf numFmtId="0" fontId="90" fillId="7" borderId="16" xfId="13" applyFont="1" applyFill="1" applyBorder="1" applyAlignment="1">
      <alignment horizontal="center" vertical="center"/>
    </xf>
    <xf numFmtId="0" fontId="90" fillId="7" borderId="21" xfId="13" applyFont="1" applyFill="1" applyBorder="1" applyAlignment="1">
      <alignment horizontal="center" vertical="center"/>
    </xf>
    <xf numFmtId="0" fontId="16" fillId="7" borderId="62" xfId="13" applyFont="1" applyFill="1" applyBorder="1" applyAlignment="1">
      <alignment vertical="center"/>
    </xf>
    <xf numFmtId="4" fontId="13" fillId="7" borderId="64" xfId="0" applyNumberFormat="1" applyFont="1" applyFill="1" applyBorder="1"/>
    <xf numFmtId="172" fontId="15" fillId="7" borderId="44" xfId="13" applyNumberFormat="1" applyFont="1" applyFill="1" applyBorder="1" applyAlignment="1">
      <alignment horizontal="center" vertical="center"/>
    </xf>
    <xf numFmtId="172" fontId="15" fillId="7" borderId="20" xfId="13" applyNumberFormat="1" applyFont="1" applyFill="1" applyBorder="1" applyAlignment="1">
      <alignment horizontal="center" vertical="center"/>
    </xf>
    <xf numFmtId="172" fontId="15" fillId="7" borderId="19" xfId="13" applyNumberFormat="1" applyFont="1" applyFill="1" applyBorder="1" applyAlignment="1">
      <alignment horizontal="center" vertical="center"/>
    </xf>
    <xf numFmtId="172" fontId="15" fillId="7" borderId="18" xfId="13" applyNumberFormat="1" applyFont="1" applyFill="1" applyBorder="1" applyAlignment="1">
      <alignment horizontal="center" vertical="center"/>
    </xf>
    <xf numFmtId="172" fontId="15" fillId="7" borderId="2" xfId="13" applyNumberFormat="1" applyFont="1" applyFill="1" applyBorder="1" applyAlignment="1">
      <alignment horizontal="center" vertical="center"/>
    </xf>
    <xf numFmtId="0" fontId="15" fillId="7" borderId="2" xfId="13" applyFont="1" applyFill="1" applyBorder="1" applyAlignment="1">
      <alignment horizontal="center" vertical="center"/>
    </xf>
    <xf numFmtId="168" fontId="3" fillId="7" borderId="7" xfId="0" applyNumberFormat="1" applyFont="1" applyFill="1" applyBorder="1"/>
    <xf numFmtId="164" fontId="14" fillId="0" borderId="19" xfId="1" applyNumberFormat="1" applyFont="1" applyBorder="1"/>
    <xf numFmtId="164" fontId="14" fillId="0" borderId="25" xfId="1" applyNumberFormat="1" applyFont="1" applyBorder="1"/>
    <xf numFmtId="164" fontId="14" fillId="0" borderId="23" xfId="1" applyNumberFormat="1" applyFont="1" applyBorder="1"/>
    <xf numFmtId="0" fontId="16" fillId="0" borderId="2" xfId="13" applyFont="1" applyBorder="1" applyAlignment="1">
      <alignment horizontal="left" vertical="center" indent="1"/>
    </xf>
    <xf numFmtId="0" fontId="94" fillId="0" borderId="0" xfId="0" applyFont="1"/>
    <xf numFmtId="0" fontId="16" fillId="0" borderId="24" xfId="13" applyFont="1" applyBorder="1" applyAlignment="1">
      <alignment horizontal="left" vertical="center"/>
    </xf>
    <xf numFmtId="164" fontId="16" fillId="3" borderId="33" xfId="1" applyNumberFormat="1" applyFont="1" applyFill="1" applyBorder="1" applyAlignment="1">
      <alignment vertical="center"/>
    </xf>
    <xf numFmtId="164" fontId="16" fillId="3" borderId="25" xfId="1" applyNumberFormat="1" applyFont="1" applyFill="1" applyBorder="1" applyAlignment="1">
      <alignment vertical="center"/>
    </xf>
    <xf numFmtId="164" fontId="16" fillId="3" borderId="0" xfId="1" applyNumberFormat="1" applyFont="1" applyFill="1" applyAlignment="1">
      <alignment vertical="center"/>
    </xf>
    <xf numFmtId="164" fontId="16" fillId="3" borderId="23" xfId="1" applyNumberFormat="1" applyFont="1" applyFill="1" applyBorder="1" applyAlignment="1">
      <alignment vertical="center"/>
    </xf>
    <xf numFmtId="4" fontId="14" fillId="0" borderId="0" xfId="0" applyNumberFormat="1" applyFont="1"/>
    <xf numFmtId="0" fontId="90" fillId="0" borderId="29" xfId="13" applyFont="1" applyBorder="1" applyAlignment="1">
      <alignment horizontal="left" vertical="center"/>
    </xf>
    <xf numFmtId="0" fontId="14" fillId="0" borderId="62" xfId="0" applyFont="1" applyBorder="1"/>
    <xf numFmtId="164" fontId="17" fillId="0" borderId="2" xfId="1" applyNumberFormat="1" applyFont="1" applyBorder="1"/>
    <xf numFmtId="0" fontId="17" fillId="0" borderId="2" xfId="0" applyFont="1" applyBorder="1"/>
    <xf numFmtId="164" fontId="14" fillId="3" borderId="33" xfId="1" applyNumberFormat="1" applyFont="1" applyFill="1" applyBorder="1"/>
    <xf numFmtId="164" fontId="14" fillId="3" borderId="25" xfId="1" applyNumberFormat="1" applyFont="1" applyFill="1" applyBorder="1"/>
    <xf numFmtId="164" fontId="14" fillId="3" borderId="0" xfId="1" applyNumberFormat="1" applyFont="1" applyFill="1"/>
    <xf numFmtId="164" fontId="14" fillId="3" borderId="23" xfId="1" applyNumberFormat="1" applyFont="1" applyFill="1" applyBorder="1"/>
    <xf numFmtId="168" fontId="89" fillId="0" borderId="0" xfId="0" applyNumberFormat="1" applyFont="1"/>
    <xf numFmtId="164" fontId="89" fillId="3" borderId="33" xfId="1" applyNumberFormat="1" applyFont="1" applyFill="1" applyBorder="1"/>
    <xf numFmtId="164" fontId="89" fillId="3" borderId="25" xfId="1" applyNumberFormat="1" applyFont="1" applyFill="1" applyBorder="1"/>
    <xf numFmtId="164" fontId="89" fillId="3" borderId="23" xfId="1" applyNumberFormat="1" applyFont="1" applyFill="1" applyBorder="1"/>
    <xf numFmtId="10" fontId="89" fillId="0" borderId="0" xfId="0" applyNumberFormat="1" applyFont="1"/>
    <xf numFmtId="9" fontId="89" fillId="0" borderId="0" xfId="0" applyNumberFormat="1" applyFont="1"/>
    <xf numFmtId="0" fontId="16" fillId="0" borderId="33" xfId="13" applyFont="1" applyBorder="1" applyAlignment="1">
      <alignment vertical="center"/>
    </xf>
    <xf numFmtId="176" fontId="16" fillId="0" borderId="46" xfId="13" applyNumberFormat="1" applyFont="1" applyBorder="1" applyAlignment="1">
      <alignment horizontal="center" vertical="center"/>
    </xf>
    <xf numFmtId="0" fontId="16" fillId="0" borderId="63" xfId="13" applyFont="1" applyBorder="1" applyAlignment="1">
      <alignment horizontal="center" vertical="center"/>
    </xf>
    <xf numFmtId="0" fontId="16" fillId="0" borderId="24" xfId="13" applyFont="1" applyBorder="1" applyAlignment="1">
      <alignment horizontal="center" vertical="center"/>
    </xf>
    <xf numFmtId="172" fontId="16" fillId="0" borderId="44" xfId="13" applyNumberFormat="1" applyFont="1" applyBorder="1" applyAlignment="1">
      <alignment horizontal="center" vertical="center"/>
    </xf>
    <xf numFmtId="172" fontId="16" fillId="0" borderId="20" xfId="13" applyNumberFormat="1" applyFont="1" applyBorder="1" applyAlignment="1">
      <alignment horizontal="center" vertical="center"/>
    </xf>
    <xf numFmtId="172" fontId="16" fillId="0" borderId="19" xfId="13" applyNumberFormat="1" applyFont="1" applyBorder="1" applyAlignment="1">
      <alignment horizontal="center" vertical="center"/>
    </xf>
    <xf numFmtId="172" fontId="16" fillId="0" borderId="18" xfId="13" applyNumberFormat="1" applyFont="1" applyBorder="1" applyAlignment="1">
      <alignment horizontal="center" vertical="center"/>
    </xf>
    <xf numFmtId="0" fontId="16" fillId="0" borderId="0" xfId="0" applyFont="1" applyAlignment="1">
      <alignment horizontal="center"/>
    </xf>
    <xf numFmtId="0" fontId="16" fillId="0" borderId="29" xfId="13" applyFont="1" applyBorder="1" applyAlignment="1">
      <alignment horizontal="right" vertical="center"/>
    </xf>
    <xf numFmtId="164" fontId="38" fillId="0" borderId="0" xfId="1" applyNumberFormat="1" applyFont="1"/>
    <xf numFmtId="164" fontId="5" fillId="2" borderId="0" xfId="1" applyNumberFormat="1" applyFont="1" applyFill="1"/>
    <xf numFmtId="0" fontId="48" fillId="2" borderId="0" xfId="8" applyFont="1" applyFill="1"/>
    <xf numFmtId="0" fontId="0" fillId="0" borderId="62" xfId="0" applyBorder="1"/>
    <xf numFmtId="9" fontId="0" fillId="0" borderId="62" xfId="0" applyNumberFormat="1" applyBorder="1" applyAlignment="1">
      <alignment horizontal="center"/>
    </xf>
    <xf numFmtId="168" fontId="0" fillId="0" borderId="62" xfId="0" applyNumberFormat="1" applyBorder="1" applyAlignment="1">
      <alignment horizontal="center"/>
    </xf>
    <xf numFmtId="9" fontId="3" fillId="0" borderId="17" xfId="0" applyNumberFormat="1" applyFont="1" applyBorder="1"/>
    <xf numFmtId="9" fontId="3" fillId="6" borderId="17" xfId="0" applyNumberFormat="1" applyFont="1" applyFill="1" applyBorder="1"/>
    <xf numFmtId="164" fontId="97" fillId="3" borderId="0" xfId="1" applyNumberFormat="1" applyFont="1" applyFill="1"/>
    <xf numFmtId="164" fontId="3" fillId="0" borderId="0" xfId="15" applyNumberFormat="1" applyFont="1"/>
    <xf numFmtId="164" fontId="38" fillId="6" borderId="23" xfId="1" applyNumberFormat="1" applyFont="1" applyFill="1" applyBorder="1" applyAlignment="1">
      <alignment horizontal="center" vertical="center"/>
    </xf>
    <xf numFmtId="164" fontId="38" fillId="6" borderId="0" xfId="1" applyNumberFormat="1" applyFont="1" applyFill="1" applyAlignment="1">
      <alignment horizontal="center" vertical="center"/>
    </xf>
    <xf numFmtId="164" fontId="38" fillId="6" borderId="25" xfId="1" applyNumberFormat="1" applyFont="1" applyFill="1" applyBorder="1" applyAlignment="1">
      <alignment horizontal="center" vertical="center"/>
    </xf>
    <xf numFmtId="164" fontId="38" fillId="6" borderId="23" xfId="1" applyNumberFormat="1" applyFont="1" applyFill="1" applyBorder="1" applyAlignment="1">
      <alignment horizontal="right" vertical="center"/>
    </xf>
    <xf numFmtId="164" fontId="38" fillId="6" borderId="0" xfId="1" applyNumberFormat="1" applyFont="1" applyFill="1" applyAlignment="1">
      <alignment horizontal="right" vertical="center"/>
    </xf>
    <xf numFmtId="164" fontId="38" fillId="6" borderId="25" xfId="1" applyNumberFormat="1" applyFont="1" applyFill="1" applyBorder="1" applyAlignment="1">
      <alignment horizontal="right" vertical="center"/>
    </xf>
    <xf numFmtId="164" fontId="38" fillId="6" borderId="33" xfId="1" applyNumberFormat="1" applyFont="1" applyFill="1" applyBorder="1" applyAlignment="1">
      <alignment horizontal="right" vertical="center"/>
    </xf>
    <xf numFmtId="164" fontId="38" fillId="6" borderId="29" xfId="1" applyNumberFormat="1" applyFont="1" applyFill="1" applyBorder="1" applyAlignment="1">
      <alignment vertical="center"/>
    </xf>
    <xf numFmtId="164" fontId="38" fillId="6" borderId="30" xfId="1" applyNumberFormat="1" applyFont="1" applyFill="1" applyBorder="1" applyAlignment="1">
      <alignment vertical="center"/>
    </xf>
    <xf numFmtId="164" fontId="38" fillId="6" borderId="45" xfId="1" applyNumberFormat="1" applyFont="1" applyFill="1" applyBorder="1" applyAlignment="1">
      <alignment vertical="center"/>
    </xf>
    <xf numFmtId="164" fontId="38" fillId="6" borderId="23" xfId="1" applyNumberFormat="1" applyFont="1" applyFill="1" applyBorder="1" applyAlignment="1">
      <alignment vertical="center"/>
    </xf>
    <xf numFmtId="164" fontId="38" fillId="6" borderId="25" xfId="1" applyNumberFormat="1" applyFont="1" applyFill="1" applyBorder="1" applyAlignment="1">
      <alignment vertical="center"/>
    </xf>
    <xf numFmtId="164" fontId="38" fillId="6" borderId="33" xfId="1" applyNumberFormat="1" applyFont="1" applyFill="1" applyBorder="1" applyAlignment="1">
      <alignment vertical="center"/>
    </xf>
    <xf numFmtId="164" fontId="97" fillId="0" borderId="0" xfId="1" applyNumberFormat="1" applyFont="1"/>
    <xf numFmtId="168" fontId="90" fillId="6" borderId="23" xfId="1" applyNumberFormat="1" applyFont="1" applyFill="1" applyBorder="1" applyAlignment="1">
      <alignment vertical="center"/>
    </xf>
    <xf numFmtId="168" fontId="90" fillId="6" borderId="0" xfId="1" applyNumberFormat="1" applyFont="1" applyFill="1" applyAlignment="1">
      <alignment vertical="center"/>
    </xf>
    <xf numFmtId="168" fontId="90" fillId="6" borderId="25" xfId="1" applyNumberFormat="1" applyFont="1" applyFill="1" applyBorder="1" applyAlignment="1">
      <alignment vertical="center"/>
    </xf>
    <xf numFmtId="168" fontId="90" fillId="6" borderId="33" xfId="1" applyNumberFormat="1" applyFont="1" applyFill="1" applyBorder="1" applyAlignment="1">
      <alignment vertical="center"/>
    </xf>
    <xf numFmtId="168" fontId="90" fillId="6" borderId="41" xfId="1" applyNumberFormat="1" applyFont="1" applyFill="1" applyBorder="1" applyAlignment="1">
      <alignment vertical="center"/>
    </xf>
    <xf numFmtId="168" fontId="90" fillId="6" borderId="12" xfId="1" applyNumberFormat="1" applyFont="1" applyFill="1" applyBorder="1" applyAlignment="1">
      <alignment vertical="center"/>
    </xf>
    <xf numFmtId="168" fontId="90" fillId="6" borderId="9" xfId="1" applyNumberFormat="1" applyFont="1" applyFill="1" applyBorder="1" applyAlignment="1">
      <alignment vertical="center"/>
    </xf>
    <xf numFmtId="168" fontId="16" fillId="6" borderId="23" xfId="1" applyNumberFormat="1" applyFont="1" applyFill="1" applyBorder="1" applyAlignment="1">
      <alignment vertical="center"/>
    </xf>
    <xf numFmtId="168" fontId="16" fillId="6" borderId="0" xfId="1" applyNumberFormat="1" applyFont="1" applyFill="1" applyAlignment="1">
      <alignment vertical="center"/>
    </xf>
    <xf numFmtId="168" fontId="16" fillId="6" borderId="25" xfId="1" applyNumberFormat="1" applyFont="1" applyFill="1" applyBorder="1" applyAlignment="1">
      <alignment vertical="center"/>
    </xf>
    <xf numFmtId="168" fontId="16" fillId="6" borderId="33" xfId="1" applyNumberFormat="1" applyFont="1" applyFill="1" applyBorder="1" applyAlignment="1">
      <alignment vertical="center"/>
    </xf>
    <xf numFmtId="164" fontId="32" fillId="23" borderId="23" xfId="1" applyNumberFormat="1" applyFont="1" applyFill="1" applyBorder="1" applyAlignment="1">
      <alignment vertical="center"/>
    </xf>
    <xf numFmtId="164" fontId="32" fillId="23" borderId="0" xfId="1" applyNumberFormat="1" applyFont="1" applyFill="1" applyAlignment="1">
      <alignment vertical="center"/>
    </xf>
    <xf numFmtId="164" fontId="32" fillId="23" borderId="25" xfId="1" applyNumberFormat="1" applyFont="1" applyFill="1" applyBorder="1" applyAlignment="1">
      <alignment vertical="center"/>
    </xf>
    <xf numFmtId="165" fontId="13" fillId="0" borderId="0" xfId="2" applyNumberFormat="1" applyFont="1"/>
    <xf numFmtId="164" fontId="99" fillId="3" borderId="0" xfId="1" applyNumberFormat="1" applyFont="1" applyFill="1" applyAlignment="1">
      <alignment vertical="center"/>
    </xf>
    <xf numFmtId="164" fontId="99" fillId="3" borderId="11" xfId="1" applyNumberFormat="1" applyFont="1" applyFill="1" applyBorder="1" applyAlignment="1">
      <alignment vertical="center"/>
    </xf>
    <xf numFmtId="164" fontId="99" fillId="3" borderId="3" xfId="1" applyNumberFormat="1" applyFont="1" applyFill="1" applyBorder="1" applyAlignment="1">
      <alignment vertical="center"/>
    </xf>
    <xf numFmtId="164" fontId="99" fillId="3" borderId="2" xfId="1" applyNumberFormat="1" applyFont="1" applyFill="1" applyBorder="1" applyAlignment="1">
      <alignment vertical="center"/>
    </xf>
    <xf numFmtId="164" fontId="99" fillId="3" borderId="7" xfId="1" applyNumberFormat="1" applyFont="1" applyFill="1" applyBorder="1" applyAlignment="1">
      <alignment vertical="center"/>
    </xf>
    <xf numFmtId="164" fontId="99" fillId="3" borderId="12" xfId="1" applyNumberFormat="1" applyFont="1" applyFill="1" applyBorder="1" applyAlignment="1">
      <alignment vertical="center"/>
    </xf>
    <xf numFmtId="164" fontId="99" fillId="3" borderId="41" xfId="1" applyNumberFormat="1" applyFont="1" applyFill="1" applyBorder="1" applyAlignment="1">
      <alignment vertical="center"/>
    </xf>
    <xf numFmtId="164" fontId="99" fillId="3" borderId="9" xfId="1" applyNumberFormat="1" applyFont="1" applyFill="1" applyBorder="1" applyAlignment="1">
      <alignment vertical="center"/>
    </xf>
    <xf numFmtId="164" fontId="97" fillId="3" borderId="12" xfId="1" applyNumberFormat="1" applyFont="1" applyFill="1" applyBorder="1"/>
    <xf numFmtId="164" fontId="97" fillId="3" borderId="41" xfId="1" applyNumberFormat="1" applyFont="1" applyFill="1" applyBorder="1"/>
    <xf numFmtId="164" fontId="99" fillId="6" borderId="41" xfId="1" applyNumberFormat="1" applyFont="1" applyFill="1" applyBorder="1" applyAlignment="1">
      <alignment vertical="center"/>
    </xf>
    <xf numFmtId="164" fontId="99" fillId="6" borderId="0" xfId="1" applyNumberFormat="1" applyFont="1" applyFill="1" applyAlignment="1">
      <alignment vertical="center"/>
    </xf>
    <xf numFmtId="164" fontId="99" fillId="6" borderId="12" xfId="1" applyNumberFormat="1" applyFont="1" applyFill="1" applyBorder="1" applyAlignment="1">
      <alignment vertical="center"/>
    </xf>
    <xf numFmtId="9" fontId="99" fillId="3" borderId="0" xfId="1" applyNumberFormat="1" applyFont="1" applyFill="1" applyAlignment="1">
      <alignment vertical="center"/>
    </xf>
    <xf numFmtId="9" fontId="99" fillId="3" borderId="23" xfId="1" applyNumberFormat="1" applyFont="1" applyFill="1" applyBorder="1" applyAlignment="1">
      <alignment vertical="center"/>
    </xf>
    <xf numFmtId="9" fontId="99" fillId="3" borderId="25" xfId="1" applyNumberFormat="1" applyFont="1" applyFill="1" applyBorder="1" applyAlignment="1">
      <alignment vertical="center"/>
    </xf>
    <xf numFmtId="44" fontId="97" fillId="3" borderId="49" xfId="2" applyFont="1" applyFill="1" applyBorder="1" applyAlignment="1">
      <alignment horizontal="right" vertical="top" wrapText="1"/>
    </xf>
    <xf numFmtId="3" fontId="97" fillId="3" borderId="64" xfId="0" applyNumberFormat="1" applyFont="1" applyFill="1" applyBorder="1"/>
    <xf numFmtId="3" fontId="97" fillId="3" borderId="61" xfId="0" applyNumberFormat="1" applyFont="1" applyFill="1" applyBorder="1"/>
    <xf numFmtId="3" fontId="97" fillId="3" borderId="17" xfId="0" applyNumberFormat="1" applyFont="1" applyFill="1" applyBorder="1"/>
    <xf numFmtId="3" fontId="97" fillId="3" borderId="52" xfId="0" applyNumberFormat="1" applyFont="1" applyFill="1" applyBorder="1"/>
    <xf numFmtId="3" fontId="97" fillId="3" borderId="17" xfId="1" applyNumberFormat="1" applyFont="1" applyFill="1" applyBorder="1"/>
    <xf numFmtId="3" fontId="97" fillId="3" borderId="52" xfId="1" applyNumberFormat="1" applyFont="1" applyFill="1" applyBorder="1"/>
    <xf numFmtId="3" fontId="97" fillId="3" borderId="49" xfId="1" applyNumberFormat="1" applyFont="1" applyFill="1" applyBorder="1"/>
    <xf numFmtId="3" fontId="97" fillId="3" borderId="49" xfId="0" applyNumberFormat="1" applyFont="1" applyFill="1" applyBorder="1"/>
    <xf numFmtId="0" fontId="97" fillId="3" borderId="17" xfId="0" applyFont="1" applyFill="1" applyBorder="1" applyAlignment="1">
      <alignment vertical="top" wrapText="1"/>
    </xf>
    <xf numFmtId="44" fontId="97" fillId="3" borderId="17" xfId="2" applyFont="1" applyFill="1" applyBorder="1" applyAlignment="1">
      <alignment horizontal="right" vertical="top" wrapText="1"/>
    </xf>
    <xf numFmtId="0" fontId="97" fillId="3" borderId="17" xfId="0" applyFont="1" applyFill="1" applyBorder="1"/>
    <xf numFmtId="164" fontId="97" fillId="3" borderId="17" xfId="1" applyNumberFormat="1" applyFont="1" applyFill="1" applyBorder="1"/>
    <xf numFmtId="3" fontId="97" fillId="3" borderId="56" xfId="0" applyNumberFormat="1" applyFont="1" applyFill="1" applyBorder="1"/>
    <xf numFmtId="9" fontId="97" fillId="3" borderId="17" xfId="0" applyNumberFormat="1" applyFont="1" applyFill="1" applyBorder="1" applyAlignment="1">
      <alignment horizontal="center"/>
    </xf>
    <xf numFmtId="9" fontId="97" fillId="3" borderId="17" xfId="0" applyNumberFormat="1" applyFont="1" applyFill="1" applyBorder="1"/>
    <xf numFmtId="3" fontId="97" fillId="3" borderId="50" xfId="0" applyNumberFormat="1" applyFont="1" applyFill="1" applyBorder="1"/>
    <xf numFmtId="0" fontId="97" fillId="3" borderId="7" xfId="0" applyFont="1" applyFill="1" applyBorder="1"/>
    <xf numFmtId="1" fontId="97" fillId="3" borderId="7" xfId="0" applyNumberFormat="1" applyFont="1" applyFill="1" applyBorder="1"/>
    <xf numFmtId="3" fontId="97" fillId="3" borderId="72" xfId="0" applyNumberFormat="1" applyFont="1" applyFill="1" applyBorder="1"/>
    <xf numFmtId="164" fontId="99" fillId="6" borderId="23" xfId="1" applyNumberFormat="1" applyFont="1" applyFill="1" applyBorder="1" applyAlignment="1">
      <alignment vertical="center"/>
    </xf>
    <xf numFmtId="164" fontId="97" fillId="6" borderId="0" xfId="1" applyNumberFormat="1" applyFont="1" applyFill="1"/>
    <xf numFmtId="164" fontId="97" fillId="3" borderId="23" xfId="1" applyNumberFormat="1" applyFont="1" applyFill="1" applyBorder="1"/>
    <xf numFmtId="164" fontId="97" fillId="3" borderId="25" xfId="1" applyNumberFormat="1" applyFont="1" applyFill="1" applyBorder="1"/>
    <xf numFmtId="164" fontId="99" fillId="3" borderId="33" xfId="1" applyNumberFormat="1" applyFont="1" applyFill="1" applyBorder="1" applyAlignment="1">
      <alignment vertical="center"/>
    </xf>
    <xf numFmtId="164" fontId="99" fillId="3" borderId="23" xfId="1" applyNumberFormat="1" applyFont="1" applyFill="1" applyBorder="1" applyAlignment="1">
      <alignment vertical="center"/>
    </xf>
    <xf numFmtId="164" fontId="99" fillId="3" borderId="25" xfId="1" applyNumberFormat="1" applyFont="1" applyFill="1" applyBorder="1" applyAlignment="1">
      <alignment vertical="center"/>
    </xf>
    <xf numFmtId="164" fontId="100" fillId="3" borderId="0" xfId="1" applyNumberFormat="1" applyFont="1" applyFill="1" applyAlignment="1">
      <alignment vertical="center"/>
    </xf>
    <xf numFmtId="164" fontId="100" fillId="3" borderId="25" xfId="1" applyNumberFormat="1" applyFont="1" applyFill="1" applyBorder="1" applyAlignment="1">
      <alignment vertical="center"/>
    </xf>
    <xf numFmtId="0" fontId="99" fillId="3" borderId="0" xfId="0" applyFont="1" applyFill="1"/>
    <xf numFmtId="164" fontId="99" fillId="3" borderId="0" xfId="1" applyNumberFormat="1" applyFont="1" applyFill="1"/>
    <xf numFmtId="164" fontId="97" fillId="3" borderId="0" xfId="0" applyNumberFormat="1" applyFont="1" applyFill="1"/>
    <xf numFmtId="9" fontId="99" fillId="3" borderId="0" xfId="0" applyNumberFormat="1" applyFont="1" applyFill="1"/>
    <xf numFmtId="165" fontId="97" fillId="3" borderId="51" xfId="2" applyNumberFormat="1" applyFont="1" applyFill="1" applyBorder="1" applyAlignment="1">
      <alignment horizontal="right" vertical="top" wrapText="1"/>
    </xf>
    <xf numFmtId="165" fontId="97" fillId="3" borderId="49" xfId="2" applyNumberFormat="1" applyFont="1" applyFill="1" applyBorder="1" applyAlignment="1">
      <alignment horizontal="right" vertical="top" wrapText="1"/>
    </xf>
    <xf numFmtId="164" fontId="97" fillId="3" borderId="49" xfId="1" applyNumberFormat="1" applyFont="1" applyFill="1" applyBorder="1"/>
    <xf numFmtId="164" fontId="97" fillId="3" borderId="50" xfId="1" applyNumberFormat="1" applyFont="1" applyFill="1" applyBorder="1"/>
    <xf numFmtId="164" fontId="97" fillId="3" borderId="52" xfId="1" applyNumberFormat="1" applyFont="1" applyFill="1" applyBorder="1"/>
    <xf numFmtId="1" fontId="97" fillId="3" borderId="17" xfId="0" applyNumberFormat="1" applyFont="1" applyFill="1" applyBorder="1"/>
    <xf numFmtId="4" fontId="97" fillId="3" borderId="51" xfId="0" applyNumberFormat="1" applyFont="1" applyFill="1" applyBorder="1"/>
    <xf numFmtId="4" fontId="97" fillId="3" borderId="55" xfId="0" applyNumberFormat="1" applyFont="1" applyFill="1" applyBorder="1"/>
    <xf numFmtId="177" fontId="97" fillId="3" borderId="56" xfId="1" applyNumberFormat="1" applyFont="1" applyFill="1" applyBorder="1"/>
    <xf numFmtId="44" fontId="97" fillId="3" borderId="51" xfId="2" applyFont="1" applyFill="1" applyBorder="1" applyAlignment="1">
      <alignment horizontal="right" vertical="top" wrapText="1"/>
    </xf>
    <xf numFmtId="177" fontId="97" fillId="3" borderId="55" xfId="1" applyNumberFormat="1" applyFont="1" applyFill="1" applyBorder="1"/>
    <xf numFmtId="3" fontId="97" fillId="3" borderId="56" xfId="1" applyNumberFormat="1" applyFont="1" applyFill="1" applyBorder="1"/>
    <xf numFmtId="177" fontId="97" fillId="3" borderId="17" xfId="1" applyNumberFormat="1" applyFont="1" applyFill="1" applyBorder="1"/>
    <xf numFmtId="177" fontId="97" fillId="3" borderId="49" xfId="0" applyNumberFormat="1" applyFont="1" applyFill="1" applyBorder="1"/>
    <xf numFmtId="3" fontId="97" fillId="3" borderId="7" xfId="0" applyNumberFormat="1" applyFont="1" applyFill="1" applyBorder="1"/>
    <xf numFmtId="177" fontId="97" fillId="3" borderId="50" xfId="0" applyNumberFormat="1" applyFont="1" applyFill="1" applyBorder="1"/>
    <xf numFmtId="164" fontId="97" fillId="3" borderId="43" xfId="1" applyNumberFormat="1" applyFont="1" applyFill="1" applyBorder="1"/>
    <xf numFmtId="0" fontId="97" fillId="3" borderId="0" xfId="0" applyFont="1" applyFill="1"/>
    <xf numFmtId="0" fontId="77" fillId="0" borderId="0" xfId="0" applyFont="1" applyAlignment="1">
      <alignment horizontal="center"/>
    </xf>
    <xf numFmtId="0" fontId="70" fillId="0" borderId="23" xfId="13" applyFont="1" applyBorder="1" applyAlignment="1">
      <alignment horizontal="center" vertical="center"/>
    </xf>
    <xf numFmtId="164" fontId="0" fillId="23" borderId="25" xfId="6" applyNumberFormat="1" applyFont="1" applyFill="1" applyBorder="1"/>
    <xf numFmtId="164" fontId="0" fillId="3" borderId="25" xfId="6" applyNumberFormat="1" applyFont="1" applyFill="1" applyBorder="1"/>
    <xf numFmtId="164" fontId="19" fillId="15" borderId="20" xfId="1" applyNumberFormat="1" applyFont="1" applyFill="1" applyBorder="1"/>
    <xf numFmtId="43" fontId="3" fillId="0" borderId="64" xfId="0" applyNumberFormat="1" applyFont="1" applyBorder="1"/>
    <xf numFmtId="43" fontId="0" fillId="0" borderId="64" xfId="0" applyNumberFormat="1" applyBorder="1"/>
    <xf numFmtId="2" fontId="3" fillId="0" borderId="64" xfId="0" applyNumberFormat="1" applyFont="1" applyBorder="1"/>
    <xf numFmtId="2" fontId="0" fillId="0" borderId="64" xfId="0" applyNumberFormat="1" applyBorder="1"/>
    <xf numFmtId="168" fontId="19" fillId="3" borderId="25" xfId="1" applyNumberFormat="1" applyFont="1" applyFill="1" applyBorder="1"/>
    <xf numFmtId="168" fontId="19" fillId="3" borderId="33" xfId="1" applyNumberFormat="1" applyFont="1" applyFill="1" applyBorder="1"/>
    <xf numFmtId="0" fontId="3" fillId="5" borderId="17" xfId="0" applyFont="1" applyFill="1" applyBorder="1" applyAlignment="1">
      <alignment horizontal="centerContinuous"/>
    </xf>
    <xf numFmtId="2" fontId="3" fillId="0" borderId="0" xfId="0" applyNumberFormat="1" applyFont="1" applyAlignment="1">
      <alignment horizontal="centerContinuous"/>
    </xf>
    <xf numFmtId="9" fontId="3" fillId="0" borderId="0" xfId="0" applyNumberFormat="1" applyFont="1" applyAlignment="1">
      <alignment horizontal="centerContinuous"/>
    </xf>
    <xf numFmtId="164" fontId="79" fillId="0" borderId="33" xfId="1" applyNumberFormat="1" applyFont="1" applyBorder="1"/>
    <xf numFmtId="164" fontId="79" fillId="0" borderId="25" xfId="1" applyNumberFormat="1" applyFont="1" applyBorder="1"/>
    <xf numFmtId="0" fontId="13" fillId="0" borderId="0" xfId="0" applyFont="1" applyAlignment="1">
      <alignment horizontal="right"/>
    </xf>
    <xf numFmtId="164" fontId="3" fillId="9" borderId="0" xfId="0" applyNumberFormat="1" applyFont="1" applyFill="1" applyAlignment="1">
      <alignment horizontal="right"/>
    </xf>
    <xf numFmtId="164" fontId="0" fillId="9" borderId="23" xfId="1" applyNumberFormat="1" applyFont="1" applyFill="1" applyBorder="1"/>
    <xf numFmtId="164" fontId="13" fillId="9" borderId="0" xfId="0" applyNumberFormat="1" applyFont="1" applyFill="1" applyAlignment="1">
      <alignment horizontal="right"/>
    </xf>
    <xf numFmtId="164" fontId="12" fillId="9" borderId="23" xfId="1" applyNumberFormat="1" applyFont="1" applyFill="1" applyBorder="1"/>
    <xf numFmtId="164" fontId="3" fillId="0" borderId="0" xfId="0" applyNumberFormat="1" applyFont="1" applyAlignment="1">
      <alignment horizontal="left"/>
    </xf>
    <xf numFmtId="168" fontId="19" fillId="9" borderId="23" xfId="1" applyNumberFormat="1" applyFont="1" applyFill="1" applyBorder="1"/>
    <xf numFmtId="168" fontId="19" fillId="9" borderId="0" xfId="1" applyNumberFormat="1" applyFont="1" applyFill="1"/>
    <xf numFmtId="168" fontId="19" fillId="9" borderId="25" xfId="1" applyNumberFormat="1" applyFont="1" applyFill="1" applyBorder="1"/>
    <xf numFmtId="0" fontId="0" fillId="0" borderId="0" xfId="0" applyAlignment="1">
      <alignment horizontal="right" wrapText="1"/>
    </xf>
    <xf numFmtId="0" fontId="2" fillId="8" borderId="41" xfId="0" applyFont="1" applyFill="1" applyBorder="1"/>
    <xf numFmtId="168" fontId="19" fillId="15" borderId="20" xfId="3" applyNumberFormat="1" applyFont="1" applyFill="1" applyBorder="1"/>
    <xf numFmtId="164" fontId="12" fillId="15" borderId="25" xfId="1" applyNumberFormat="1" applyFont="1" applyFill="1" applyBorder="1"/>
    <xf numFmtId="164" fontId="0" fillId="15" borderId="25" xfId="1" applyNumberFormat="1" applyFont="1" applyFill="1" applyBorder="1"/>
    <xf numFmtId="0" fontId="9" fillId="0" borderId="41" xfId="0" applyFont="1" applyBorder="1" applyAlignment="1">
      <alignment horizontal="left"/>
    </xf>
    <xf numFmtId="0" fontId="3" fillId="7" borderId="41" xfId="0" applyFont="1" applyFill="1" applyBorder="1"/>
    <xf numFmtId="0" fontId="2" fillId="8" borderId="65" xfId="0" applyFont="1" applyFill="1" applyBorder="1"/>
    <xf numFmtId="0" fontId="13" fillId="21" borderId="65" xfId="0" applyFont="1" applyFill="1" applyBorder="1"/>
    <xf numFmtId="164" fontId="12" fillId="7" borderId="0" xfId="1" applyNumberFormat="1" applyFont="1" applyFill="1"/>
    <xf numFmtId="164" fontId="0" fillId="0" borderId="41" xfId="1" applyNumberFormat="1" applyFont="1" applyBorder="1"/>
    <xf numFmtId="164" fontId="1" fillId="0" borderId="41" xfId="1" applyNumberFormat="1" applyBorder="1"/>
    <xf numFmtId="164" fontId="12" fillId="0" borderId="41" xfId="1" applyNumberFormat="1" applyFont="1" applyBorder="1"/>
    <xf numFmtId="164" fontId="1" fillId="7" borderId="41" xfId="1" applyNumberFormat="1" applyFill="1" applyBorder="1"/>
    <xf numFmtId="164" fontId="13" fillId="21" borderId="62" xfId="1" applyNumberFormat="1" applyFont="1" applyFill="1" applyBorder="1"/>
    <xf numFmtId="165" fontId="0" fillId="0" borderId="76" xfId="2" applyNumberFormat="1" applyFont="1" applyBorder="1"/>
    <xf numFmtId="164" fontId="12" fillId="7" borderId="76" xfId="1" applyNumberFormat="1" applyFont="1" applyFill="1" applyBorder="1"/>
    <xf numFmtId="164" fontId="0" fillId="7" borderId="76" xfId="1" applyNumberFormat="1" applyFont="1" applyFill="1" applyBorder="1"/>
    <xf numFmtId="164" fontId="0" fillId="0" borderId="76" xfId="1" applyNumberFormat="1" applyFont="1" applyBorder="1"/>
    <xf numFmtId="164" fontId="1" fillId="0" borderId="76" xfId="1" applyNumberFormat="1" applyBorder="1"/>
    <xf numFmtId="164" fontId="12" fillId="0" borderId="76" xfId="1" applyNumberFormat="1" applyFont="1" applyBorder="1"/>
    <xf numFmtId="164" fontId="1" fillId="7" borderId="76" xfId="1" applyNumberFormat="1" applyFill="1" applyBorder="1"/>
    <xf numFmtId="164" fontId="2" fillId="8" borderId="76" xfId="1" applyNumberFormat="1" applyFont="1" applyFill="1" applyBorder="1"/>
    <xf numFmtId="0" fontId="3" fillId="0" borderId="76" xfId="0" applyFont="1" applyBorder="1" applyAlignment="1">
      <alignment horizontal="center"/>
    </xf>
    <xf numFmtId="164" fontId="12" fillId="4" borderId="76" xfId="1" applyNumberFormat="1" applyFont="1" applyFill="1" applyBorder="1"/>
    <xf numFmtId="164" fontId="2" fillId="8" borderId="75" xfId="1" applyNumberFormat="1" applyFont="1" applyFill="1" applyBorder="1"/>
    <xf numFmtId="164" fontId="2" fillId="0" borderId="76" xfId="1" applyNumberFormat="1" applyFont="1" applyBorder="1"/>
    <xf numFmtId="164" fontId="13" fillId="21" borderId="75" xfId="1" applyNumberFormat="1" applyFont="1" applyFill="1" applyBorder="1"/>
    <xf numFmtId="164" fontId="0" fillId="0" borderId="76" xfId="0" applyNumberFormat="1" applyBorder="1"/>
    <xf numFmtId="10" fontId="0" fillId="0" borderId="76" xfId="0" applyNumberFormat="1" applyBorder="1"/>
    <xf numFmtId="165" fontId="0" fillId="0" borderId="79" xfId="2" applyNumberFormat="1" applyFont="1" applyBorder="1"/>
    <xf numFmtId="164" fontId="12" fillId="7" borderId="79" xfId="1" applyNumberFormat="1" applyFont="1" applyFill="1" applyBorder="1"/>
    <xf numFmtId="164" fontId="0" fillId="7" borderId="79" xfId="1" applyNumberFormat="1" applyFont="1" applyFill="1" applyBorder="1"/>
    <xf numFmtId="164" fontId="0" fillId="0" borderId="79" xfId="1" applyNumberFormat="1" applyFont="1" applyBorder="1"/>
    <xf numFmtId="164" fontId="1" fillId="0" borderId="79" xfId="1" applyNumberFormat="1" applyBorder="1"/>
    <xf numFmtId="164" fontId="12" fillId="0" borderId="79" xfId="1" applyNumberFormat="1" applyFont="1" applyBorder="1"/>
    <xf numFmtId="164" fontId="1" fillId="7" borderId="79" xfId="1" applyNumberFormat="1" applyFill="1" applyBorder="1"/>
    <xf numFmtId="164" fontId="2" fillId="8" borderId="79" xfId="1" applyNumberFormat="1" applyFont="1" applyFill="1" applyBorder="1"/>
    <xf numFmtId="0" fontId="3" fillId="0" borderId="79" xfId="0" applyFont="1" applyBorder="1" applyAlignment="1">
      <alignment horizontal="center"/>
    </xf>
    <xf numFmtId="164" fontId="12" fillId="4" borderId="79" xfId="1" applyNumberFormat="1" applyFont="1" applyFill="1" applyBorder="1"/>
    <xf numFmtId="164" fontId="2" fillId="8" borderId="78" xfId="1" applyNumberFormat="1" applyFont="1" applyFill="1" applyBorder="1"/>
    <xf numFmtId="164" fontId="2" fillId="0" borderId="79" xfId="1" applyNumberFormat="1" applyFont="1" applyBorder="1"/>
    <xf numFmtId="164" fontId="13" fillId="21" borderId="78" xfId="1" applyNumberFormat="1" applyFont="1" applyFill="1" applyBorder="1"/>
    <xf numFmtId="0" fontId="0" fillId="0" borderId="79" xfId="0" applyBorder="1"/>
    <xf numFmtId="164" fontId="0" fillId="0" borderId="79" xfId="0" applyNumberFormat="1" applyBorder="1"/>
    <xf numFmtId="10" fontId="0" fillId="0" borderId="79" xfId="0" applyNumberFormat="1" applyBorder="1"/>
    <xf numFmtId="168" fontId="0" fillId="0" borderId="76" xfId="0" applyNumberFormat="1" applyBorder="1"/>
    <xf numFmtId="168" fontId="0" fillId="0" borderId="79" xfId="0" applyNumberFormat="1" applyBorder="1"/>
    <xf numFmtId="164" fontId="3" fillId="0" borderId="79" xfId="0" applyNumberFormat="1" applyFont="1" applyBorder="1"/>
    <xf numFmtId="164" fontId="12" fillId="7" borderId="9" xfId="1" applyNumberFormat="1" applyFont="1" applyFill="1" applyBorder="1"/>
    <xf numFmtId="164" fontId="2" fillId="8" borderId="64" xfId="1" applyNumberFormat="1" applyFont="1" applyFill="1" applyBorder="1"/>
    <xf numFmtId="164" fontId="13" fillId="21" borderId="64" xfId="1" applyNumberFormat="1" applyFont="1" applyFill="1" applyBorder="1"/>
    <xf numFmtId="164" fontId="0" fillId="0" borderId="9" xfId="0" applyNumberFormat="1" applyBorder="1"/>
    <xf numFmtId="10" fontId="0" fillId="0" borderId="9" xfId="0" applyNumberFormat="1" applyBorder="1"/>
    <xf numFmtId="164" fontId="3" fillId="0" borderId="41" xfId="0" applyNumberFormat="1" applyFont="1" applyBorder="1"/>
    <xf numFmtId="164" fontId="12" fillId="7" borderId="41" xfId="1" applyNumberFormat="1" applyFont="1" applyFill="1" applyBorder="1"/>
    <xf numFmtId="164" fontId="0" fillId="7" borderId="41" xfId="1" applyNumberFormat="1" applyFont="1" applyFill="1" applyBorder="1"/>
    <xf numFmtId="164" fontId="2" fillId="8" borderId="41" xfId="1" applyNumberFormat="1" applyFont="1" applyFill="1" applyBorder="1"/>
    <xf numFmtId="0" fontId="3" fillId="0" borderId="41" xfId="0" applyFont="1" applyBorder="1" applyAlignment="1">
      <alignment horizontal="center"/>
    </xf>
    <xf numFmtId="164" fontId="12" fillId="4" borderId="41" xfId="1" applyNumberFormat="1" applyFont="1" applyFill="1" applyBorder="1"/>
    <xf numFmtId="164" fontId="2" fillId="8" borderId="65" xfId="1" applyNumberFormat="1" applyFont="1" applyFill="1" applyBorder="1"/>
    <xf numFmtId="164" fontId="2" fillId="0" borderId="41" xfId="1" applyNumberFormat="1" applyFont="1" applyBorder="1"/>
    <xf numFmtId="164" fontId="13" fillId="21" borderId="65" xfId="1" applyNumberFormat="1" applyFont="1" applyFill="1" applyBorder="1"/>
    <xf numFmtId="164" fontId="0" fillId="0" borderId="41" xfId="0" applyNumberFormat="1" applyBorder="1"/>
    <xf numFmtId="10" fontId="0" fillId="0" borderId="41" xfId="0" applyNumberFormat="1" applyBorder="1"/>
    <xf numFmtId="164" fontId="3" fillId="0" borderId="7" xfId="0" applyNumberFormat="1" applyFont="1" applyBorder="1" applyAlignment="1">
      <alignment horizontal="center"/>
    </xf>
    <xf numFmtId="164" fontId="3" fillId="0" borderId="77" xfId="0" applyNumberFormat="1" applyFont="1" applyBorder="1" applyAlignment="1">
      <alignment horizontal="center"/>
    </xf>
    <xf numFmtId="43" fontId="0" fillId="0" borderId="9" xfId="0" applyNumberFormat="1" applyBorder="1"/>
    <xf numFmtId="165" fontId="0" fillId="0" borderId="3" xfId="2" applyNumberFormat="1" applyFont="1" applyBorder="1"/>
    <xf numFmtId="43" fontId="0" fillId="0" borderId="41" xfId="0" applyNumberFormat="1" applyBorder="1"/>
    <xf numFmtId="172" fontId="57" fillId="0" borderId="33" xfId="13" applyNumberFormat="1" applyFont="1" applyBorder="1" applyAlignment="1">
      <alignment horizontal="center" vertical="center"/>
    </xf>
    <xf numFmtId="164" fontId="38" fillId="0" borderId="45" xfId="1" applyNumberFormat="1" applyFont="1" applyBorder="1" applyAlignment="1">
      <alignment vertical="center"/>
    </xf>
    <xf numFmtId="167" fontId="38" fillId="0" borderId="33" xfId="13" applyNumberFormat="1" applyFont="1" applyBorder="1" applyAlignment="1">
      <alignment vertical="center"/>
    </xf>
    <xf numFmtId="164" fontId="98" fillId="3" borderId="33" xfId="1" applyNumberFormat="1" applyFont="1" applyFill="1" applyBorder="1" applyAlignment="1">
      <alignment vertical="center"/>
    </xf>
    <xf numFmtId="167" fontId="69" fillId="0" borderId="33" xfId="13" applyNumberFormat="1" applyFont="1" applyBorder="1" applyAlignment="1">
      <alignment vertical="center"/>
    </xf>
    <xf numFmtId="164" fontId="57" fillId="0" borderId="47" xfId="1" applyNumberFormat="1" applyFont="1" applyBorder="1" applyAlignment="1">
      <alignment vertical="center"/>
    </xf>
    <xf numFmtId="0" fontId="71" fillId="0" borderId="33" xfId="13" applyFont="1" applyBorder="1" applyAlignment="1">
      <alignment vertical="center"/>
    </xf>
    <xf numFmtId="164" fontId="65" fillId="0" borderId="33" xfId="1" applyNumberFormat="1" applyFont="1" applyBorder="1"/>
    <xf numFmtId="164" fontId="53" fillId="0" borderId="45" xfId="1" applyNumberFormat="1" applyFont="1" applyBorder="1"/>
    <xf numFmtId="164" fontId="53" fillId="0" borderId="42" xfId="1" applyNumberFormat="1" applyFont="1" applyBorder="1"/>
    <xf numFmtId="164" fontId="71" fillId="0" borderId="33" xfId="1" applyNumberFormat="1" applyFont="1" applyBorder="1" applyAlignment="1">
      <alignment vertical="center"/>
    </xf>
    <xf numFmtId="164" fontId="65" fillId="0" borderId="45" xfId="1" applyNumberFormat="1" applyFont="1" applyBorder="1"/>
    <xf numFmtId="164" fontId="53" fillId="0" borderId="59" xfId="1" applyNumberFormat="1" applyFont="1" applyBorder="1"/>
    <xf numFmtId="164" fontId="32" fillId="3" borderId="33" xfId="1" applyNumberFormat="1" applyFont="1" applyFill="1" applyBorder="1"/>
    <xf numFmtId="172" fontId="57" fillId="0" borderId="23" xfId="13" applyNumberFormat="1" applyFont="1" applyBorder="1" applyAlignment="1">
      <alignment horizontal="center" vertical="center"/>
    </xf>
    <xf numFmtId="44" fontId="38" fillId="0" borderId="23" xfId="13" applyNumberFormat="1" applyFont="1" applyBorder="1" applyAlignment="1">
      <alignment horizontal="center" vertical="center"/>
    </xf>
    <xf numFmtId="164" fontId="38" fillId="0" borderId="29" xfId="1" applyNumberFormat="1" applyFont="1" applyBorder="1" applyAlignment="1">
      <alignment vertical="center"/>
    </xf>
    <xf numFmtId="167" fontId="38" fillId="0" borderId="23" xfId="13" applyNumberFormat="1" applyFont="1" applyBorder="1" applyAlignment="1">
      <alignment vertical="center"/>
    </xf>
    <xf numFmtId="167" fontId="68" fillId="0" borderId="23" xfId="13" applyNumberFormat="1" applyFont="1" applyBorder="1" applyAlignment="1">
      <alignment vertical="center"/>
    </xf>
    <xf numFmtId="164" fontId="98" fillId="3" borderId="23" xfId="1" applyNumberFormat="1" applyFont="1" applyFill="1" applyBorder="1" applyAlignment="1">
      <alignment vertical="center"/>
    </xf>
    <xf numFmtId="167" fontId="69" fillId="0" borderId="23" xfId="13" applyNumberFormat="1" applyFont="1" applyBorder="1" applyAlignment="1">
      <alignment vertical="center"/>
    </xf>
    <xf numFmtId="164" fontId="57" fillId="0" borderId="37" xfId="1" applyNumberFormat="1" applyFont="1" applyBorder="1" applyAlignment="1">
      <alignment vertical="center"/>
    </xf>
    <xf numFmtId="0" fontId="71" fillId="0" borderId="23" xfId="13" applyFont="1" applyBorder="1" applyAlignment="1">
      <alignment vertical="center"/>
    </xf>
    <xf numFmtId="0" fontId="65" fillId="0" borderId="23" xfId="0" applyFont="1" applyBorder="1"/>
    <xf numFmtId="164" fontId="65" fillId="0" borderId="23" xfId="1" applyNumberFormat="1" applyFont="1" applyBorder="1"/>
    <xf numFmtId="164" fontId="53" fillId="0" borderId="29" xfId="1" applyNumberFormat="1" applyFont="1" applyBorder="1"/>
    <xf numFmtId="164" fontId="53" fillId="0" borderId="32" xfId="1" applyNumberFormat="1" applyFont="1" applyBorder="1"/>
    <xf numFmtId="164" fontId="71" fillId="0" borderId="23" xfId="1" applyNumberFormat="1" applyFont="1" applyBorder="1" applyAlignment="1">
      <alignment vertical="center"/>
    </xf>
    <xf numFmtId="164" fontId="65" fillId="0" borderId="29" xfId="1" applyNumberFormat="1" applyFont="1" applyBorder="1"/>
    <xf numFmtId="164" fontId="53" fillId="0" borderId="39" xfId="1" applyNumberFormat="1" applyFont="1" applyBorder="1"/>
    <xf numFmtId="164" fontId="32" fillId="3" borderId="23" xfId="1" applyNumberFormat="1" applyFont="1" applyFill="1" applyBorder="1"/>
    <xf numFmtId="0" fontId="38" fillId="0" borderId="33" xfId="13" applyFont="1" applyBorder="1" applyAlignment="1">
      <alignment vertical="center"/>
    </xf>
    <xf numFmtId="172" fontId="57" fillId="0" borderId="41" xfId="13" applyNumberFormat="1" applyFont="1" applyBorder="1" applyAlignment="1">
      <alignment horizontal="center" vertical="center"/>
    </xf>
    <xf numFmtId="44" fontId="38" fillId="0" borderId="41" xfId="13" applyNumberFormat="1" applyFont="1" applyBorder="1" applyAlignment="1">
      <alignment horizontal="center" vertical="center"/>
    </xf>
    <xf numFmtId="0" fontId="38" fillId="0" borderId="41" xfId="13" applyFont="1" applyBorder="1" applyAlignment="1">
      <alignment vertical="center"/>
    </xf>
    <xf numFmtId="164" fontId="38" fillId="0" borderId="41" xfId="1" applyNumberFormat="1" applyFont="1" applyBorder="1" applyAlignment="1">
      <alignment vertical="center"/>
    </xf>
    <xf numFmtId="164" fontId="38" fillId="6" borderId="3" xfId="1" applyNumberFormat="1" applyFont="1" applyFill="1" applyBorder="1" applyAlignment="1">
      <alignment vertical="center"/>
    </xf>
    <xf numFmtId="167" fontId="38" fillId="0" borderId="41" xfId="13" applyNumberFormat="1" applyFont="1" applyBorder="1" applyAlignment="1">
      <alignment vertical="center"/>
    </xf>
    <xf numFmtId="10" fontId="68" fillId="0" borderId="41" xfId="3" applyNumberFormat="1" applyFont="1" applyBorder="1" applyAlignment="1">
      <alignment vertical="center"/>
    </xf>
    <xf numFmtId="164" fontId="98" fillId="3" borderId="41" xfId="1" applyNumberFormat="1" applyFont="1" applyFill="1" applyBorder="1" applyAlignment="1">
      <alignment vertical="center"/>
    </xf>
    <xf numFmtId="164" fontId="57" fillId="0" borderId="3" xfId="1" applyNumberFormat="1" applyFont="1" applyBorder="1" applyAlignment="1">
      <alignment vertical="center"/>
    </xf>
    <xf numFmtId="167" fontId="69" fillId="0" borderId="41" xfId="13" applyNumberFormat="1" applyFont="1" applyBorder="1" applyAlignment="1">
      <alignment vertical="center"/>
    </xf>
    <xf numFmtId="164" fontId="57" fillId="0" borderId="4" xfId="1" applyNumberFormat="1" applyFont="1" applyBorder="1" applyAlignment="1">
      <alignment vertical="center"/>
    </xf>
    <xf numFmtId="164" fontId="57" fillId="0" borderId="41" xfId="1" applyNumberFormat="1" applyFont="1" applyBorder="1" applyAlignment="1">
      <alignment vertical="center"/>
    </xf>
    <xf numFmtId="164" fontId="57" fillId="0" borderId="73" xfId="1" applyNumberFormat="1" applyFont="1" applyBorder="1" applyAlignment="1">
      <alignment vertical="center"/>
    </xf>
    <xf numFmtId="0" fontId="71" fillId="0" borderId="41" xfId="13" applyFont="1" applyBorder="1" applyAlignment="1">
      <alignment vertical="center"/>
    </xf>
    <xf numFmtId="0" fontId="65" fillId="0" borderId="41" xfId="0" applyFont="1" applyBorder="1"/>
    <xf numFmtId="164" fontId="65" fillId="0" borderId="41" xfId="1" applyNumberFormat="1" applyFont="1" applyBorder="1"/>
    <xf numFmtId="164" fontId="53" fillId="0" borderId="3" xfId="1" applyNumberFormat="1" applyFont="1" applyBorder="1"/>
    <xf numFmtId="164" fontId="3" fillId="0" borderId="3" xfId="1" applyNumberFormat="1" applyFont="1" applyBorder="1"/>
    <xf numFmtId="164" fontId="53" fillId="0" borderId="73" xfId="1" applyNumberFormat="1" applyFont="1" applyBorder="1"/>
    <xf numFmtId="164" fontId="38" fillId="0" borderId="3" xfId="1" applyNumberFormat="1" applyFont="1" applyBorder="1" applyAlignment="1">
      <alignment vertical="center"/>
    </xf>
    <xf numFmtId="164" fontId="71" fillId="0" borderId="41" xfId="1" applyNumberFormat="1" applyFont="1" applyBorder="1" applyAlignment="1">
      <alignment vertical="center"/>
    </xf>
    <xf numFmtId="164" fontId="65" fillId="0" borderId="3" xfId="1" applyNumberFormat="1" applyFont="1" applyBorder="1"/>
    <xf numFmtId="164" fontId="53" fillId="0" borderId="83" xfId="1" applyNumberFormat="1" applyFont="1" applyBorder="1"/>
    <xf numFmtId="164" fontId="32" fillId="3" borderId="41" xfId="1" applyNumberFormat="1" applyFont="1" applyFill="1" applyBorder="1"/>
    <xf numFmtId="164" fontId="38" fillId="2" borderId="23" xfId="1" applyNumberFormat="1" applyFont="1" applyFill="1" applyBorder="1" applyAlignment="1">
      <alignment vertical="center"/>
    </xf>
    <xf numFmtId="10" fontId="68" fillId="0" borderId="23" xfId="3" applyNumberFormat="1" applyFont="1" applyBorder="1" applyAlignment="1">
      <alignment vertical="center"/>
    </xf>
    <xf numFmtId="164" fontId="38" fillId="2" borderId="41" xfId="1" applyNumberFormat="1" applyFont="1" applyFill="1" applyBorder="1" applyAlignment="1">
      <alignment vertical="center"/>
    </xf>
    <xf numFmtId="176" fontId="38" fillId="0" borderId="33" xfId="13" applyNumberFormat="1" applyFont="1" applyBorder="1" applyAlignment="1">
      <alignment horizontal="center" vertical="center"/>
    </xf>
    <xf numFmtId="10" fontId="68" fillId="0" borderId="33" xfId="3" applyNumberFormat="1" applyFont="1" applyBorder="1" applyAlignment="1">
      <alignment vertical="center"/>
    </xf>
    <xf numFmtId="176" fontId="38" fillId="0" borderId="23" xfId="13" applyNumberFormat="1" applyFont="1" applyBorder="1" applyAlignment="1">
      <alignment horizontal="center" vertical="center"/>
    </xf>
    <xf numFmtId="172" fontId="13" fillId="0" borderId="33" xfId="0" applyNumberFormat="1" applyFont="1" applyBorder="1" applyAlignment="1">
      <alignment horizontal="center"/>
    </xf>
    <xf numFmtId="44" fontId="1" fillId="0" borderId="33" xfId="2" applyBorder="1" applyAlignment="1">
      <alignment horizontal="center"/>
    </xf>
    <xf numFmtId="164" fontId="12" fillId="0" borderId="46" xfId="1" applyNumberFormat="1" applyFont="1" applyBorder="1"/>
    <xf numFmtId="168" fontId="59" fillId="6" borderId="33" xfId="0" applyNumberFormat="1" applyFont="1" applyFill="1" applyBorder="1"/>
    <xf numFmtId="168" fontId="59" fillId="6" borderId="46" xfId="1" applyNumberFormat="1" applyFont="1" applyFill="1" applyBorder="1"/>
    <xf numFmtId="172" fontId="13" fillId="0" borderId="23" xfId="0" applyNumberFormat="1" applyFont="1" applyBorder="1" applyAlignment="1">
      <alignment horizontal="center"/>
    </xf>
    <xf numFmtId="44" fontId="1" fillId="0" borderId="23" xfId="2" applyBorder="1" applyAlignment="1">
      <alignment horizontal="center"/>
    </xf>
    <xf numFmtId="164" fontId="12" fillId="0" borderId="24" xfId="1" applyNumberFormat="1" applyFont="1" applyBorder="1"/>
    <xf numFmtId="168" fontId="59" fillId="6" borderId="23" xfId="0" applyNumberFormat="1" applyFont="1" applyFill="1" applyBorder="1"/>
    <xf numFmtId="168" fontId="59" fillId="6" borderId="24" xfId="1" applyNumberFormat="1" applyFont="1" applyFill="1" applyBorder="1"/>
    <xf numFmtId="43" fontId="0" fillId="0" borderId="23" xfId="0" applyNumberFormat="1" applyBorder="1"/>
    <xf numFmtId="172" fontId="13" fillId="0" borderId="41" xfId="0" applyNumberFormat="1" applyFont="1" applyBorder="1" applyAlignment="1">
      <alignment horizontal="center"/>
    </xf>
    <xf numFmtId="44" fontId="1" fillId="0" borderId="41" xfId="2" applyBorder="1" applyAlignment="1">
      <alignment horizontal="center"/>
    </xf>
    <xf numFmtId="164" fontId="13" fillId="0" borderId="41" xfId="1" applyNumberFormat="1" applyFont="1" applyBorder="1"/>
    <xf numFmtId="164" fontId="12" fillId="0" borderId="65" xfId="1" applyNumberFormat="1" applyFont="1" applyBorder="1"/>
    <xf numFmtId="168" fontId="59" fillId="6" borderId="41" xfId="0" applyNumberFormat="1" applyFont="1" applyFill="1" applyBorder="1"/>
    <xf numFmtId="168" fontId="59" fillId="6" borderId="65" xfId="1" applyNumberFormat="1" applyFont="1" applyFill="1" applyBorder="1"/>
    <xf numFmtId="43" fontId="0" fillId="0" borderId="33" xfId="0" applyNumberFormat="1" applyBorder="1"/>
    <xf numFmtId="164" fontId="35" fillId="0" borderId="62" xfId="1" applyNumberFormat="1" applyFont="1" applyBorder="1"/>
    <xf numFmtId="10" fontId="0" fillId="0" borderId="62" xfId="0" applyNumberFormat="1" applyBorder="1"/>
    <xf numFmtId="172" fontId="88" fillId="0" borderId="0" xfId="8" applyNumberFormat="1" applyFont="1" applyAlignment="1">
      <alignment horizontal="center"/>
    </xf>
    <xf numFmtId="0" fontId="34" fillId="0" borderId="0" xfId="8" applyFont="1" applyAlignment="1">
      <alignment horizontal="center"/>
    </xf>
    <xf numFmtId="164" fontId="5" fillId="12" borderId="0" xfId="1" applyNumberFormat="1" applyFont="1" applyFill="1"/>
    <xf numFmtId="169" fontId="35" fillId="0" borderId="3" xfId="8" applyNumberFormat="1" applyFont="1" applyBorder="1"/>
    <xf numFmtId="169" fontId="35" fillId="0" borderId="65" xfId="8" applyNumberFormat="1" applyFont="1" applyBorder="1"/>
    <xf numFmtId="10" fontId="35" fillId="0" borderId="0" xfId="8" applyNumberFormat="1" applyFont="1"/>
    <xf numFmtId="172" fontId="88" fillId="0" borderId="33" xfId="8" applyNumberFormat="1" applyFont="1" applyBorder="1" applyAlignment="1">
      <alignment horizontal="center"/>
    </xf>
    <xf numFmtId="0" fontId="34" fillId="0" borderId="33" xfId="8" applyFont="1" applyBorder="1" applyAlignment="1">
      <alignment horizontal="center"/>
    </xf>
    <xf numFmtId="164" fontId="0" fillId="0" borderId="33" xfId="6" applyNumberFormat="1" applyFont="1" applyBorder="1"/>
    <xf numFmtId="164" fontId="0" fillId="0" borderId="45" xfId="6" applyNumberFormat="1" applyFont="1" applyBorder="1"/>
    <xf numFmtId="0" fontId="5" fillId="0" borderId="33" xfId="8" applyBorder="1"/>
    <xf numFmtId="0" fontId="5" fillId="9" borderId="33" xfId="8" applyFill="1" applyBorder="1"/>
    <xf numFmtId="164" fontId="0" fillId="0" borderId="47" xfId="6" applyNumberFormat="1" applyFont="1" applyBorder="1"/>
    <xf numFmtId="172" fontId="88" fillId="0" borderId="23" xfId="8" applyNumberFormat="1" applyFont="1" applyBorder="1" applyAlignment="1">
      <alignment horizontal="center"/>
    </xf>
    <xf numFmtId="0" fontId="34" fillId="0" borderId="23" xfId="8" applyFont="1" applyBorder="1" applyAlignment="1">
      <alignment horizontal="center"/>
    </xf>
    <xf numFmtId="164" fontId="0" fillId="0" borderId="29" xfId="6" applyNumberFormat="1" applyFont="1" applyBorder="1"/>
    <xf numFmtId="164" fontId="5" fillId="0" borderId="23" xfId="8" applyNumberFormat="1" applyBorder="1"/>
    <xf numFmtId="164" fontId="5" fillId="12" borderId="23" xfId="1" applyNumberFormat="1" applyFont="1" applyFill="1" applyBorder="1"/>
    <xf numFmtId="164" fontId="0" fillId="0" borderId="37" xfId="6" applyNumberFormat="1" applyFont="1" applyBorder="1"/>
    <xf numFmtId="0" fontId="33" fillId="0" borderId="23" xfId="8" applyFont="1" applyBorder="1" applyAlignment="1">
      <alignment horizontal="center"/>
    </xf>
    <xf numFmtId="164" fontId="85" fillId="26" borderId="27" xfId="1" applyNumberFormat="1" applyFont="1" applyFill="1" applyBorder="1"/>
    <xf numFmtId="0" fontId="37" fillId="0" borderId="23" xfId="8" applyFont="1" applyBorder="1" applyAlignment="1">
      <alignment horizontal="center"/>
    </xf>
    <xf numFmtId="169" fontId="35" fillId="0" borderId="29" xfId="8" applyNumberFormat="1" applyFont="1" applyBorder="1"/>
    <xf numFmtId="169" fontId="35" fillId="0" borderId="24" xfId="8" applyNumberFormat="1" applyFont="1" applyBorder="1"/>
    <xf numFmtId="10" fontId="35" fillId="0" borderId="23" xfId="8" applyNumberFormat="1" applyFont="1" applyBorder="1"/>
    <xf numFmtId="10" fontId="0" fillId="0" borderId="23" xfId="0" applyNumberFormat="1" applyBorder="1"/>
    <xf numFmtId="10" fontId="0" fillId="9" borderId="23" xfId="0" applyNumberFormat="1" applyFill="1" applyBorder="1"/>
    <xf numFmtId="169" fontId="0" fillId="0" borderId="23" xfId="0" applyNumberFormat="1" applyBorder="1"/>
    <xf numFmtId="0" fontId="0" fillId="13" borderId="37" xfId="0" applyFill="1" applyBorder="1"/>
    <xf numFmtId="10" fontId="0" fillId="0" borderId="24" xfId="0" applyNumberFormat="1" applyBorder="1"/>
    <xf numFmtId="10" fontId="5" fillId="0" borderId="37" xfId="8" applyNumberFormat="1" applyBorder="1"/>
    <xf numFmtId="10" fontId="33" fillId="0" borderId="23" xfId="8" applyNumberFormat="1" applyFont="1" applyBorder="1" applyAlignment="1">
      <alignment horizontal="center"/>
    </xf>
    <xf numFmtId="175" fontId="5" fillId="0" borderId="23" xfId="8" applyNumberFormat="1" applyBorder="1"/>
    <xf numFmtId="175" fontId="86" fillId="6" borderId="23" xfId="8" applyNumberFormat="1" applyFont="1" applyFill="1" applyBorder="1"/>
    <xf numFmtId="10" fontId="5" fillId="0" borderId="23" xfId="8" applyNumberFormat="1" applyBorder="1"/>
    <xf numFmtId="164" fontId="0" fillId="9" borderId="23" xfId="6" applyNumberFormat="1" applyFont="1" applyFill="1" applyBorder="1"/>
    <xf numFmtId="164" fontId="34" fillId="0" borderId="23" xfId="6" applyNumberFormat="1" applyFont="1" applyBorder="1"/>
    <xf numFmtId="164" fontId="85" fillId="3" borderId="27" xfId="1" applyNumberFormat="1" applyFont="1" applyFill="1" applyBorder="1"/>
    <xf numFmtId="0" fontId="37" fillId="0" borderId="23" xfId="8" applyFont="1" applyBorder="1" applyAlignment="1">
      <alignment horizontal="center" wrapText="1"/>
    </xf>
    <xf numFmtId="0" fontId="37" fillId="0" borderId="23" xfId="8" applyFont="1" applyBorder="1"/>
    <xf numFmtId="10" fontId="0" fillId="0" borderId="23" xfId="3" applyNumberFormat="1" applyFont="1" applyBorder="1"/>
    <xf numFmtId="10" fontId="0" fillId="9" borderId="23" xfId="3" applyNumberFormat="1" applyFont="1" applyFill="1" applyBorder="1"/>
    <xf numFmtId="10" fontId="5" fillId="9" borderId="23" xfId="8" applyNumberFormat="1" applyFill="1" applyBorder="1"/>
    <xf numFmtId="0" fontId="5" fillId="12" borderId="23" xfId="8" applyFill="1" applyBorder="1"/>
    <xf numFmtId="172" fontId="88" fillId="0" borderId="41" xfId="8" applyNumberFormat="1" applyFont="1" applyBorder="1" applyAlignment="1">
      <alignment horizontal="center"/>
    </xf>
    <xf numFmtId="0" fontId="34" fillId="0" borderId="41" xfId="8" applyFont="1" applyBorder="1" applyAlignment="1">
      <alignment horizontal="center"/>
    </xf>
    <xf numFmtId="164" fontId="0" fillId="0" borderId="41" xfId="6" applyNumberFormat="1" applyFont="1" applyBorder="1"/>
    <xf numFmtId="164" fontId="0" fillId="0" borderId="3" xfId="6" applyNumberFormat="1" applyFont="1" applyBorder="1"/>
    <xf numFmtId="0" fontId="5" fillId="0" borderId="41" xfId="8" applyBorder="1"/>
    <xf numFmtId="10" fontId="5" fillId="0" borderId="41" xfId="8" applyNumberFormat="1" applyBorder="1"/>
    <xf numFmtId="10" fontId="5" fillId="9" borderId="41" xfId="8" applyNumberFormat="1" applyFill="1" applyBorder="1"/>
    <xf numFmtId="0" fontId="5" fillId="12" borderId="41" xfId="8" applyFill="1" applyBorder="1"/>
    <xf numFmtId="164" fontId="0" fillId="0" borderId="4" xfId="6" applyNumberFormat="1" applyFont="1" applyBorder="1"/>
    <xf numFmtId="4" fontId="5" fillId="0" borderId="41" xfId="8" applyNumberFormat="1" applyBorder="1"/>
    <xf numFmtId="0" fontId="0" fillId="0" borderId="41" xfId="0" applyBorder="1" applyAlignment="1">
      <alignment horizontal="center"/>
    </xf>
    <xf numFmtId="10" fontId="0" fillId="0" borderId="41" xfId="3" applyNumberFormat="1" applyFont="1" applyBorder="1"/>
    <xf numFmtId="10" fontId="0" fillId="9" borderId="41" xfId="3" applyNumberFormat="1" applyFont="1" applyFill="1" applyBorder="1"/>
    <xf numFmtId="169" fontId="0" fillId="0" borderId="41" xfId="0" applyNumberFormat="1" applyBorder="1"/>
    <xf numFmtId="0" fontId="0" fillId="13" borderId="4" xfId="0" applyFill="1" applyBorder="1"/>
    <xf numFmtId="10" fontId="0" fillId="0" borderId="65" xfId="0" applyNumberFormat="1" applyBorder="1"/>
    <xf numFmtId="10" fontId="5" fillId="0" borderId="4" xfId="8" applyNumberFormat="1" applyBorder="1"/>
    <xf numFmtId="0" fontId="33" fillId="0" borderId="41" xfId="8" applyFont="1" applyBorder="1" applyAlignment="1">
      <alignment horizontal="center"/>
    </xf>
    <xf numFmtId="10" fontId="33" fillId="0" borderId="41" xfId="8" applyNumberFormat="1" applyFont="1" applyBorder="1" applyAlignment="1">
      <alignment horizontal="center"/>
    </xf>
    <xf numFmtId="175" fontId="5" fillId="0" borderId="41" xfId="8" applyNumberFormat="1" applyBorder="1"/>
    <xf numFmtId="175" fontId="86" fillId="6" borderId="41" xfId="8" applyNumberFormat="1" applyFont="1" applyFill="1" applyBorder="1"/>
    <xf numFmtId="9" fontId="5" fillId="0" borderId="41" xfId="8" applyNumberFormat="1" applyBorder="1"/>
    <xf numFmtId="164" fontId="5" fillId="12" borderId="41" xfId="1" applyNumberFormat="1" applyFont="1" applyFill="1" applyBorder="1"/>
    <xf numFmtId="0" fontId="5" fillId="9" borderId="41" xfId="8" applyFill="1" applyBorder="1"/>
    <xf numFmtId="0" fontId="5" fillId="12" borderId="33" xfId="8" applyFill="1" applyBorder="1"/>
    <xf numFmtId="172" fontId="70" fillId="0" borderId="33" xfId="13" applyNumberFormat="1" applyFont="1" applyBorder="1" applyAlignment="1">
      <alignment horizontal="center" vertical="center"/>
    </xf>
    <xf numFmtId="3" fontId="0" fillId="0" borderId="33" xfId="0" applyNumberFormat="1" applyBorder="1"/>
    <xf numFmtId="3" fontId="97" fillId="3" borderId="33" xfId="0" applyNumberFormat="1" applyFont="1" applyFill="1" applyBorder="1"/>
    <xf numFmtId="3" fontId="13" fillId="0" borderId="45" xfId="0" applyNumberFormat="1" applyFont="1" applyBorder="1"/>
    <xf numFmtId="3" fontId="19" fillId="0" borderId="33" xfId="0" applyNumberFormat="1" applyFont="1" applyBorder="1"/>
    <xf numFmtId="3" fontId="19" fillId="3" borderId="33" xfId="0" applyNumberFormat="1" applyFont="1" applyFill="1" applyBorder="1"/>
    <xf numFmtId="3" fontId="12" fillId="0" borderId="33" xfId="0" applyNumberFormat="1" applyFont="1" applyBorder="1"/>
    <xf numFmtId="3" fontId="101" fillId="3" borderId="33" xfId="0" applyNumberFormat="1" applyFont="1" applyFill="1" applyBorder="1"/>
    <xf numFmtId="3" fontId="21" fillId="0" borderId="33" xfId="0" applyNumberFormat="1" applyFont="1" applyBorder="1"/>
    <xf numFmtId="3" fontId="46" fillId="0" borderId="33" xfId="0" applyNumberFormat="1" applyFont="1" applyBorder="1"/>
    <xf numFmtId="3" fontId="97" fillId="0" borderId="33" xfId="0" applyNumberFormat="1" applyFont="1" applyBorder="1"/>
    <xf numFmtId="3" fontId="12" fillId="6" borderId="33" xfId="0" applyNumberFormat="1" applyFont="1" applyFill="1" applyBorder="1"/>
    <xf numFmtId="172" fontId="70" fillId="0" borderId="23" xfId="13" applyNumberFormat="1" applyFont="1" applyBorder="1" applyAlignment="1">
      <alignment horizontal="center" vertical="center"/>
    </xf>
    <xf numFmtId="0" fontId="38" fillId="0" borderId="23" xfId="13" applyFont="1" applyBorder="1" applyAlignment="1">
      <alignment horizontal="center" vertical="center"/>
    </xf>
    <xf numFmtId="3" fontId="0" fillId="0" borderId="23" xfId="0" applyNumberFormat="1" applyBorder="1"/>
    <xf numFmtId="3" fontId="97" fillId="3" borderId="23" xfId="0" applyNumberFormat="1" applyFont="1" applyFill="1" applyBorder="1"/>
    <xf numFmtId="3" fontId="13" fillId="0" borderId="29" xfId="0" applyNumberFormat="1" applyFont="1" applyBorder="1"/>
    <xf numFmtId="3" fontId="19" fillId="0" borderId="23" xfId="0" applyNumberFormat="1" applyFont="1" applyBorder="1"/>
    <xf numFmtId="3" fontId="19" fillId="3" borderId="23" xfId="0" applyNumberFormat="1" applyFont="1" applyFill="1" applyBorder="1"/>
    <xf numFmtId="3" fontId="12" fillId="0" borderId="23" xfId="0" applyNumberFormat="1" applyFont="1" applyBorder="1"/>
    <xf numFmtId="3" fontId="101" fillId="3" borderId="23" xfId="0" applyNumberFormat="1" applyFont="1" applyFill="1" applyBorder="1"/>
    <xf numFmtId="164" fontId="13" fillId="0" borderId="37" xfId="1" applyNumberFormat="1" applyFont="1" applyBorder="1"/>
    <xf numFmtId="3" fontId="21" fillId="0" borderId="23" xfId="0" applyNumberFormat="1" applyFont="1" applyBorder="1"/>
    <xf numFmtId="3" fontId="46" fillId="0" borderId="23" xfId="0" applyNumberFormat="1" applyFont="1" applyBorder="1"/>
    <xf numFmtId="3" fontId="97" fillId="0" borderId="23" xfId="0" applyNumberFormat="1" applyFont="1" applyBorder="1"/>
    <xf numFmtId="3" fontId="12" fillId="6" borderId="23" xfId="0" applyNumberFormat="1" applyFont="1" applyFill="1" applyBorder="1"/>
    <xf numFmtId="172" fontId="70" fillId="0" borderId="41" xfId="13" applyNumberFormat="1" applyFont="1" applyBorder="1" applyAlignment="1">
      <alignment horizontal="center" vertical="center"/>
    </xf>
    <xf numFmtId="0" fontId="38" fillId="0" borderId="41" xfId="13" applyFont="1" applyBorder="1" applyAlignment="1">
      <alignment horizontal="center" vertical="center"/>
    </xf>
    <xf numFmtId="3" fontId="0" fillId="0" borderId="41" xfId="0" applyNumberFormat="1" applyBorder="1"/>
    <xf numFmtId="3" fontId="97" fillId="3" borderId="41" xfId="0" applyNumberFormat="1" applyFont="1" applyFill="1" applyBorder="1"/>
    <xf numFmtId="3" fontId="13" fillId="0" borderId="3" xfId="0" applyNumberFormat="1" applyFont="1" applyBorder="1"/>
    <xf numFmtId="3" fontId="19" fillId="0" borderId="41" xfId="0" applyNumberFormat="1" applyFont="1" applyBorder="1"/>
    <xf numFmtId="3" fontId="19" fillId="3" borderId="41" xfId="0" applyNumberFormat="1" applyFont="1" applyFill="1" applyBorder="1"/>
    <xf numFmtId="3" fontId="101" fillId="3" borderId="41" xfId="0" applyNumberFormat="1" applyFont="1" applyFill="1" applyBorder="1"/>
    <xf numFmtId="3" fontId="101" fillId="23" borderId="41" xfId="0" applyNumberFormat="1" applyFont="1" applyFill="1" applyBorder="1"/>
    <xf numFmtId="164" fontId="13" fillId="0" borderId="3" xfId="1" applyNumberFormat="1" applyFont="1" applyBorder="1"/>
    <xf numFmtId="3" fontId="21" fillId="0" borderId="41" xfId="0" applyNumberFormat="1" applyFont="1" applyBorder="1"/>
    <xf numFmtId="3" fontId="46" fillId="0" borderId="41" xfId="0" applyNumberFormat="1" applyFont="1" applyBorder="1"/>
    <xf numFmtId="3" fontId="97" fillId="0" borderId="41" xfId="0" applyNumberFormat="1" applyFont="1" applyBorder="1"/>
    <xf numFmtId="3" fontId="12" fillId="6" borderId="41" xfId="0" applyNumberFormat="1" applyFont="1" applyFill="1" applyBorder="1"/>
    <xf numFmtId="0" fontId="97" fillId="3" borderId="41" xfId="0" applyFont="1" applyFill="1" applyBorder="1"/>
    <xf numFmtId="0" fontId="13" fillId="0" borderId="3" xfId="0" applyFont="1" applyBorder="1"/>
    <xf numFmtId="0" fontId="19" fillId="0" borderId="41" xfId="0" applyFont="1" applyBorder="1"/>
    <xf numFmtId="0" fontId="19" fillId="3" borderId="41" xfId="0" applyFont="1" applyFill="1" applyBorder="1"/>
    <xf numFmtId="0" fontId="12" fillId="0" borderId="41" xfId="0" applyFont="1" applyBorder="1"/>
    <xf numFmtId="9" fontId="12" fillId="0" borderId="41" xfId="0" applyNumberFormat="1" applyFont="1" applyBorder="1"/>
    <xf numFmtId="9" fontId="12" fillId="0" borderId="33" xfId="0" applyNumberFormat="1" applyFont="1" applyBorder="1"/>
    <xf numFmtId="9" fontId="12" fillId="0" borderId="23" xfId="0" applyNumberFormat="1" applyFont="1" applyBorder="1"/>
    <xf numFmtId="0" fontId="97" fillId="3" borderId="33" xfId="0" applyFont="1" applyFill="1" applyBorder="1"/>
    <xf numFmtId="0" fontId="97" fillId="3" borderId="23" xfId="0" applyFont="1" applyFill="1" applyBorder="1"/>
    <xf numFmtId="168" fontId="12" fillId="0" borderId="33" xfId="0" applyNumberFormat="1" applyFont="1" applyBorder="1"/>
    <xf numFmtId="0" fontId="13" fillId="0" borderId="0" xfId="0" applyFont="1" applyAlignment="1">
      <alignment horizontal="left"/>
    </xf>
    <xf numFmtId="164" fontId="102" fillId="0" borderId="0" xfId="1" applyNumberFormat="1" applyFont="1"/>
    <xf numFmtId="164" fontId="102" fillId="0" borderId="41" xfId="1" applyNumberFormat="1" applyFont="1" applyBorder="1"/>
    <xf numFmtId="0" fontId="102" fillId="0" borderId="0" xfId="0" applyFont="1"/>
    <xf numFmtId="164" fontId="102" fillId="0" borderId="79" xfId="1" applyNumberFormat="1" applyFont="1" applyBorder="1"/>
    <xf numFmtId="164" fontId="102" fillId="0" borderId="9" xfId="1" applyNumberFormat="1" applyFont="1" applyBorder="1"/>
    <xf numFmtId="164" fontId="102" fillId="0" borderId="76" xfId="1" applyNumberFormat="1" applyFont="1" applyBorder="1"/>
    <xf numFmtId="3" fontId="13" fillId="0" borderId="41" xfId="0" applyNumberFormat="1" applyFont="1" applyBorder="1"/>
    <xf numFmtId="9" fontId="100" fillId="3" borderId="41" xfId="1" applyNumberFormat="1" applyFont="1" applyFill="1" applyBorder="1" applyAlignment="1">
      <alignment vertical="center"/>
    </xf>
    <xf numFmtId="9" fontId="100" fillId="3" borderId="0" xfId="1" applyNumberFormat="1" applyFont="1" applyFill="1" applyAlignment="1">
      <alignment vertical="center"/>
    </xf>
    <xf numFmtId="9" fontId="100" fillId="3" borderId="12" xfId="1" applyNumberFormat="1" applyFont="1" applyFill="1" applyBorder="1" applyAlignment="1">
      <alignment vertical="center"/>
    </xf>
    <xf numFmtId="172" fontId="97" fillId="3" borderId="81" xfId="0" applyNumberFormat="1" applyFont="1" applyFill="1" applyBorder="1" applyAlignment="1">
      <alignment horizontal="center"/>
    </xf>
    <xf numFmtId="172" fontId="97" fillId="3" borderId="67" xfId="0" applyNumberFormat="1" applyFont="1" applyFill="1" applyBorder="1" applyAlignment="1">
      <alignment horizontal="center"/>
    </xf>
    <xf numFmtId="172" fontId="97" fillId="3" borderId="82" xfId="0" applyNumberFormat="1" applyFont="1" applyFill="1" applyBorder="1" applyAlignment="1">
      <alignment horizontal="center"/>
    </xf>
    <xf numFmtId="172" fontId="97" fillId="3" borderId="19" xfId="0" applyNumberFormat="1" applyFont="1" applyFill="1" applyBorder="1" applyAlignment="1">
      <alignment horizontal="center"/>
    </xf>
    <xf numFmtId="172" fontId="97" fillId="3" borderId="80" xfId="0" applyNumberFormat="1" applyFont="1" applyFill="1" applyBorder="1" applyAlignment="1">
      <alignment horizontal="center"/>
    </xf>
    <xf numFmtId="44" fontId="97" fillId="3" borderId="62" xfId="2" applyFont="1" applyFill="1" applyBorder="1" applyAlignment="1">
      <alignment horizontal="center"/>
    </xf>
    <xf numFmtId="44" fontId="97" fillId="3" borderId="78" xfId="2" applyFont="1" applyFill="1" applyBorder="1" applyAlignment="1">
      <alignment horizontal="center"/>
    </xf>
    <xf numFmtId="44" fontId="97" fillId="3" borderId="65" xfId="2" applyFont="1" applyFill="1" applyBorder="1" applyAlignment="1">
      <alignment horizontal="center"/>
    </xf>
    <xf numFmtId="44" fontId="97" fillId="3" borderId="64" xfId="2" applyFont="1" applyFill="1" applyBorder="1" applyAlignment="1">
      <alignment horizontal="center"/>
    </xf>
    <xf numFmtId="44" fontId="97" fillId="3" borderId="75" xfId="2" applyFont="1" applyFill="1" applyBorder="1" applyAlignment="1">
      <alignment horizontal="center"/>
    </xf>
    <xf numFmtId="43" fontId="99" fillId="3" borderId="0" xfId="1" applyFont="1" applyFill="1" applyAlignment="1">
      <alignment vertical="center"/>
    </xf>
    <xf numFmtId="0" fontId="105" fillId="0" borderId="0" xfId="0" applyFont="1"/>
    <xf numFmtId="164" fontId="106" fillId="0" borderId="0" xfId="1" applyNumberFormat="1" applyFont="1"/>
    <xf numFmtId="164" fontId="107" fillId="0" borderId="0" xfId="1" applyNumberFormat="1" applyFont="1"/>
    <xf numFmtId="164" fontId="108" fillId="0" borderId="0" xfId="1" applyNumberFormat="1" applyFont="1"/>
    <xf numFmtId="0" fontId="106" fillId="0" borderId="0" xfId="0" applyFont="1"/>
    <xf numFmtId="164" fontId="108" fillId="0" borderId="0" xfId="1" applyNumberFormat="1" applyFont="1" applyAlignment="1">
      <alignment horizontal="right"/>
    </xf>
    <xf numFmtId="168" fontId="108" fillId="0" borderId="0" xfId="0" applyNumberFormat="1" applyFont="1" applyAlignment="1">
      <alignment horizontal="right"/>
    </xf>
    <xf numFmtId="164" fontId="107" fillId="0" borderId="0" xfId="1" applyNumberFormat="1" applyFont="1" applyAlignment="1">
      <alignment horizontal="right"/>
    </xf>
    <xf numFmtId="168" fontId="97" fillId="3" borderId="0" xfId="0" applyNumberFormat="1" applyFont="1" applyFill="1" applyAlignment="1">
      <alignment horizontal="center"/>
    </xf>
    <xf numFmtId="9" fontId="96" fillId="3" borderId="0" xfId="0" applyNumberFormat="1" applyFont="1" applyFill="1" applyAlignment="1">
      <alignment horizontal="center"/>
    </xf>
    <xf numFmtId="9" fontId="97" fillId="3" borderId="0" xfId="0" applyNumberFormat="1" applyFont="1" applyFill="1" applyAlignment="1">
      <alignment horizontal="center"/>
    </xf>
    <xf numFmtId="0" fontId="109" fillId="0" borderId="0" xfId="0" applyFont="1"/>
    <xf numFmtId="0" fontId="110" fillId="0" borderId="0" xfId="0" applyFont="1"/>
    <xf numFmtId="0" fontId="107" fillId="0" borderId="0" xfId="0" applyFont="1"/>
    <xf numFmtId="0" fontId="107" fillId="0" borderId="0" xfId="0" applyFont="1" applyAlignment="1">
      <alignment horizontal="right"/>
    </xf>
    <xf numFmtId="10" fontId="107" fillId="0" borderId="0" xfId="0" applyNumberFormat="1" applyFont="1" applyAlignment="1">
      <alignment horizontal="right"/>
    </xf>
    <xf numFmtId="0" fontId="108" fillId="0" borderId="0" xfId="0" applyFont="1"/>
    <xf numFmtId="178" fontId="103" fillId="0" borderId="0" xfId="0" applyNumberFormat="1" applyFont="1"/>
    <xf numFmtId="178" fontId="104" fillId="0" borderId="0" xfId="0" applyNumberFormat="1" applyFont="1"/>
    <xf numFmtId="9" fontId="98" fillId="3" borderId="0" xfId="0" applyNumberFormat="1" applyFont="1" applyFill="1" applyAlignment="1">
      <alignment horizontal="center"/>
    </xf>
    <xf numFmtId="0" fontId="111" fillId="0" borderId="0" xfId="0" applyFont="1"/>
    <xf numFmtId="0" fontId="113" fillId="0" borderId="0" xfId="0" applyFont="1"/>
    <xf numFmtId="168" fontId="116" fillId="3" borderId="0" xfId="1" applyNumberFormat="1" applyFont="1" applyFill="1"/>
    <xf numFmtId="9" fontId="98" fillId="27" borderId="0" xfId="0" applyNumberFormat="1" applyFont="1" applyFill="1" applyAlignment="1">
      <alignment horizontal="center"/>
    </xf>
    <xf numFmtId="0" fontId="2" fillId="30" borderId="0" xfId="0" applyFont="1" applyFill="1"/>
    <xf numFmtId="164" fontId="2" fillId="30" borderId="0" xfId="1" applyNumberFormat="1" applyFont="1" applyFill="1"/>
    <xf numFmtId="164" fontId="2" fillId="30" borderId="79" xfId="1" applyNumberFormat="1" applyFont="1" applyFill="1" applyBorder="1"/>
    <xf numFmtId="164" fontId="2" fillId="30" borderId="41" xfId="1" applyNumberFormat="1" applyFont="1" applyFill="1" applyBorder="1"/>
    <xf numFmtId="164" fontId="2" fillId="30" borderId="9" xfId="1" applyNumberFormat="1" applyFont="1" applyFill="1" applyBorder="1"/>
    <xf numFmtId="164" fontId="2" fillId="30" borderId="76" xfId="1" applyNumberFormat="1" applyFont="1" applyFill="1" applyBorder="1"/>
    <xf numFmtId="164" fontId="106" fillId="0" borderId="0" xfId="1" applyNumberFormat="1" applyFont="1" applyAlignment="1">
      <alignment horizontal="right"/>
    </xf>
    <xf numFmtId="0" fontId="106" fillId="0" borderId="0" xfId="0" applyFont="1" applyAlignment="1">
      <alignment horizontal="right"/>
    </xf>
    <xf numFmtId="43" fontId="108" fillId="0" borderId="0" xfId="0" applyNumberFormat="1" applyFont="1" applyAlignment="1">
      <alignment horizontal="right"/>
    </xf>
    <xf numFmtId="9" fontId="12" fillId="0" borderId="0" xfId="0" applyNumberFormat="1" applyFont="1" applyAlignment="1">
      <alignment horizontal="right"/>
    </xf>
    <xf numFmtId="0" fontId="30" fillId="0" borderId="0" xfId="0" applyFont="1" applyAlignment="1">
      <alignment horizontal="center"/>
    </xf>
    <xf numFmtId="0" fontId="31" fillId="0" borderId="0" xfId="0" applyFont="1" applyAlignment="1">
      <alignment wrapText="1"/>
    </xf>
    <xf numFmtId="175" fontId="31" fillId="0" borderId="0" xfId="0" applyNumberFormat="1" applyFont="1"/>
    <xf numFmtId="9" fontId="105" fillId="0" borderId="0" xfId="0" applyNumberFormat="1" applyFont="1" applyAlignment="1">
      <alignment horizontal="right" wrapText="1"/>
    </xf>
    <xf numFmtId="0" fontId="31" fillId="0" borderId="0" xfId="0" applyFont="1" applyAlignment="1">
      <alignment horizontal="right" wrapText="1"/>
    </xf>
    <xf numFmtId="0" fontId="30" fillId="0" borderId="0" xfId="0" applyFont="1" applyAlignment="1">
      <alignment horizontal="right" wrapText="1"/>
    </xf>
    <xf numFmtId="175" fontId="30" fillId="0" borderId="0" xfId="0" applyNumberFormat="1" applyFont="1"/>
    <xf numFmtId="0" fontId="30" fillId="0" borderId="0" xfId="0" applyFont="1" applyAlignment="1">
      <alignment wrapText="1"/>
    </xf>
    <xf numFmtId="179" fontId="30" fillId="0" borderId="0" xfId="0" applyNumberFormat="1" applyFont="1"/>
    <xf numFmtId="168" fontId="30" fillId="0" borderId="0" xfId="0" applyNumberFormat="1" applyFont="1"/>
    <xf numFmtId="0" fontId="112" fillId="0" borderId="0" xfId="0" applyFont="1" applyAlignment="1">
      <alignment horizontal="center"/>
    </xf>
    <xf numFmtId="175" fontId="115" fillId="0" borderId="0" xfId="0" applyNumberFormat="1" applyFont="1"/>
    <xf numFmtId="0" fontId="114" fillId="0" borderId="0" xfId="0" applyFont="1" applyAlignment="1">
      <alignment wrapText="1"/>
    </xf>
    <xf numFmtId="180" fontId="114" fillId="0" borderId="0" xfId="0" applyNumberFormat="1" applyFont="1"/>
    <xf numFmtId="0" fontId="3" fillId="0" borderId="0" xfId="0" quotePrefix="1" applyFont="1" applyAlignment="1">
      <alignment horizontal="center"/>
    </xf>
    <xf numFmtId="10" fontId="97" fillId="3" borderId="0" xfId="0" applyNumberFormat="1" applyFont="1" applyFill="1"/>
    <xf numFmtId="168" fontId="98" fillId="0" borderId="0" xfId="0" applyNumberFormat="1" applyFont="1" applyAlignment="1">
      <alignment horizontal="center"/>
    </xf>
    <xf numFmtId="10" fontId="98" fillId="3" borderId="0" xfId="0" applyNumberFormat="1" applyFont="1" applyFill="1" applyAlignment="1">
      <alignment horizontal="center"/>
    </xf>
    <xf numFmtId="168" fontId="98" fillId="3" borderId="0" xfId="0" applyNumberFormat="1" applyFont="1" applyFill="1" applyAlignment="1">
      <alignment horizontal="center"/>
    </xf>
    <xf numFmtId="164" fontId="116" fillId="3" borderId="23" xfId="1" applyNumberFormat="1" applyFont="1" applyFill="1" applyBorder="1"/>
    <xf numFmtId="164" fontId="116" fillId="3" borderId="0" xfId="1" applyNumberFormat="1" applyFont="1" applyFill="1"/>
    <xf numFmtId="164" fontId="116" fillId="3" borderId="25" xfId="1" applyNumberFormat="1" applyFont="1" applyFill="1" applyBorder="1"/>
    <xf numFmtId="164" fontId="116" fillId="3" borderId="33" xfId="1" applyNumberFormat="1" applyFont="1" applyFill="1" applyBorder="1"/>
    <xf numFmtId="164" fontId="97" fillId="3" borderId="33" xfId="1" applyNumberFormat="1" applyFont="1" applyFill="1" applyBorder="1"/>
    <xf numFmtId="43" fontId="97" fillId="3" borderId="0" xfId="1" applyFont="1" applyFill="1"/>
    <xf numFmtId="9" fontId="97" fillId="3" borderId="23" xfId="1" applyNumberFormat="1" applyFont="1" applyFill="1" applyBorder="1"/>
    <xf numFmtId="9" fontId="97" fillId="3" borderId="0" xfId="1" applyNumberFormat="1" applyFont="1" applyFill="1"/>
    <xf numFmtId="9" fontId="97" fillId="3" borderId="25" xfId="1" applyNumberFormat="1" applyFont="1" applyFill="1" applyBorder="1"/>
    <xf numFmtId="9" fontId="97" fillId="3" borderId="33" xfId="1" applyNumberFormat="1" applyFont="1" applyFill="1" applyBorder="1"/>
    <xf numFmtId="9" fontId="117" fillId="3" borderId="0" xfId="8" applyNumberFormat="1" applyFont="1" applyFill="1"/>
    <xf numFmtId="3" fontId="117" fillId="3" borderId="0" xfId="8" applyNumberFormat="1" applyFont="1" applyFill="1"/>
    <xf numFmtId="10" fontId="117" fillId="3" borderId="0" xfId="8" applyNumberFormat="1" applyFont="1" applyFill="1"/>
    <xf numFmtId="164" fontId="117" fillId="3" borderId="0" xfId="8" applyNumberFormat="1" applyFont="1" applyFill="1"/>
    <xf numFmtId="164" fontId="97" fillId="2" borderId="0" xfId="1" applyNumberFormat="1" applyFont="1" applyFill="1"/>
    <xf numFmtId="164" fontId="97" fillId="2" borderId="33" xfId="1" applyNumberFormat="1" applyFont="1" applyFill="1" applyBorder="1"/>
    <xf numFmtId="168" fontId="98" fillId="3" borderId="35" xfId="0" applyNumberFormat="1" applyFont="1" applyFill="1" applyBorder="1" applyAlignment="1">
      <alignment horizontal="center"/>
    </xf>
    <xf numFmtId="164" fontId="97" fillId="3" borderId="18" xfId="1" applyNumberFormat="1" applyFont="1" applyFill="1" applyBorder="1"/>
    <xf numFmtId="164" fontId="97" fillId="3" borderId="19" xfId="1" applyNumberFormat="1" applyFont="1" applyFill="1" applyBorder="1"/>
    <xf numFmtId="164" fontId="97" fillId="3" borderId="20" xfId="1" applyNumberFormat="1" applyFont="1" applyFill="1" applyBorder="1"/>
    <xf numFmtId="164" fontId="97" fillId="6" borderId="23" xfId="1" applyNumberFormat="1" applyFont="1" applyFill="1" applyBorder="1"/>
    <xf numFmtId="164" fontId="97" fillId="6" borderId="25" xfId="1" applyNumberFormat="1" applyFont="1" applyFill="1" applyBorder="1"/>
    <xf numFmtId="164" fontId="116" fillId="3" borderId="46" xfId="1" applyNumberFormat="1" applyFont="1" applyFill="1" applyBorder="1"/>
    <xf numFmtId="164" fontId="19" fillId="9" borderId="44" xfId="1" applyNumberFormat="1" applyFont="1" applyFill="1" applyBorder="1" applyAlignment="1">
      <alignment wrapText="1"/>
    </xf>
    <xf numFmtId="164" fontId="59" fillId="0" borderId="0" xfId="1" applyNumberFormat="1" applyFont="1"/>
    <xf numFmtId="164" fontId="59" fillId="0" borderId="0" xfId="1" applyNumberFormat="1" applyFont="1" applyAlignment="1">
      <alignment horizontal="center"/>
    </xf>
    <xf numFmtId="0" fontId="59" fillId="0" borderId="0" xfId="0" applyFont="1"/>
    <xf numFmtId="168" fontId="2" fillId="8" borderId="3" xfId="3" applyNumberFormat="1" applyFont="1" applyFill="1" applyBorder="1" applyAlignment="1">
      <alignment horizontal="centerContinuous"/>
    </xf>
    <xf numFmtId="9" fontId="11" fillId="8" borderId="2" xfId="0" applyNumberFormat="1" applyFont="1" applyFill="1" applyBorder="1" applyAlignment="1">
      <alignment horizontal="centerContinuous"/>
    </xf>
    <xf numFmtId="9" fontId="2" fillId="8" borderId="2" xfId="0" applyNumberFormat="1" applyFont="1" applyFill="1" applyBorder="1" applyAlignment="1">
      <alignment horizontal="centerContinuous"/>
    </xf>
    <xf numFmtId="9" fontId="2" fillId="8" borderId="11" xfId="0" applyNumberFormat="1" applyFont="1" applyFill="1" applyBorder="1" applyAlignment="1">
      <alignment horizontal="centerContinuous"/>
    </xf>
    <xf numFmtId="164" fontId="2" fillId="8" borderId="2" xfId="1" applyNumberFormat="1" applyFont="1" applyFill="1" applyBorder="1" applyAlignment="1">
      <alignment horizontal="centerContinuous"/>
    </xf>
    <xf numFmtId="164" fontId="2" fillId="8" borderId="11" xfId="1" applyNumberFormat="1" applyFont="1" applyFill="1" applyBorder="1" applyAlignment="1">
      <alignment horizontal="centerContinuous"/>
    </xf>
    <xf numFmtId="0" fontId="11" fillId="8" borderId="2" xfId="0" applyFont="1" applyFill="1" applyBorder="1" applyAlignment="1">
      <alignment horizontal="centerContinuous"/>
    </xf>
    <xf numFmtId="0" fontId="11" fillId="8" borderId="11" xfId="0" applyFont="1" applyFill="1" applyBorder="1" applyAlignment="1">
      <alignment horizontal="centerContinuous"/>
    </xf>
    <xf numFmtId="168" fontId="3" fillId="21" borderId="17" xfId="0" applyNumberFormat="1" applyFont="1" applyFill="1" applyBorder="1"/>
    <xf numFmtId="168" fontId="0" fillId="21" borderId="17" xfId="0" applyNumberFormat="1" applyFill="1" applyBorder="1"/>
    <xf numFmtId="181" fontId="3" fillId="0" borderId="53" xfId="2" applyNumberFormat="1" applyFont="1" applyBorder="1"/>
    <xf numFmtId="174" fontId="3" fillId="0" borderId="0" xfId="1" applyNumberFormat="1" applyFont="1"/>
    <xf numFmtId="178" fontId="103" fillId="2" borderId="0" xfId="0" applyNumberFormat="1" applyFont="1" applyFill="1"/>
    <xf numFmtId="178" fontId="104" fillId="2" borderId="0" xfId="0" applyNumberFormat="1" applyFont="1" applyFill="1"/>
    <xf numFmtId="0" fontId="3" fillId="2" borderId="0" xfId="0" applyFont="1" applyFill="1" applyAlignment="1">
      <alignment horizontal="left"/>
    </xf>
    <xf numFmtId="172" fontId="97" fillId="2" borderId="77" xfId="0" applyNumberFormat="1" applyFont="1" applyFill="1" applyBorder="1" applyAlignment="1">
      <alignment horizontal="center"/>
    </xf>
    <xf numFmtId="44" fontId="97" fillId="2" borderId="78" xfId="2" applyFont="1" applyFill="1" applyBorder="1" applyAlignment="1">
      <alignment horizontal="center"/>
    </xf>
    <xf numFmtId="165" fontId="0" fillId="2" borderId="79" xfId="2" applyNumberFormat="1" applyFont="1" applyFill="1" applyBorder="1"/>
    <xf numFmtId="164" fontId="12" fillId="2" borderId="79" xfId="1" applyNumberFormat="1" applyFont="1" applyFill="1" applyBorder="1"/>
    <xf numFmtId="164" fontId="0" fillId="2" borderId="79" xfId="1" applyNumberFormat="1" applyFont="1" applyFill="1" applyBorder="1"/>
    <xf numFmtId="164" fontId="1" fillId="2" borderId="79" xfId="1" applyNumberFormat="1" applyFill="1" applyBorder="1"/>
    <xf numFmtId="164" fontId="2" fillId="2" borderId="79" xfId="1" applyNumberFormat="1" applyFont="1" applyFill="1" applyBorder="1"/>
    <xf numFmtId="0" fontId="3" fillId="2" borderId="79" xfId="0" applyFont="1" applyFill="1" applyBorder="1" applyAlignment="1">
      <alignment horizontal="center"/>
    </xf>
    <xf numFmtId="164" fontId="2" fillId="2" borderId="78" xfId="1" applyNumberFormat="1" applyFont="1" applyFill="1" applyBorder="1"/>
    <xf numFmtId="164" fontId="13" fillId="2" borderId="78" xfId="1" applyNumberFormat="1" applyFont="1" applyFill="1" applyBorder="1"/>
    <xf numFmtId="0" fontId="0" fillId="2" borderId="79" xfId="0" applyFill="1" applyBorder="1"/>
    <xf numFmtId="10" fontId="0" fillId="2" borderId="79" xfId="0" applyNumberFormat="1" applyFill="1" applyBorder="1"/>
    <xf numFmtId="0" fontId="3" fillId="2" borderId="0" xfId="0" applyFont="1" applyFill="1"/>
    <xf numFmtId="0" fontId="3" fillId="2" borderId="0" xfId="0" applyFont="1" applyFill="1" applyAlignment="1">
      <alignment horizontal="center"/>
    </xf>
    <xf numFmtId="0" fontId="30" fillId="2" borderId="0" xfId="0" applyFont="1" applyFill="1" applyAlignment="1">
      <alignment horizontal="center"/>
    </xf>
    <xf numFmtId="175" fontId="31" fillId="2" borderId="0" xfId="0" applyNumberFormat="1" applyFont="1" applyFill="1"/>
    <xf numFmtId="175" fontId="30" fillId="2" borderId="0" xfId="0" applyNumberFormat="1" applyFont="1" applyFill="1"/>
    <xf numFmtId="179" fontId="30" fillId="2" borderId="0" xfId="0" applyNumberFormat="1" applyFont="1" applyFill="1"/>
    <xf numFmtId="168" fontId="30" fillId="2" borderId="0" xfId="0" applyNumberFormat="1" applyFont="1" applyFill="1"/>
    <xf numFmtId="0" fontId="112" fillId="2" borderId="0" xfId="0" applyFont="1" applyFill="1" applyAlignment="1">
      <alignment horizontal="center"/>
    </xf>
    <xf numFmtId="43" fontId="0" fillId="2" borderId="0" xfId="1" applyFont="1" applyFill="1" applyAlignment="1">
      <alignment horizontal="center"/>
    </xf>
    <xf numFmtId="43" fontId="0" fillId="2" borderId="0" xfId="0" applyNumberFormat="1" applyFill="1"/>
    <xf numFmtId="0" fontId="106" fillId="2" borderId="0" xfId="0" applyFont="1" applyFill="1" applyAlignment="1">
      <alignment horizontal="right"/>
    </xf>
    <xf numFmtId="164" fontId="108" fillId="2" borderId="0" xfId="1" applyNumberFormat="1" applyFont="1" applyFill="1" applyAlignment="1">
      <alignment horizontal="right"/>
    </xf>
    <xf numFmtId="174" fontId="3" fillId="2" borderId="0" xfId="1" applyNumberFormat="1" applyFont="1" applyFill="1"/>
    <xf numFmtId="43" fontId="108" fillId="2" borderId="0" xfId="0" applyNumberFormat="1" applyFont="1" applyFill="1" applyAlignment="1">
      <alignment horizontal="right"/>
    </xf>
    <xf numFmtId="168" fontId="108" fillId="2" borderId="0" xfId="0" applyNumberFormat="1" applyFont="1" applyFill="1" applyAlignment="1">
      <alignment horizontal="right"/>
    </xf>
    <xf numFmtId="9" fontId="97" fillId="2" borderId="0" xfId="0" applyNumberFormat="1" applyFont="1" applyFill="1" applyAlignment="1">
      <alignment horizontal="center"/>
    </xf>
    <xf numFmtId="168" fontId="2" fillId="2" borderId="3" xfId="3" applyNumberFormat="1" applyFont="1" applyFill="1" applyBorder="1" applyAlignment="1">
      <alignment horizontal="centerContinuous"/>
    </xf>
    <xf numFmtId="9" fontId="11" fillId="2" borderId="2" xfId="0" applyNumberFormat="1" applyFont="1" applyFill="1" applyBorder="1" applyAlignment="1">
      <alignment horizontal="centerContinuous"/>
    </xf>
    <xf numFmtId="9" fontId="2" fillId="2" borderId="2" xfId="0" applyNumberFormat="1" applyFont="1" applyFill="1" applyBorder="1" applyAlignment="1">
      <alignment horizontal="centerContinuous"/>
    </xf>
    <xf numFmtId="9" fontId="2" fillId="2" borderId="11" xfId="0" applyNumberFormat="1" applyFont="1" applyFill="1" applyBorder="1" applyAlignment="1">
      <alignment horizontal="centerContinuous"/>
    </xf>
    <xf numFmtId="181" fontId="3" fillId="2" borderId="53" xfId="2" applyNumberFormat="1" applyFont="1" applyFill="1" applyBorder="1"/>
    <xf numFmtId="0" fontId="3" fillId="2" borderId="0" xfId="0" applyFont="1" applyFill="1" applyAlignment="1">
      <alignment horizontal="right"/>
    </xf>
    <xf numFmtId="2" fontId="3" fillId="2" borderId="64" xfId="0" applyNumberFormat="1" applyFont="1" applyFill="1" applyBorder="1"/>
    <xf numFmtId="2" fontId="0" fillId="2" borderId="64" xfId="0" applyNumberFormat="1" applyFill="1" applyBorder="1"/>
    <xf numFmtId="168" fontId="3" fillId="2" borderId="17" xfId="0" applyNumberFormat="1" applyFont="1" applyFill="1" applyBorder="1"/>
    <xf numFmtId="168" fontId="0" fillId="2" borderId="17" xfId="0" applyNumberFormat="1" applyFill="1" applyBorder="1"/>
    <xf numFmtId="164" fontId="3" fillId="2" borderId="0" xfId="1" applyNumberFormat="1" applyFont="1" applyFill="1"/>
    <xf numFmtId="164" fontId="2" fillId="2" borderId="2" xfId="1" applyNumberFormat="1" applyFont="1" applyFill="1" applyBorder="1" applyAlignment="1">
      <alignment horizontal="centerContinuous"/>
    </xf>
    <xf numFmtId="164" fontId="2" fillId="2" borderId="11" xfId="1" applyNumberFormat="1" applyFont="1" applyFill="1" applyBorder="1" applyAlignment="1">
      <alignment horizontal="centerContinuous"/>
    </xf>
    <xf numFmtId="43" fontId="0" fillId="2" borderId="64" xfId="0" applyNumberFormat="1" applyFill="1" applyBorder="1"/>
    <xf numFmtId="43" fontId="3" fillId="2" borderId="64" xfId="0" applyNumberFormat="1" applyFont="1" applyFill="1" applyBorder="1"/>
    <xf numFmtId="168" fontId="0" fillId="2" borderId="0" xfId="0" applyNumberFormat="1" applyFill="1"/>
    <xf numFmtId="0" fontId="11" fillId="2" borderId="2" xfId="0" applyFont="1" applyFill="1" applyBorder="1" applyAlignment="1">
      <alignment horizontal="centerContinuous"/>
    </xf>
    <xf numFmtId="0" fontId="11" fillId="2" borderId="11" xfId="0" applyFont="1" applyFill="1" applyBorder="1" applyAlignment="1">
      <alignment horizontal="centerContinuous"/>
    </xf>
    <xf numFmtId="10" fontId="0" fillId="2" borderId="2" xfId="0" applyNumberFormat="1" applyFill="1" applyBorder="1"/>
    <xf numFmtId="10" fontId="0" fillId="2" borderId="0" xfId="0" applyNumberFormat="1" applyFill="1"/>
    <xf numFmtId="169" fontId="0" fillId="2" borderId="0" xfId="0" applyNumberFormat="1" applyFill="1"/>
    <xf numFmtId="169" fontId="3" fillId="2" borderId="0" xfId="0" applyNumberFormat="1" applyFont="1" applyFill="1"/>
    <xf numFmtId="0" fontId="0" fillId="16" borderId="0" xfId="0" applyFill="1"/>
    <xf numFmtId="0" fontId="19" fillId="16" borderId="0" xfId="0" applyFont="1" applyFill="1"/>
    <xf numFmtId="164" fontId="19" fillId="16" borderId="0" xfId="1" applyNumberFormat="1" applyFont="1" applyFill="1"/>
    <xf numFmtId="3" fontId="0" fillId="2" borderId="0" xfId="0" applyNumberFormat="1" applyFill="1"/>
    <xf numFmtId="0" fontId="5" fillId="2" borderId="0" xfId="8" applyFill="1"/>
    <xf numFmtId="172" fontId="33" fillId="2" borderId="0" xfId="8" applyNumberFormat="1" applyFont="1" applyFill="1" applyAlignment="1">
      <alignment horizontal="center"/>
    </xf>
    <xf numFmtId="0" fontId="5" fillId="2" borderId="0" xfId="8" applyFill="1" applyAlignment="1">
      <alignment horizontal="center"/>
    </xf>
    <xf numFmtId="164" fontId="0" fillId="2" borderId="0" xfId="6" applyNumberFormat="1" applyFont="1" applyFill="1"/>
    <xf numFmtId="164" fontId="19" fillId="2" borderId="12" xfId="6" applyNumberFormat="1" applyFont="1" applyFill="1" applyBorder="1"/>
    <xf numFmtId="164" fontId="0" fillId="2" borderId="2" xfId="6" applyNumberFormat="1" applyFont="1" applyFill="1" applyBorder="1"/>
    <xf numFmtId="164" fontId="19" fillId="2" borderId="11" xfId="6" applyNumberFormat="1" applyFont="1" applyFill="1" applyBorder="1"/>
    <xf numFmtId="164" fontId="5" fillId="2" borderId="0" xfId="8" applyNumberFormat="1" applyFill="1"/>
    <xf numFmtId="164" fontId="34" fillId="2" borderId="0" xfId="6" applyNumberFormat="1" applyFont="1" applyFill="1"/>
    <xf numFmtId="164" fontId="0" fillId="2" borderId="5" xfId="6" applyNumberFormat="1" applyFont="1" applyFill="1" applyBorder="1"/>
    <xf numFmtId="164" fontId="5" fillId="2" borderId="5" xfId="8" applyNumberFormat="1" applyFill="1" applyBorder="1"/>
    <xf numFmtId="0" fontId="71" fillId="2" borderId="19" xfId="13" applyFont="1" applyFill="1" applyBorder="1" applyAlignment="1">
      <alignment vertical="center"/>
    </xf>
    <xf numFmtId="172" fontId="70" fillId="2" borderId="19" xfId="13" applyNumberFormat="1" applyFont="1" applyFill="1" applyBorder="1" applyAlignment="1">
      <alignment horizontal="center" vertical="center"/>
    </xf>
    <xf numFmtId="0" fontId="38" fillId="2" borderId="15" xfId="13" applyFont="1" applyFill="1" applyBorder="1" applyAlignment="1">
      <alignment horizontal="center" vertical="center"/>
    </xf>
    <xf numFmtId="0" fontId="19" fillId="2" borderId="0" xfId="0" applyFont="1" applyFill="1"/>
    <xf numFmtId="164" fontId="3" fillId="2" borderId="2" xfId="1" applyNumberFormat="1" applyFont="1" applyFill="1" applyBorder="1"/>
    <xf numFmtId="164" fontId="0" fillId="2" borderId="0" xfId="1" applyNumberFormat="1" applyFont="1" applyFill="1"/>
    <xf numFmtId="164" fontId="3" fillId="2" borderId="5" xfId="1" applyNumberFormat="1" applyFont="1" applyFill="1" applyBorder="1"/>
    <xf numFmtId="9" fontId="3" fillId="2" borderId="0" xfId="0" applyNumberFormat="1" applyFont="1" applyFill="1"/>
    <xf numFmtId="0" fontId="3" fillId="2" borderId="2" xfId="0" applyFont="1" applyFill="1" applyBorder="1"/>
    <xf numFmtId="10" fontId="3" fillId="2" borderId="0" xfId="0" applyNumberFormat="1" applyFont="1" applyFill="1"/>
    <xf numFmtId="10" fontId="0" fillId="2" borderId="5" xfId="0" applyNumberFormat="1" applyFill="1" applyBorder="1"/>
    <xf numFmtId="10" fontId="59" fillId="2" borderId="0" xfId="0" applyNumberFormat="1" applyFont="1" applyFill="1"/>
    <xf numFmtId="10" fontId="3" fillId="2" borderId="5" xfId="0" applyNumberFormat="1" applyFont="1" applyFill="1" applyBorder="1"/>
    <xf numFmtId="9" fontId="0" fillId="2" borderId="0" xfId="0" applyNumberFormat="1" applyFill="1"/>
    <xf numFmtId="0" fontId="0" fillId="2" borderId="0" xfId="0" applyFill="1" applyAlignment="1">
      <alignment horizontal="center"/>
    </xf>
    <xf numFmtId="0" fontId="0" fillId="2" borderId="5" xfId="0" applyFill="1" applyBorder="1"/>
    <xf numFmtId="10" fontId="0" fillId="2" borderId="15" xfId="0" applyNumberFormat="1" applyFill="1" applyBorder="1"/>
    <xf numFmtId="10" fontId="5" fillId="2" borderId="5" xfId="8" applyNumberFormat="1" applyFill="1" applyBorder="1"/>
    <xf numFmtId="0" fontId="33" fillId="2" borderId="0" xfId="8" applyFont="1" applyFill="1" applyAlignment="1">
      <alignment horizontal="center"/>
    </xf>
    <xf numFmtId="175" fontId="5" fillId="2" borderId="0" xfId="8" applyNumberFormat="1" applyFill="1"/>
    <xf numFmtId="175" fontId="86" fillId="2" borderId="0" xfId="8" applyNumberFormat="1" applyFont="1" applyFill="1"/>
    <xf numFmtId="10" fontId="5" fillId="2" borderId="0" xfId="8" applyNumberFormat="1" applyFill="1"/>
    <xf numFmtId="172" fontId="57" fillId="2" borderId="23" xfId="13" applyNumberFormat="1" applyFont="1" applyFill="1" applyBorder="1" applyAlignment="1">
      <alignment horizontal="center" vertical="center"/>
    </xf>
    <xf numFmtId="44" fontId="38" fillId="2" borderId="23" xfId="13" applyNumberFormat="1" applyFont="1" applyFill="1" applyBorder="1" applyAlignment="1">
      <alignment horizontal="center" vertical="center"/>
    </xf>
    <xf numFmtId="0" fontId="38" fillId="2" borderId="23" xfId="13" applyFont="1" applyFill="1" applyBorder="1" applyAlignment="1">
      <alignment vertical="center"/>
    </xf>
    <xf numFmtId="164" fontId="38" fillId="2" borderId="29" xfId="1" applyNumberFormat="1" applyFont="1" applyFill="1" applyBorder="1" applyAlignment="1">
      <alignment vertical="center"/>
    </xf>
    <xf numFmtId="167" fontId="38" fillId="2" borderId="23" xfId="13" applyNumberFormat="1" applyFont="1" applyFill="1" applyBorder="1" applyAlignment="1">
      <alignment vertical="center"/>
    </xf>
    <xf numFmtId="167" fontId="68" fillId="2" borderId="23" xfId="13" applyNumberFormat="1" applyFont="1" applyFill="1" applyBorder="1" applyAlignment="1">
      <alignment vertical="center"/>
    </xf>
    <xf numFmtId="164" fontId="38" fillId="2" borderId="0" xfId="1" applyNumberFormat="1" applyFont="1" applyFill="1" applyAlignment="1">
      <alignment vertical="center"/>
    </xf>
    <xf numFmtId="164" fontId="98" fillId="2" borderId="23" xfId="1" applyNumberFormat="1" applyFont="1" applyFill="1" applyBorder="1" applyAlignment="1">
      <alignment vertical="center"/>
    </xf>
    <xf numFmtId="164" fontId="57" fillId="2" borderId="29" xfId="1" applyNumberFormat="1" applyFont="1" applyFill="1" applyBorder="1" applyAlignment="1">
      <alignment vertical="center"/>
    </xf>
    <xf numFmtId="167" fontId="69" fillId="2" borderId="23" xfId="13" applyNumberFormat="1" applyFont="1" applyFill="1" applyBorder="1" applyAlignment="1">
      <alignment vertical="center"/>
    </xf>
    <xf numFmtId="164" fontId="57" fillId="2" borderId="2" xfId="1" applyNumberFormat="1" applyFont="1" applyFill="1" applyBorder="1" applyAlignment="1">
      <alignment vertical="center"/>
    </xf>
    <xf numFmtId="164" fontId="57" fillId="2" borderId="37" xfId="1" applyNumberFormat="1" applyFont="1" applyFill="1" applyBorder="1" applyAlignment="1">
      <alignment vertical="center"/>
    </xf>
    <xf numFmtId="164" fontId="57" fillId="2" borderId="23" xfId="1" applyNumberFormat="1" applyFont="1" applyFill="1" applyBorder="1" applyAlignment="1">
      <alignment vertical="center"/>
    </xf>
    <xf numFmtId="164" fontId="57" fillId="2" borderId="32" xfId="1" applyNumberFormat="1" applyFont="1" applyFill="1" applyBorder="1" applyAlignment="1">
      <alignment vertical="center"/>
    </xf>
    <xf numFmtId="164" fontId="95" fillId="2" borderId="23" xfId="1" applyNumberFormat="1" applyFont="1" applyFill="1" applyBorder="1" applyAlignment="1">
      <alignment vertical="center"/>
    </xf>
    <xf numFmtId="0" fontId="71" fillId="2" borderId="23" xfId="13" applyFont="1" applyFill="1" applyBorder="1" applyAlignment="1">
      <alignment vertical="center"/>
    </xf>
    <xf numFmtId="0" fontId="65" fillId="2" borderId="23" xfId="0" applyFont="1" applyFill="1" applyBorder="1"/>
    <xf numFmtId="164" fontId="65" fillId="2" borderId="23" xfId="1" applyNumberFormat="1" applyFont="1" applyFill="1" applyBorder="1"/>
    <xf numFmtId="164" fontId="53" fillId="2" borderId="29" xfId="1" applyNumberFormat="1" applyFont="1" applyFill="1" applyBorder="1"/>
    <xf numFmtId="164" fontId="53" fillId="2" borderId="32" xfId="1" applyNumberFormat="1" applyFont="1" applyFill="1" applyBorder="1"/>
    <xf numFmtId="164" fontId="71" fillId="2" borderId="23" xfId="1" applyNumberFormat="1" applyFont="1" applyFill="1" applyBorder="1" applyAlignment="1">
      <alignment vertical="center"/>
    </xf>
    <xf numFmtId="164" fontId="65" fillId="2" borderId="0" xfId="1" applyNumberFormat="1" applyFont="1" applyFill="1"/>
    <xf numFmtId="164" fontId="65" fillId="2" borderId="29" xfId="1" applyNumberFormat="1" applyFont="1" applyFill="1" applyBorder="1"/>
    <xf numFmtId="164" fontId="65" fillId="2" borderId="31" xfId="1" applyNumberFormat="1" applyFont="1" applyFill="1" applyBorder="1"/>
    <xf numFmtId="164" fontId="0" fillId="2" borderId="23" xfId="1" applyNumberFormat="1" applyFont="1" applyFill="1" applyBorder="1"/>
    <xf numFmtId="164" fontId="53" fillId="2" borderId="39" xfId="1" applyNumberFormat="1" applyFont="1" applyFill="1" applyBorder="1"/>
    <xf numFmtId="164" fontId="32" fillId="2" borderId="23" xfId="1" applyNumberFormat="1" applyFont="1" applyFill="1" applyBorder="1"/>
    <xf numFmtId="164" fontId="14" fillId="2" borderId="23" xfId="1" applyNumberFormat="1" applyFont="1" applyFill="1" applyBorder="1"/>
    <xf numFmtId="0" fontId="14" fillId="2" borderId="0" xfId="0" applyFont="1" applyFill="1"/>
    <xf numFmtId="172" fontId="13" fillId="2" borderId="23" xfId="0" applyNumberFormat="1" applyFont="1" applyFill="1" applyBorder="1" applyAlignment="1">
      <alignment horizontal="center"/>
    </xf>
    <xf numFmtId="44" fontId="1" fillId="2" borderId="23" xfId="2" applyFill="1" applyBorder="1" applyAlignment="1">
      <alignment horizontal="center"/>
    </xf>
    <xf numFmtId="164" fontId="13" fillId="2" borderId="23" xfId="1" applyNumberFormat="1" applyFont="1" applyFill="1" applyBorder="1"/>
    <xf numFmtId="164" fontId="12" fillId="2" borderId="24" xfId="1" applyNumberFormat="1" applyFont="1" applyFill="1" applyBorder="1"/>
    <xf numFmtId="164" fontId="2" fillId="2" borderId="23" xfId="1" applyNumberFormat="1" applyFont="1" applyFill="1" applyBorder="1"/>
    <xf numFmtId="168" fontId="59" fillId="2" borderId="23" xfId="0" applyNumberFormat="1" applyFont="1" applyFill="1" applyBorder="1"/>
    <xf numFmtId="164" fontId="2" fillId="2" borderId="24" xfId="1" applyNumberFormat="1" applyFont="1" applyFill="1" applyBorder="1"/>
    <xf numFmtId="0" fontId="0" fillId="2" borderId="23" xfId="0" applyFill="1" applyBorder="1"/>
    <xf numFmtId="168" fontId="59" fillId="2" borderId="24" xfId="1" applyNumberFormat="1" applyFont="1" applyFill="1" applyBorder="1"/>
    <xf numFmtId="3" fontId="21" fillId="2" borderId="0" xfId="0" applyNumberFormat="1" applyFont="1" applyFill="1"/>
    <xf numFmtId="165" fontId="13" fillId="2" borderId="5" xfId="2" applyNumberFormat="1" applyFont="1" applyFill="1" applyBorder="1"/>
    <xf numFmtId="165" fontId="13" fillId="2" borderId="0" xfId="2" applyNumberFormat="1" applyFont="1" applyFill="1"/>
    <xf numFmtId="164" fontId="0" fillId="2" borderId="5" xfId="1" applyNumberFormat="1" applyFont="1" applyFill="1" applyBorder="1"/>
    <xf numFmtId="1" fontId="0" fillId="2" borderId="0" xfId="1" applyNumberFormat="1" applyFont="1" applyFill="1"/>
    <xf numFmtId="0" fontId="0" fillId="2" borderId="0" xfId="0" applyFill="1" applyAlignment="1">
      <alignment horizontal="right"/>
    </xf>
    <xf numFmtId="164" fontId="0" fillId="2" borderId="0" xfId="0" applyNumberFormat="1" applyFill="1"/>
    <xf numFmtId="164" fontId="2" fillId="2" borderId="0" xfId="1" applyNumberFormat="1" applyFont="1" applyFill="1"/>
    <xf numFmtId="172" fontId="70" fillId="2" borderId="23" xfId="13" applyNumberFormat="1" applyFont="1" applyFill="1" applyBorder="1" applyAlignment="1">
      <alignment horizontal="center" vertical="center"/>
    </xf>
    <xf numFmtId="0" fontId="38" fillId="2" borderId="23" xfId="13" applyFont="1" applyFill="1" applyBorder="1" applyAlignment="1">
      <alignment horizontal="center" vertical="center"/>
    </xf>
    <xf numFmtId="3" fontId="0" fillId="2" borderId="23" xfId="0" applyNumberFormat="1" applyFill="1" applyBorder="1"/>
    <xf numFmtId="3" fontId="97" fillId="2" borderId="23" xfId="0" applyNumberFormat="1" applyFont="1" applyFill="1" applyBorder="1"/>
    <xf numFmtId="3" fontId="13" fillId="2" borderId="29" xfId="0" applyNumberFormat="1" applyFont="1" applyFill="1" applyBorder="1"/>
    <xf numFmtId="3" fontId="19" fillId="2" borderId="23" xfId="0" applyNumberFormat="1" applyFont="1" applyFill="1" applyBorder="1"/>
    <xf numFmtId="3" fontId="12" fillId="2" borderId="23" xfId="0" applyNumberFormat="1" applyFont="1" applyFill="1" applyBorder="1"/>
    <xf numFmtId="3" fontId="101" fillId="2" borderId="23" xfId="0" applyNumberFormat="1" applyFont="1" applyFill="1" applyBorder="1"/>
    <xf numFmtId="164" fontId="13" fillId="2" borderId="29" xfId="1" applyNumberFormat="1" applyFont="1" applyFill="1" applyBorder="1"/>
    <xf numFmtId="164" fontId="13" fillId="2" borderId="37" xfId="1" applyNumberFormat="1" applyFont="1" applyFill="1" applyBorder="1"/>
    <xf numFmtId="3" fontId="21" fillId="2" borderId="23" xfId="0" applyNumberFormat="1" applyFont="1" applyFill="1" applyBorder="1"/>
    <xf numFmtId="3" fontId="46" fillId="2" borderId="23" xfId="0" applyNumberFormat="1" applyFont="1" applyFill="1" applyBorder="1"/>
    <xf numFmtId="0" fontId="21" fillId="7" borderId="0" xfId="0" applyFont="1" applyFill="1"/>
    <xf numFmtId="9" fontId="21" fillId="7" borderId="0" xfId="0" applyNumberFormat="1" applyFont="1" applyFill="1"/>
    <xf numFmtId="0" fontId="0" fillId="7" borderId="0" xfId="0" applyFill="1"/>
    <xf numFmtId="0" fontId="21" fillId="7" borderId="0" xfId="0" applyFont="1" applyFill="1" applyAlignment="1">
      <alignment horizontal="right"/>
    </xf>
    <xf numFmtId="0" fontId="12" fillId="7" borderId="0" xfId="0" applyFont="1" applyFill="1"/>
    <xf numFmtId="2" fontId="0" fillId="7" borderId="0" xfId="0" applyNumberFormat="1" applyFill="1"/>
    <xf numFmtId="164" fontId="97" fillId="7" borderId="0" xfId="1" applyNumberFormat="1" applyFont="1" applyFill="1"/>
    <xf numFmtId="0" fontId="56" fillId="7" borderId="0" xfId="0" applyFont="1" applyFill="1"/>
    <xf numFmtId="173" fontId="0" fillId="7" borderId="0" xfId="15" applyNumberFormat="1" applyFont="1" applyFill="1"/>
    <xf numFmtId="182" fontId="0" fillId="7" borderId="0" xfId="0" applyNumberFormat="1" applyFill="1"/>
    <xf numFmtId="168" fontId="0" fillId="7" borderId="0" xfId="0" applyNumberFormat="1" applyFill="1"/>
    <xf numFmtId="4" fontId="56" fillId="7" borderId="0" xfId="0" applyNumberFormat="1" applyFont="1" applyFill="1"/>
    <xf numFmtId="173" fontId="0" fillId="2" borderId="0" xfId="15" applyNumberFormat="1" applyFont="1" applyFill="1"/>
    <xf numFmtId="173" fontId="0" fillId="2" borderId="2" xfId="15" applyNumberFormat="1" applyFont="1" applyFill="1" applyBorder="1"/>
    <xf numFmtId="173" fontId="0" fillId="2" borderId="5" xfId="15" applyNumberFormat="1" applyFont="1" applyFill="1" applyBorder="1"/>
    <xf numFmtId="173" fontId="56" fillId="2" borderId="0" xfId="15" applyNumberFormat="1" applyFont="1" applyFill="1"/>
    <xf numFmtId="173" fontId="66" fillId="2" borderId="0" xfId="15" applyNumberFormat="1" applyFont="1" applyFill="1"/>
    <xf numFmtId="9" fontId="0" fillId="2" borderId="0" xfId="17" applyNumberFormat="1" applyFont="1" applyFill="1"/>
    <xf numFmtId="173" fontId="55" fillId="22" borderId="19" xfId="15" applyNumberFormat="1" applyFont="1" applyFill="1" applyBorder="1"/>
    <xf numFmtId="173" fontId="56" fillId="2" borderId="5" xfId="15" applyNumberFormat="1" applyFont="1" applyFill="1" applyBorder="1"/>
    <xf numFmtId="173" fontId="0" fillId="2" borderId="16" xfId="15" applyNumberFormat="1" applyFont="1" applyFill="1" applyBorder="1"/>
    <xf numFmtId="9" fontId="55" fillId="22" borderId="0" xfId="17" applyNumberFormat="1" applyFont="1" applyFill="1"/>
    <xf numFmtId="4" fontId="55" fillId="2" borderId="0" xfId="17" applyNumberFormat="1" applyFont="1" applyFill="1"/>
    <xf numFmtId="4" fontId="57" fillId="2" borderId="2" xfId="17" applyNumberFormat="1" applyFont="1" applyFill="1" applyBorder="1"/>
    <xf numFmtId="173" fontId="76" fillId="22" borderId="0" xfId="15" applyNumberFormat="1" applyFont="1" applyFill="1"/>
    <xf numFmtId="9" fontId="0" fillId="2" borderId="5" xfId="17" applyNumberFormat="1" applyFont="1" applyFill="1" applyBorder="1"/>
    <xf numFmtId="0" fontId="56" fillId="2" borderId="36" xfId="0" applyFont="1" applyFill="1" applyBorder="1"/>
    <xf numFmtId="172" fontId="65" fillId="2" borderId="0" xfId="0" applyNumberFormat="1" applyFont="1" applyFill="1" applyAlignment="1">
      <alignment horizontal="center"/>
    </xf>
    <xf numFmtId="167" fontId="65" fillId="2" borderId="0" xfId="0" applyNumberFormat="1" applyFont="1" applyFill="1" applyAlignment="1">
      <alignment horizontal="center"/>
    </xf>
    <xf numFmtId="167" fontId="12" fillId="2" borderId="0" xfId="2" applyNumberFormat="1" applyFont="1" applyFill="1"/>
    <xf numFmtId="164" fontId="60" fillId="2" borderId="0" xfId="1" applyNumberFormat="1" applyFont="1" applyFill="1"/>
    <xf numFmtId="164" fontId="1" fillId="2" borderId="0" xfId="1" applyNumberFormat="1" applyFill="1"/>
    <xf numFmtId="164" fontId="12" fillId="2" borderId="2" xfId="1" applyNumberFormat="1" applyFont="1" applyFill="1" applyBorder="1"/>
    <xf numFmtId="174" fontId="19" fillId="2" borderId="0" xfId="1" applyNumberFormat="1" applyFont="1" applyFill="1"/>
    <xf numFmtId="164" fontId="32" fillId="2" borderId="0" xfId="1" applyNumberFormat="1" applyFont="1" applyFill="1"/>
    <xf numFmtId="164" fontId="65" fillId="2" borderId="2" xfId="0" applyNumberFormat="1" applyFont="1" applyFill="1" applyBorder="1"/>
    <xf numFmtId="168" fontId="75" fillId="2" borderId="0" xfId="3" applyNumberFormat="1" applyFont="1" applyFill="1" applyAlignment="1">
      <alignment horizontal="center" vertical="center"/>
    </xf>
    <xf numFmtId="172" fontId="32" fillId="2" borderId="0" xfId="13" applyNumberFormat="1" applyFont="1" applyFill="1" applyAlignment="1">
      <alignment horizontal="center" vertical="center"/>
    </xf>
    <xf numFmtId="0" fontId="32" fillId="2" borderId="15" xfId="13" applyFont="1" applyFill="1" applyBorder="1" applyAlignment="1">
      <alignment horizontal="center" vertical="center"/>
    </xf>
    <xf numFmtId="164" fontId="38" fillId="2" borderId="2" xfId="1" applyNumberFormat="1" applyFont="1" applyFill="1" applyBorder="1" applyAlignment="1">
      <alignment vertical="center"/>
    </xf>
    <xf numFmtId="164" fontId="57" fillId="2" borderId="31" xfId="1" applyNumberFormat="1" applyFont="1" applyFill="1" applyBorder="1" applyAlignment="1">
      <alignment vertical="center"/>
    </xf>
    <xf numFmtId="164" fontId="32" fillId="2" borderId="0" xfId="1" applyNumberFormat="1" applyFont="1" applyFill="1" applyAlignment="1">
      <alignment vertical="center"/>
    </xf>
    <xf numFmtId="183" fontId="26" fillId="2" borderId="0" xfId="1" applyNumberFormat="1" applyFont="1" applyFill="1"/>
    <xf numFmtId="164" fontId="38" fillId="2" borderId="0" xfId="1" applyNumberFormat="1" applyFont="1" applyFill="1"/>
    <xf numFmtId="164" fontId="38" fillId="2" borderId="15" xfId="1" applyNumberFormat="1" applyFont="1" applyFill="1" applyBorder="1" applyAlignment="1">
      <alignment vertical="center"/>
    </xf>
    <xf numFmtId="164" fontId="57" fillId="2" borderId="0" xfId="1" applyNumberFormat="1" applyFont="1" applyFill="1" applyAlignment="1">
      <alignment vertical="center"/>
    </xf>
    <xf numFmtId="183" fontId="65" fillId="2" borderId="0" xfId="1" applyNumberFormat="1" applyFont="1" applyFill="1"/>
    <xf numFmtId="164" fontId="57" fillId="2" borderId="31" xfId="1" applyNumberFormat="1" applyFont="1" applyFill="1" applyBorder="1" applyAlignment="1">
      <alignment horizontal="right" vertical="center"/>
    </xf>
    <xf numFmtId="10" fontId="66" fillId="2" borderId="0" xfId="1" applyNumberFormat="1" applyFont="1" applyFill="1"/>
    <xf numFmtId="9" fontId="66" fillId="2" borderId="0" xfId="3" applyFont="1" applyFill="1"/>
    <xf numFmtId="164" fontId="76" fillId="2" borderId="2" xfId="1" applyNumberFormat="1" applyFont="1" applyFill="1" applyBorder="1"/>
    <xf numFmtId="164" fontId="22" fillId="2" borderId="0" xfId="1" applyNumberFormat="1" applyFont="1" applyFill="1"/>
    <xf numFmtId="164" fontId="66" fillId="2" borderId="5" xfId="3" applyNumberFormat="1" applyFont="1" applyFill="1" applyBorder="1"/>
    <xf numFmtId="9" fontId="65" fillId="2" borderId="0" xfId="3" applyFont="1" applyFill="1"/>
    <xf numFmtId="164" fontId="65" fillId="2" borderId="2" xfId="1" applyNumberFormat="1" applyFont="1" applyFill="1" applyBorder="1"/>
    <xf numFmtId="164" fontId="65" fillId="2" borderId="0" xfId="0" applyNumberFormat="1" applyFont="1" applyFill="1"/>
    <xf numFmtId="168" fontId="65" fillId="2" borderId="0" xfId="0" applyNumberFormat="1" applyFont="1" applyFill="1"/>
    <xf numFmtId="0" fontId="65" fillId="2" borderId="0" xfId="0" applyFont="1" applyFill="1"/>
    <xf numFmtId="3" fontId="12" fillId="2" borderId="17" xfId="0" applyNumberFormat="1" applyFont="1" applyFill="1" applyBorder="1"/>
    <xf numFmtId="3" fontId="3" fillId="2" borderId="17" xfId="0" applyNumberFormat="1" applyFont="1" applyFill="1" applyBorder="1"/>
    <xf numFmtId="9" fontId="32" fillId="2" borderId="0" xfId="0" applyNumberFormat="1" applyFont="1" applyFill="1"/>
    <xf numFmtId="172" fontId="38" fillId="2" borderId="0" xfId="13" applyNumberFormat="1" applyFont="1" applyFill="1" applyAlignment="1">
      <alignment horizontal="center" vertical="center"/>
    </xf>
    <xf numFmtId="0" fontId="38" fillId="2" borderId="0" xfId="13" applyFont="1" applyFill="1" applyAlignment="1">
      <alignment horizontal="center" vertical="center"/>
    </xf>
    <xf numFmtId="164" fontId="12" fillId="2" borderId="17" xfId="1" applyNumberFormat="1" applyFont="1" applyFill="1" applyBorder="1"/>
    <xf numFmtId="0" fontId="23" fillId="2" borderId="17" xfId="0" applyFont="1" applyFill="1" applyBorder="1"/>
    <xf numFmtId="0" fontId="0" fillId="2" borderId="17" xfId="0" applyFill="1" applyBorder="1"/>
    <xf numFmtId="1" fontId="0" fillId="2" borderId="17" xfId="0" applyNumberFormat="1" applyFill="1" applyBorder="1"/>
    <xf numFmtId="4" fontId="12" fillId="2" borderId="17" xfId="0" applyNumberFormat="1" applyFont="1" applyFill="1" applyBorder="1"/>
    <xf numFmtId="164" fontId="65" fillId="2" borderId="17" xfId="1" applyNumberFormat="1" applyFont="1" applyFill="1" applyBorder="1"/>
    <xf numFmtId="0" fontId="65" fillId="2" borderId="17" xfId="0" applyFont="1" applyFill="1" applyBorder="1"/>
    <xf numFmtId="3" fontId="53" fillId="2" borderId="17" xfId="0" applyNumberFormat="1" applyFont="1" applyFill="1" applyBorder="1"/>
    <xf numFmtId="3" fontId="65" fillId="2" borderId="0" xfId="0" applyNumberFormat="1" applyFont="1" applyFill="1"/>
    <xf numFmtId="3" fontId="65" fillId="2" borderId="2" xfId="0" applyNumberFormat="1" applyFont="1" applyFill="1" applyBorder="1"/>
    <xf numFmtId="3" fontId="12" fillId="2" borderId="10" xfId="0" applyNumberFormat="1" applyFont="1" applyFill="1" applyBorder="1"/>
    <xf numFmtId="164" fontId="38" fillId="2" borderId="0" xfId="0" applyNumberFormat="1" applyFont="1" applyFill="1"/>
    <xf numFmtId="0" fontId="65" fillId="2" borderId="0" xfId="0" applyFont="1" applyFill="1" applyAlignment="1">
      <alignment horizontal="center"/>
    </xf>
    <xf numFmtId="0" fontId="38" fillId="2" borderId="23" xfId="13" applyFont="1" applyFill="1" applyBorder="1" applyAlignment="1">
      <alignment horizontal="left" indent="1"/>
    </xf>
    <xf numFmtId="164" fontId="38" fillId="2" borderId="23" xfId="0" applyNumberFormat="1" applyFont="1" applyFill="1" applyBorder="1"/>
    <xf numFmtId="164" fontId="38" fillId="2" borderId="25" xfId="0" applyNumberFormat="1" applyFont="1" applyFill="1" applyBorder="1"/>
    <xf numFmtId="164" fontId="38" fillId="2" borderId="33" xfId="0" applyNumberFormat="1" applyFont="1" applyFill="1" applyBorder="1"/>
    <xf numFmtId="0" fontId="65" fillId="2" borderId="0" xfId="0" applyFont="1" applyFill="1" applyAlignment="1">
      <alignment horizontal="left" indent="1"/>
    </xf>
    <xf numFmtId="9" fontId="1" fillId="2" borderId="0" xfId="3" applyFill="1"/>
    <xf numFmtId="9" fontId="1" fillId="2" borderId="0" xfId="1" applyNumberFormat="1" applyFill="1"/>
    <xf numFmtId="172" fontId="12" fillId="2" borderId="0" xfId="1" applyNumberFormat="1" applyFont="1" applyFill="1" applyAlignment="1">
      <alignment horizontal="center"/>
    </xf>
    <xf numFmtId="164" fontId="97" fillId="2" borderId="20" xfId="1" applyNumberFormat="1" applyFont="1" applyFill="1" applyBorder="1"/>
    <xf numFmtId="164" fontId="97" fillId="2" borderId="25" xfId="1" applyNumberFormat="1" applyFont="1" applyFill="1" applyBorder="1"/>
    <xf numFmtId="164" fontId="0" fillId="2" borderId="30" xfId="1" applyNumberFormat="1" applyFont="1" applyFill="1" applyBorder="1"/>
    <xf numFmtId="164" fontId="0" fillId="2" borderId="25" xfId="1" applyNumberFormat="1" applyFont="1" applyFill="1" applyBorder="1"/>
    <xf numFmtId="164" fontId="20" fillId="2" borderId="2" xfId="1" applyNumberFormat="1" applyFont="1" applyFill="1" applyBorder="1"/>
    <xf numFmtId="168" fontId="60" fillId="2" borderId="20" xfId="1" applyNumberFormat="1" applyFont="1" applyFill="1" applyBorder="1"/>
    <xf numFmtId="164" fontId="60" fillId="2" borderId="25" xfId="1" applyNumberFormat="1" applyFont="1" applyFill="1" applyBorder="1"/>
    <xf numFmtId="164" fontId="61" fillId="2" borderId="30" xfId="1" applyNumberFormat="1" applyFont="1" applyFill="1" applyBorder="1"/>
    <xf numFmtId="164" fontId="61" fillId="2" borderId="25" xfId="1" applyNumberFormat="1" applyFont="1" applyFill="1" applyBorder="1"/>
    <xf numFmtId="164" fontId="13" fillId="2" borderId="25" xfId="1" applyNumberFormat="1" applyFont="1" applyFill="1" applyBorder="1"/>
    <xf numFmtId="164" fontId="12" fillId="2" borderId="25" xfId="1" applyNumberFormat="1" applyFont="1" applyFill="1" applyBorder="1"/>
    <xf numFmtId="164" fontId="13" fillId="2" borderId="30" xfId="1" applyNumberFormat="1" applyFont="1" applyFill="1" applyBorder="1"/>
    <xf numFmtId="9" fontId="0" fillId="2" borderId="25" xfId="1" applyNumberFormat="1" applyFont="1" applyFill="1" applyBorder="1"/>
    <xf numFmtId="164" fontId="116" fillId="2" borderId="25" xfId="1" applyNumberFormat="1" applyFont="1" applyFill="1" applyBorder="1"/>
    <xf numFmtId="164" fontId="3" fillId="2" borderId="30" xfId="1" applyNumberFormat="1" applyFont="1" applyFill="1" applyBorder="1"/>
    <xf numFmtId="164" fontId="76" fillId="2" borderId="25" xfId="1" applyNumberFormat="1" applyFont="1" applyFill="1" applyBorder="1"/>
    <xf numFmtId="164" fontId="3" fillId="2" borderId="25" xfId="1" applyNumberFormat="1" applyFont="1" applyFill="1" applyBorder="1"/>
    <xf numFmtId="9" fontId="97" fillId="2" borderId="25" xfId="1" applyNumberFormat="1" applyFont="1" applyFill="1" applyBorder="1"/>
    <xf numFmtId="164" fontId="3" fillId="2" borderId="28" xfId="1" applyNumberFormat="1" applyFont="1" applyFill="1" applyBorder="1"/>
    <xf numFmtId="164" fontId="1" fillId="2" borderId="0" xfId="1" applyNumberFormat="1" applyFill="1" applyAlignment="1">
      <alignment horizontal="center"/>
    </xf>
    <xf numFmtId="164" fontId="0" fillId="2" borderId="2" xfId="1" applyNumberFormat="1" applyFont="1" applyFill="1" applyBorder="1"/>
    <xf numFmtId="164" fontId="19" fillId="2" borderId="19" xfId="1" applyNumberFormat="1" applyFont="1" applyFill="1" applyBorder="1"/>
    <xf numFmtId="164" fontId="3" fillId="2" borderId="36" xfId="1" applyNumberFormat="1" applyFont="1" applyFill="1" applyBorder="1"/>
    <xf numFmtId="164" fontId="0" fillId="2" borderId="16" xfId="1" applyNumberFormat="1" applyFont="1" applyFill="1" applyBorder="1"/>
    <xf numFmtId="164" fontId="20" fillId="2" borderId="0" xfId="1" applyNumberFormat="1" applyFont="1" applyFill="1"/>
    <xf numFmtId="164" fontId="3" fillId="2" borderId="1" xfId="1" applyNumberFormat="1" applyFont="1" applyFill="1" applyBorder="1"/>
    <xf numFmtId="9" fontId="19" fillId="2" borderId="0" xfId="1" applyNumberFormat="1" applyFont="1" applyFill="1"/>
    <xf numFmtId="43" fontId="0" fillId="2" borderId="0" xfId="1" applyFont="1" applyFill="1"/>
    <xf numFmtId="164" fontId="76" fillId="2" borderId="0" xfId="1" applyNumberFormat="1" applyFont="1" applyFill="1"/>
    <xf numFmtId="164" fontId="80" fillId="2" borderId="5" xfId="1" applyNumberFormat="1" applyFont="1" applyFill="1" applyBorder="1"/>
    <xf numFmtId="164" fontId="66" fillId="2" borderId="0" xfId="1" applyNumberFormat="1" applyFont="1" applyFill="1"/>
    <xf numFmtId="165" fontId="0" fillId="2" borderId="0" xfId="2" applyNumberFormat="1" applyFont="1" applyFill="1"/>
    <xf numFmtId="9" fontId="19" fillId="2" borderId="0" xfId="2" applyNumberFormat="1" applyFont="1" applyFill="1"/>
    <xf numFmtId="164" fontId="3" fillId="2" borderId="31" xfId="1" applyNumberFormat="1" applyFont="1" applyFill="1" applyBorder="1"/>
    <xf numFmtId="172" fontId="33" fillId="2" borderId="0" xfId="0" quotePrefix="1" applyNumberFormat="1" applyFont="1" applyFill="1" applyAlignment="1">
      <alignment horizontal="center"/>
    </xf>
    <xf numFmtId="164" fontId="0" fillId="2" borderId="2" xfId="0" applyNumberFormat="1" applyFill="1" applyBorder="1"/>
    <xf numFmtId="164" fontId="3" fillId="2" borderId="5" xfId="0" applyNumberFormat="1" applyFont="1" applyFill="1" applyBorder="1"/>
    <xf numFmtId="164" fontId="3" fillId="2" borderId="79" xfId="1" applyNumberFormat="1" applyFont="1" applyFill="1" applyBorder="1"/>
    <xf numFmtId="164" fontId="3" fillId="8" borderId="79" xfId="1" applyNumberFormat="1" applyFont="1" applyFill="1" applyBorder="1"/>
    <xf numFmtId="164" fontId="1" fillId="2" borderId="79" xfId="0" applyNumberFormat="1" applyFont="1" applyFill="1" applyBorder="1"/>
    <xf numFmtId="164" fontId="1" fillId="0" borderId="79" xfId="0" applyNumberFormat="1" applyFont="1" applyBorder="1"/>
    <xf numFmtId="0" fontId="1" fillId="2" borderId="79" xfId="0" applyFont="1" applyFill="1" applyBorder="1"/>
    <xf numFmtId="0" fontId="1" fillId="0" borderId="79" xfId="0" applyFont="1" applyBorder="1"/>
    <xf numFmtId="164" fontId="3" fillId="30" borderId="79" xfId="1" applyNumberFormat="1" applyFont="1" applyFill="1" applyBorder="1"/>
    <xf numFmtId="0" fontId="0" fillId="0" borderId="0" xfId="0" applyAlignment="1">
      <alignment horizontal="center"/>
    </xf>
    <xf numFmtId="0" fontId="0" fillId="0" borderId="0" xfId="0"/>
  </cellXfs>
  <cellStyles count="20">
    <cellStyle name="Comma" xfId="1" builtinId="3"/>
    <cellStyle name="Comma 2" xfId="5" xr:uid="{00000000-0005-0000-0000-000005000000}"/>
    <cellStyle name="Comma 2 2" xfId="6" xr:uid="{00000000-0005-0000-0000-000006000000}"/>
    <cellStyle name="Comma 2 2 2" xfId="7" xr:uid="{00000000-0005-0000-0000-000007000000}"/>
    <cellStyle name="Comma 3" xfId="14" xr:uid="{00000000-0005-0000-0000-00000E000000}"/>
    <cellStyle name="Comma 3 2" xfId="10" xr:uid="{00000000-0005-0000-0000-00000A000000}"/>
    <cellStyle name="Currency" xfId="2" builtinId="4"/>
    <cellStyle name="Currency 2" xfId="18" xr:uid="{00000000-0005-0000-0000-000012000000}"/>
    <cellStyle name="Currency 2 2 6" xfId="12" xr:uid="{00000000-0005-0000-0000-00000C000000}"/>
    <cellStyle name="Hyperlink" xfId="19" builtinId="8"/>
    <cellStyle name="Normal" xfId="0" builtinId="0"/>
    <cellStyle name="Normal 2" xfId="8" xr:uid="{00000000-0005-0000-0000-000008000000}"/>
    <cellStyle name="Normal 2 2" xfId="15" xr:uid="{00000000-0005-0000-0000-00000F000000}"/>
    <cellStyle name="Normal 2 3" xfId="13" xr:uid="{00000000-0005-0000-0000-00000D000000}"/>
    <cellStyle name="Normal 3" xfId="4" xr:uid="{00000000-0005-0000-0000-000004000000}"/>
    <cellStyle name="Normal 3 3" xfId="9" xr:uid="{00000000-0005-0000-0000-000009000000}"/>
    <cellStyle name="Normal 4" xfId="17" xr:uid="{00000000-0005-0000-0000-000011000000}"/>
    <cellStyle name="Normal 7 13" xfId="16" xr:uid="{00000000-0005-0000-0000-000010000000}"/>
    <cellStyle name="Percent" xfId="3" builtinId="5"/>
    <cellStyle name="Percent 3 7" xfId="11" xr:uid="{00000000-0005-0000-0000-00000B000000}"/>
  </cellStyles>
  <dxfs count="3">
    <dxf>
      <font>
        <b/>
        <color rgb="FF9C5700"/>
      </font>
      <fill>
        <patternFill patternType="solid">
          <fgColor indexed="64"/>
          <bgColor rgb="FFFFFF00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3">
    <tabColor rgb="FFFF0000"/>
    <pageSetUpPr fitToPage="1"/>
  </sheetPr>
  <dimension ref="A1:Z249"/>
  <sheetViews>
    <sheetView showGridLines="0" zoomScale="85" zoomScaleNormal="85" workbookViewId="0">
      <pane xSplit="2" ySplit="2" topLeftCell="C131" activePane="bottomRight" state="frozen"/>
      <selection pane="topRight" activeCell="B1" sqref="B1"/>
      <selection pane="bottomLeft" activeCell="A3" sqref="A3"/>
      <selection pane="bottomRight" activeCell="C149" sqref="C149"/>
    </sheetView>
  </sheetViews>
  <sheetFormatPr defaultColWidth="12.68359375" defaultRowHeight="14.4"/>
  <cols>
    <col min="2" max="2" width="33.68359375" customWidth="1"/>
    <col min="3" max="3" width="18.578125" style="32" bestFit="1" customWidth="1"/>
    <col min="4" max="6" width="19.26171875" style="32" bestFit="1" customWidth="1"/>
    <col min="7" max="8" width="18.578125" style="32" bestFit="1" customWidth="1"/>
    <col min="9" max="11" width="19.26171875" style="32" bestFit="1" customWidth="1"/>
    <col min="12" max="15" width="18.578125" bestFit="1" customWidth="1"/>
    <col min="25" max="25" width="6.41796875" bestFit="1" customWidth="1"/>
    <col min="26" max="26" width="5.68359375" bestFit="1" customWidth="1"/>
  </cols>
  <sheetData>
    <row r="1" spans="1:26" s="27" customFormat="1">
      <c r="B1" s="765" t="s">
        <v>120</v>
      </c>
      <c r="C1" s="420">
        <f>+lgh_bs!D2</f>
        <v>45657</v>
      </c>
      <c r="D1" s="420">
        <f>+lgh_bs!E2</f>
        <v>45747</v>
      </c>
      <c r="E1" s="420">
        <f>+lgh_bs!F2</f>
        <v>45838</v>
      </c>
      <c r="F1" s="420">
        <f>+lgh_bs!G2</f>
        <v>45930</v>
      </c>
      <c r="G1" s="420">
        <f>+lgh_bs!H2</f>
        <v>46022</v>
      </c>
      <c r="H1" s="420">
        <f>+lgh_bs!I2</f>
        <v>46112</v>
      </c>
      <c r="I1" s="420">
        <f>+lgh_bs!J2</f>
        <v>46203</v>
      </c>
      <c r="J1" s="420">
        <f>+lgh_bs!K2</f>
        <v>46295</v>
      </c>
      <c r="K1" s="420">
        <f>+lgh_bs!L2</f>
        <v>46387</v>
      </c>
      <c r="L1" s="420">
        <f>+lgh_bs!M2</f>
        <v>46752</v>
      </c>
      <c r="M1" s="420">
        <f>+lgh_bs!N2</f>
        <v>47118</v>
      </c>
      <c r="N1" s="420">
        <f>+lgh_bs!O2</f>
        <v>47483</v>
      </c>
      <c r="O1" s="420">
        <f>+lgh_bs!P2</f>
        <v>47848</v>
      </c>
    </row>
    <row r="2" spans="1:26">
      <c r="A2" t="s">
        <v>121</v>
      </c>
      <c r="B2" s="766" t="s">
        <v>122</v>
      </c>
      <c r="C2" s="217" t="str">
        <f>+lgh_bs!D3</f>
        <v>Q4</v>
      </c>
      <c r="D2" s="217" t="str">
        <f>+lgh_bs!E3</f>
        <v>Q1</v>
      </c>
      <c r="E2" s="217" t="str">
        <f>+lgh_bs!F3</f>
        <v>Q2</v>
      </c>
      <c r="F2" s="217" t="str">
        <f>+lgh_bs!G3</f>
        <v>Q3</v>
      </c>
      <c r="G2" s="330" t="str">
        <f>+lgh_bs!H3</f>
        <v>Q4</v>
      </c>
      <c r="H2" s="330" t="str">
        <f>+lgh_bs!I3</f>
        <v>Q1</v>
      </c>
      <c r="I2" s="330" t="str">
        <f>+lgh_bs!J3</f>
        <v>Q2</v>
      </c>
      <c r="J2" s="330" t="str">
        <f>+lgh_bs!K3</f>
        <v>Q3</v>
      </c>
      <c r="K2" s="217" t="str">
        <f>+lgh_bs!L3</f>
        <v>Q4</v>
      </c>
      <c r="L2" s="217" t="str">
        <f>+lgh_bs!M3</f>
        <v>Q4</v>
      </c>
      <c r="M2" s="217" t="str">
        <f>+lgh_bs!N3</f>
        <v>Q4</v>
      </c>
      <c r="N2" s="217" t="str">
        <f>+lgh_bs!O3</f>
        <v>Q4</v>
      </c>
      <c r="O2" s="217" t="str">
        <f>+lgh_bs!P3</f>
        <v>Q4</v>
      </c>
    </row>
    <row r="3" spans="1:26" s="5" customFormat="1">
      <c r="B3" s="765"/>
      <c r="C3" s="6"/>
      <c r="D3" s="36"/>
      <c r="E3" s="36"/>
      <c r="F3" s="36"/>
      <c r="G3" s="205"/>
      <c r="H3" s="216"/>
      <c r="I3" s="216"/>
      <c r="J3" s="216"/>
      <c r="K3" s="6"/>
      <c r="L3" s="6"/>
      <c r="M3" s="6"/>
      <c r="N3" s="6"/>
      <c r="O3" s="6"/>
    </row>
    <row r="4" spans="1:26">
      <c r="A4" s="5" t="s">
        <v>123</v>
      </c>
      <c r="B4" s="5"/>
      <c r="C4" s="214"/>
      <c r="D4" s="214"/>
      <c r="E4" s="214"/>
      <c r="F4" s="214"/>
      <c r="G4" s="214"/>
      <c r="H4" s="214"/>
      <c r="I4" s="214"/>
      <c r="J4" s="214"/>
      <c r="K4" s="214"/>
      <c r="L4" s="214"/>
      <c r="M4" s="214"/>
      <c r="N4" s="214"/>
      <c r="O4" s="214"/>
    </row>
    <row r="5" spans="1:26">
      <c r="A5" t="s">
        <v>123</v>
      </c>
      <c r="B5" t="s">
        <v>95</v>
      </c>
      <c r="C5" s="215">
        <f>+bermuda_cs2!B67</f>
        <v>1</v>
      </c>
      <c r="D5" s="215">
        <f>+bermuda_cs2!C67</f>
        <v>1</v>
      </c>
      <c r="E5" s="215">
        <f>+bermuda_cs2!D67</f>
        <v>1</v>
      </c>
      <c r="F5" s="215">
        <f>+bermuda_cs2!E67</f>
        <v>1</v>
      </c>
      <c r="G5" s="215">
        <f>+bermuda_cs2!F67</f>
        <v>1</v>
      </c>
      <c r="H5" s="215">
        <f>+bermuda_cs2!G67</f>
        <v>1</v>
      </c>
      <c r="I5" s="215">
        <f>+bermuda_cs2!H67</f>
        <v>1</v>
      </c>
      <c r="J5" s="215">
        <f>+bermuda_cs2!I67</f>
        <v>1</v>
      </c>
      <c r="K5" s="215">
        <f>+bermuda_cs2!J67</f>
        <v>1</v>
      </c>
      <c r="L5" s="215">
        <f>+bermuda_cs2!K67</f>
        <v>1</v>
      </c>
      <c r="M5" s="215">
        <f>+bermuda_cs2!L67</f>
        <v>1</v>
      </c>
      <c r="N5" s="215">
        <f>+bermuda_cs2!M67</f>
        <v>1</v>
      </c>
      <c r="O5" s="215">
        <f>+bermuda_cs2!N67</f>
        <v>1</v>
      </c>
      <c r="Z5" s="32"/>
    </row>
    <row r="6" spans="1:26">
      <c r="A6" t="s">
        <v>123</v>
      </c>
      <c r="B6" t="s">
        <v>124</v>
      </c>
      <c r="C6" s="2146">
        <f>+bermuda_cs2!B17</f>
        <v>1562074</v>
      </c>
      <c r="D6" s="2146">
        <f>+bermuda_cs2!C17</f>
        <v>3250000</v>
      </c>
      <c r="E6" s="2146">
        <f>+bermuda_cs2!D17</f>
        <v>3388588</v>
      </c>
      <c r="F6" s="2146">
        <f>+bermuda_cs2!E17</f>
        <v>1475962</v>
      </c>
      <c r="G6" s="2146">
        <f>+bermuda_cs2!F17</f>
        <v>8336733</v>
      </c>
      <c r="H6" s="2146">
        <f>+bermuda_cs2!G17</f>
        <v>0</v>
      </c>
      <c r="I6" s="2146">
        <f>+bermuda_cs2!H17</f>
        <v>0</v>
      </c>
      <c r="J6" s="2146">
        <f>+bermuda_cs2!I17</f>
        <v>0</v>
      </c>
      <c r="K6" s="2146">
        <f>+bermuda_cs2!J17</f>
        <v>0</v>
      </c>
      <c r="L6" s="2146">
        <f>+bermuda_cs2!K17</f>
        <v>664696</v>
      </c>
      <c r="M6" s="2146">
        <f>+bermuda_cs2!L17</f>
        <v>3762565</v>
      </c>
      <c r="N6" s="2146">
        <f>+bermuda_cs2!M17</f>
        <v>20842800</v>
      </c>
      <c r="O6" s="2146">
        <f>+bermuda_cs2!N17</f>
        <v>4123684</v>
      </c>
      <c r="Z6" s="32"/>
    </row>
    <row r="7" spans="1:26">
      <c r="A7" t="s">
        <v>123</v>
      </c>
      <c r="B7" t="s">
        <v>125</v>
      </c>
      <c r="C7" s="2146">
        <f>+bermuda_cs2!B25</f>
        <v>0</v>
      </c>
      <c r="D7" s="2146">
        <f>+bermuda_cs2!C25</f>
        <v>-125000</v>
      </c>
      <c r="E7" s="2146">
        <f>+bermuda_cs2!D25</f>
        <v>-3717883</v>
      </c>
      <c r="F7" s="2146">
        <f>+bermuda_cs2!E25</f>
        <v>-3472013.2675276021</v>
      </c>
      <c r="G7" s="2146">
        <f>+bermuda_cs2!F25</f>
        <v>0</v>
      </c>
      <c r="H7" s="2146">
        <f>+bermuda_cs2!G25</f>
        <v>0</v>
      </c>
      <c r="I7" s="2146">
        <f>+bermuda_cs2!H25</f>
        <v>0</v>
      </c>
      <c r="J7" s="2146">
        <f>+bermuda_cs2!I25</f>
        <v>0</v>
      </c>
      <c r="K7" s="2146">
        <f>+bermuda_cs2!J25</f>
        <v>-4604401.1674821461</v>
      </c>
      <c r="L7" s="2146">
        <f>+bermuda_cs2!K25</f>
        <v>0</v>
      </c>
      <c r="M7" s="2146">
        <f>+bermuda_cs2!L25</f>
        <v>0</v>
      </c>
      <c r="N7" s="2146">
        <f>+bermuda_cs2!M25</f>
        <v>-2000000</v>
      </c>
      <c r="O7" s="2146">
        <f>+bermuda_cs2!N25</f>
        <v>0</v>
      </c>
      <c r="Z7" s="32"/>
    </row>
    <row r="8" spans="1:26">
      <c r="A8" t="s">
        <v>123</v>
      </c>
      <c r="B8" t="s">
        <v>126</v>
      </c>
      <c r="C8" s="2146">
        <f>+bermuda_cs2!B9</f>
        <v>-1562074</v>
      </c>
      <c r="D8" s="2146">
        <f>+bermuda_cs2!C9</f>
        <v>0</v>
      </c>
      <c r="E8" s="2146">
        <f>+bermuda_cs2!D9</f>
        <v>0</v>
      </c>
      <c r="F8" s="2146">
        <f>+bermuda_cs2!E9</f>
        <v>-1000000</v>
      </c>
      <c r="G8" s="2146">
        <f>+bermuda_cs2!F9</f>
        <v>0</v>
      </c>
      <c r="H8" s="2146">
        <f>+bermuda_cs2!G9</f>
        <v>0</v>
      </c>
      <c r="I8" s="2146">
        <f>+bermuda_cs2!H9</f>
        <v>0</v>
      </c>
      <c r="J8" s="2146">
        <f>+bermuda_cs2!I9</f>
        <v>0</v>
      </c>
      <c r="K8" s="2146">
        <f>+bermuda_cs2!J9</f>
        <v>0</v>
      </c>
      <c r="L8" s="2146">
        <f>+bermuda_cs2!K9</f>
        <v>-664696</v>
      </c>
      <c r="M8" s="2146">
        <f>+bermuda_cs2!L9</f>
        <v>-3762565</v>
      </c>
      <c r="N8" s="2146">
        <f>+bermuda_cs2!M9</f>
        <v>-3842800</v>
      </c>
      <c r="O8" s="2146">
        <f>+bermuda_cs2!N9</f>
        <v>-4123684</v>
      </c>
      <c r="Z8" s="32"/>
    </row>
    <row r="9" spans="1:26">
      <c r="A9" t="s">
        <v>123</v>
      </c>
      <c r="B9" t="s">
        <v>127</v>
      </c>
      <c r="C9" s="32">
        <f>+bermuda_cs2!B68</f>
        <v>56391898.801753417</v>
      </c>
      <c r="D9" s="32">
        <f>+bermuda_cs2!C68</f>
        <v>48342875.134681299</v>
      </c>
      <c r="E9" s="32">
        <f>+bermuda_cs2!D68</f>
        <v>49230679.602836721</v>
      </c>
      <c r="F9" s="32">
        <f>+bermuda_cs2!E68</f>
        <v>51936302.561434597</v>
      </c>
      <c r="G9" s="32">
        <f>+bermuda_cs2!F68</f>
        <v>46803856.975500621</v>
      </c>
      <c r="H9" s="32">
        <f>+bermuda_cs2!G68</f>
        <v>46688396.145441398</v>
      </c>
      <c r="I9" s="32">
        <f>+bermuda_cs2!H68</f>
        <v>47318458.658028975</v>
      </c>
      <c r="J9" s="32">
        <f>+bermuda_cs2!I68</f>
        <v>47193848.832517855</v>
      </c>
      <c r="K9" s="32">
        <f>+bermuda_cs2!J68</f>
        <v>60232309.356816709</v>
      </c>
      <c r="L9" s="32">
        <f>+bermuda_cs2!K68</f>
        <v>68658852.64218013</v>
      </c>
      <c r="M9" s="32">
        <f>+bermuda_cs2!L68</f>
        <v>78031616.129979655</v>
      </c>
      <c r="N9" s="32">
        <f>+bermuda_cs2!M68</f>
        <v>73752764.644625396</v>
      </c>
      <c r="O9" s="32">
        <f>+bermuda_cs2!N68</f>
        <v>85421359.86438784</v>
      </c>
    </row>
    <row r="10" spans="1:26">
      <c r="A10" t="s">
        <v>123</v>
      </c>
      <c r="B10" t="s">
        <v>128</v>
      </c>
      <c r="C10" s="2146">
        <f>+bermuda_cs2!B68</f>
        <v>56391898.801753417</v>
      </c>
      <c r="D10" s="2146">
        <f>+bermuda_cs2!C68</f>
        <v>48342875.134681299</v>
      </c>
      <c r="E10" s="2146">
        <f>+bermuda_cs2!D68</f>
        <v>49230679.602836721</v>
      </c>
      <c r="F10" s="2146">
        <f>+bermuda_cs2!E68</f>
        <v>51936302.561434597</v>
      </c>
      <c r="G10" s="2146">
        <f>+bermuda_cs2!F68</f>
        <v>46803856.975500621</v>
      </c>
      <c r="H10" s="2146">
        <f>+bermuda_cs2!G68</f>
        <v>46688396.145441398</v>
      </c>
      <c r="I10" s="2146">
        <f>+bermuda_cs2!H68</f>
        <v>47318458.658028975</v>
      </c>
      <c r="J10" s="2146">
        <f>+bermuda_cs2!I68</f>
        <v>47193848.832517855</v>
      </c>
      <c r="K10" s="2146">
        <f>+bermuda_cs2!J68</f>
        <v>60232309.356816709</v>
      </c>
      <c r="L10" s="2146">
        <f>+bermuda_cs2!K68</f>
        <v>68658852.64218013</v>
      </c>
      <c r="M10" s="2146">
        <f>+bermuda_cs2!L68</f>
        <v>78031616.129979655</v>
      </c>
      <c r="N10" s="2146">
        <f>+bermuda_cs2!M68</f>
        <v>73752764.644625396</v>
      </c>
      <c r="O10" s="2146">
        <f>+bermuda_cs2!N68</f>
        <v>85421359.86438784</v>
      </c>
    </row>
    <row r="11" spans="1:26">
      <c r="A11" t="s">
        <v>123</v>
      </c>
      <c r="B11" t="s">
        <v>66</v>
      </c>
      <c r="C11" s="32">
        <f>bermuda_cs2!B63</f>
        <v>-42383101.198246583</v>
      </c>
      <c r="D11" s="32">
        <f>bermuda_cs2!C63</f>
        <v>-50432124.865318701</v>
      </c>
      <c r="E11" s="32">
        <f>bermuda_cs2!D63</f>
        <v>-50459320.397163279</v>
      </c>
      <c r="F11" s="32">
        <f>bermuda_cs2!E63</f>
        <v>-48211197.438565403</v>
      </c>
      <c r="G11" s="32">
        <f>bermuda_cs2!F63</f>
        <v>-56994393.024499379</v>
      </c>
      <c r="H11" s="32">
        <f>bermuda_cs2!G63</f>
        <v>-57109853.854558602</v>
      </c>
      <c r="I11" s="32">
        <f>bermuda_cs2!H63</f>
        <v>-56479791.341971025</v>
      </c>
      <c r="J11" s="32">
        <f>bermuda_cs2!I63</f>
        <v>-56604401.167482145</v>
      </c>
      <c r="K11" s="32">
        <f>bermuda_cs2!J63</f>
        <v>-52000000</v>
      </c>
      <c r="L11" s="32">
        <f>bermuda_cs2!K63</f>
        <v>-52000000</v>
      </c>
      <c r="M11" s="32">
        <f>bermuda_cs2!L63</f>
        <v>-52000000</v>
      </c>
      <c r="N11" s="32">
        <f>bermuda_cs2!M63</f>
        <v>-69000000</v>
      </c>
      <c r="O11" s="32">
        <f>bermuda_cs2!N63</f>
        <v>-69000000</v>
      </c>
      <c r="Z11" s="32"/>
    </row>
    <row r="12" spans="1:26">
      <c r="A12" t="s">
        <v>123</v>
      </c>
      <c r="B12" t="s">
        <v>11</v>
      </c>
      <c r="C12" s="32">
        <f>+bermuda_cs2!B5</f>
        <v>-2421922</v>
      </c>
      <c r="D12" s="32">
        <f>+bermuda_cs2!C5</f>
        <v>-656250.00000000012</v>
      </c>
      <c r="E12" s="32">
        <f>+bermuda_cs2!D5</f>
        <v>-913750.00000000012</v>
      </c>
      <c r="F12" s="32">
        <f>+bermuda_cs2!E5</f>
        <v>-913750.00000000012</v>
      </c>
      <c r="G12" s="32">
        <f>+bermuda_cs2!F5</f>
        <v>-1137500</v>
      </c>
      <c r="H12" s="32">
        <f>+bermuda_cs2!G5</f>
        <v>-1137500</v>
      </c>
      <c r="I12" s="32">
        <f>+bermuda_cs2!H5</f>
        <v>-1137500</v>
      </c>
      <c r="J12" s="32">
        <f>+bermuda_cs2!I5</f>
        <v>-1137500</v>
      </c>
      <c r="K12" s="32">
        <f>+bermuda_cs2!J5</f>
        <v>-1137500</v>
      </c>
      <c r="L12" s="32">
        <f>+bermuda_cs2!K5</f>
        <v>-4550000</v>
      </c>
      <c r="M12" s="32">
        <f>+bermuda_cs2!L5</f>
        <v>-4550000</v>
      </c>
      <c r="N12" s="32">
        <f>+bermuda_cs2!M5</f>
        <v>-5520000</v>
      </c>
      <c r="O12" s="32">
        <f>+bermuda_cs2!N5</f>
        <v>-5520000</v>
      </c>
      <c r="Z12" s="32"/>
    </row>
    <row r="13" spans="1:26">
      <c r="L13" s="32"/>
      <c r="M13" s="32"/>
      <c r="N13" s="32"/>
      <c r="O13" s="32"/>
      <c r="Z13" s="2"/>
    </row>
    <row r="14" spans="1:26">
      <c r="A14" s="5" t="s">
        <v>129</v>
      </c>
      <c r="B14" s="5"/>
      <c r="C14" s="214"/>
      <c r="D14" s="214"/>
      <c r="E14" s="214"/>
      <c r="F14" s="214"/>
      <c r="G14" s="214"/>
      <c r="H14" s="214"/>
      <c r="I14" s="214"/>
      <c r="J14" s="214"/>
      <c r="K14" s="214"/>
      <c r="L14" s="214"/>
      <c r="M14" s="214"/>
      <c r="N14" s="214"/>
      <c r="O14" s="214"/>
    </row>
    <row r="15" spans="1:26">
      <c r="A15" t="s">
        <v>129</v>
      </c>
      <c r="B15" t="s">
        <v>95</v>
      </c>
      <c r="C15" s="214">
        <f>+austin_cs2!E73</f>
        <v>0.58350000000000002</v>
      </c>
      <c r="D15" s="214">
        <f>+austin_cs2!F73</f>
        <v>0.58350000000000002</v>
      </c>
      <c r="E15" s="214">
        <f>+austin_cs2!G73</f>
        <v>0.58350000000000002</v>
      </c>
      <c r="F15" s="214">
        <f>+austin_cs2!H73</f>
        <v>0.58350000000000002</v>
      </c>
      <c r="G15" s="214">
        <f>+austin_cs2!I73</f>
        <v>0.58350000000000002</v>
      </c>
      <c r="H15" s="214">
        <f>+austin_cs2!J73</f>
        <v>0.58350000000000002</v>
      </c>
      <c r="I15" s="214">
        <f>+austin_cs2!K73</f>
        <v>0.58350000000000002</v>
      </c>
      <c r="J15" s="214">
        <f>+austin_cs2!L73</f>
        <v>0.58350000000000002</v>
      </c>
      <c r="K15" s="214">
        <f>+austin_cs2!M73</f>
        <v>0.58350000000000002</v>
      </c>
      <c r="L15" s="214">
        <f>+austin_cs2!N73</f>
        <v>0.58350000000000002</v>
      </c>
      <c r="M15" s="214">
        <f>+austin_cs2!O73</f>
        <v>0.58350000000000002</v>
      </c>
      <c r="N15" s="214">
        <f>+austin_cs2!P73</f>
        <v>0.58350000000000002</v>
      </c>
      <c r="O15" s="214">
        <f>+austin_cs2!Q73</f>
        <v>0.58350000000000002</v>
      </c>
    </row>
    <row r="16" spans="1:26">
      <c r="A16" t="s">
        <v>129</v>
      </c>
      <c r="B16" t="s">
        <v>124</v>
      </c>
      <c r="C16" s="2146">
        <f>+austin_cs2!E19</f>
        <v>814451.63400000008</v>
      </c>
      <c r="D16" s="2146">
        <f>+austin_cs2!F19</f>
        <v>5515000</v>
      </c>
      <c r="E16" s="2146">
        <f>+austin_cs2!G19</f>
        <v>0</v>
      </c>
      <c r="F16" s="2146">
        <f>+austin_cs2!H19</f>
        <v>525000</v>
      </c>
      <c r="G16" s="2146">
        <f>+austin_cs2!I19</f>
        <v>0</v>
      </c>
      <c r="H16" s="2146">
        <f>+austin_cs2!J19</f>
        <v>0</v>
      </c>
      <c r="I16" s="2146">
        <f>+austin_cs2!K19</f>
        <v>0</v>
      </c>
      <c r="J16" s="2146">
        <f>+austin_cs2!L19</f>
        <v>0</v>
      </c>
      <c r="K16" s="2146">
        <f>+austin_cs2!M19</f>
        <v>0</v>
      </c>
      <c r="L16" s="2146">
        <f>+austin_cs2!N19</f>
        <v>0</v>
      </c>
      <c r="M16" s="2146">
        <f>+austin_cs2!O19</f>
        <v>0</v>
      </c>
      <c r="N16" s="2146">
        <f>+austin_cs2!P19</f>
        <v>0</v>
      </c>
      <c r="O16" s="2146">
        <f>+austin_cs2!Q19</f>
        <v>0</v>
      </c>
    </row>
    <row r="17" spans="1:26">
      <c r="A17" t="s">
        <v>129</v>
      </c>
      <c r="B17" t="s">
        <v>125</v>
      </c>
      <c r="C17" s="2146">
        <f>+austin_cs2!E28</f>
        <v>0</v>
      </c>
      <c r="D17" s="2146">
        <f>+austin_cs2!F28</f>
        <v>-50000</v>
      </c>
      <c r="E17" s="2146">
        <f>+austin_cs2!G28</f>
        <v>-2025000</v>
      </c>
      <c r="F17" s="2146">
        <f>+austin_cs2!H28</f>
        <v>-230000</v>
      </c>
      <c r="G17" s="2146">
        <f>+austin_cs2!I28</f>
        <v>-289495</v>
      </c>
      <c r="H17" s="2146">
        <f>+austin_cs2!J28</f>
        <v>-1750000</v>
      </c>
      <c r="I17" s="2146">
        <f>+austin_cs2!K28</f>
        <v>-3420000</v>
      </c>
      <c r="J17" s="2146">
        <f>+austin_cs2!L28</f>
        <v>0</v>
      </c>
      <c r="K17" s="2146">
        <f>+austin_cs2!M28</f>
        <v>-750000</v>
      </c>
      <c r="L17" s="2146">
        <f>+austin_cs2!N28</f>
        <v>0</v>
      </c>
      <c r="M17" s="2146">
        <f>+austin_cs2!O28</f>
        <v>-15106831.160182964</v>
      </c>
      <c r="N17" s="2146">
        <f>+austin_cs2!P28</f>
        <v>0</v>
      </c>
      <c r="O17" s="2146">
        <f>+austin_cs2!Q28</f>
        <v>0</v>
      </c>
      <c r="Z17" s="2"/>
    </row>
    <row r="18" spans="1:26">
      <c r="A18" t="s">
        <v>129</v>
      </c>
      <c r="B18" t="s">
        <v>130</v>
      </c>
      <c r="C18" s="32">
        <f>+austin_cs2!E75</f>
        <v>15926855.202205267</v>
      </c>
      <c r="D18" s="32">
        <f>+austin_cs2!F75</f>
        <v>18088592.03096962</v>
      </c>
      <c r="E18" s="32">
        <f>+austin_cs2!G75</f>
        <v>17359150.428619672</v>
      </c>
      <c r="F18" s="32">
        <f>+austin_cs2!H75</f>
        <v>15109714.093862126</v>
      </c>
      <c r="G18" s="32">
        <f>+austin_cs2!I75</f>
        <v>7753407.414941581</v>
      </c>
      <c r="H18" s="32">
        <f>+austin_cs2!J75</f>
        <v>6038275.3593691019</v>
      </c>
      <c r="I18" s="32">
        <f>+austin_cs2!K75</f>
        <v>4849926.1457863338</v>
      </c>
      <c r="J18" s="32">
        <f>+austin_cs2!L75</f>
        <v>3974250.1732844282</v>
      </c>
      <c r="K18" s="32">
        <f>+austin_cs2!M75</f>
        <v>3116853.7677923306</v>
      </c>
      <c r="L18" s="32">
        <f>+austin_cs2!N75</f>
        <v>0</v>
      </c>
      <c r="M18" s="32">
        <f>+austin_cs2!O75</f>
        <v>0</v>
      </c>
      <c r="N18" s="32">
        <f>+austin_cs2!P75</f>
        <v>0</v>
      </c>
      <c r="O18" s="32">
        <f>+austin_cs2!Q75</f>
        <v>0</v>
      </c>
    </row>
    <row r="19" spans="1:26">
      <c r="A19" t="s">
        <v>129</v>
      </c>
      <c r="B19" t="s">
        <v>131</v>
      </c>
      <c r="C19" s="32">
        <f>+austin_cs2!E80</f>
        <v>8621252.7177088577</v>
      </c>
      <c r="D19" s="32">
        <f>+austin_cs2!F80</f>
        <v>2691709.0714328461</v>
      </c>
      <c r="E19" s="32">
        <f>+austin_cs2!G80</f>
        <v>2849464.9505663249</v>
      </c>
      <c r="F19" s="32">
        <f>+austin_cs2!H80</f>
        <v>3017222.776343931</v>
      </c>
      <c r="G19" s="32">
        <f>+austin_cs2!I80</f>
        <v>4124556.903744827</v>
      </c>
      <c r="H19" s="32">
        <f>+austin_cs2!J80</f>
        <v>4237689.3351938138</v>
      </c>
      <c r="I19" s="32">
        <f>+austin_cs2!K80</f>
        <v>6873678.2404489974</v>
      </c>
      <c r="J19" s="32">
        <f>+austin_cs2!L80</f>
        <v>7084139.3901415551</v>
      </c>
      <c r="K19" s="32">
        <f>+austin_cs2!M80</f>
        <v>7315998.2081489582</v>
      </c>
      <c r="L19" s="32">
        <f>+austin_cs2!N80</f>
        <v>10662926.241002446</v>
      </c>
      <c r="M19" s="32">
        <f>+austin_cs2!O80</f>
        <v>9864765.5848319475</v>
      </c>
      <c r="N19" s="32">
        <f>+austin_cs2!P80</f>
        <v>34687482.435074754</v>
      </c>
      <c r="O19" s="32">
        <f>+austin_cs2!Q80</f>
        <v>42318728.5707912</v>
      </c>
    </row>
    <row r="20" spans="1:26">
      <c r="A20" t="s">
        <v>129</v>
      </c>
      <c r="B20" t="s">
        <v>81</v>
      </c>
      <c r="C20" s="32">
        <f>+austin_cs2!E81</f>
        <v>0</v>
      </c>
      <c r="D20" s="32">
        <f>+austin_cs2!F81</f>
        <v>0</v>
      </c>
      <c r="E20" s="32">
        <f>+austin_cs2!G81</f>
        <v>0</v>
      </c>
      <c r="F20" s="32">
        <f>+austin_cs2!H81</f>
        <v>0</v>
      </c>
      <c r="G20" s="32">
        <f>+austin_cs2!I81</f>
        <v>0</v>
      </c>
      <c r="H20" s="32">
        <f>+austin_cs2!J81</f>
        <v>0</v>
      </c>
      <c r="I20" s="32">
        <f>+austin_cs2!K81</f>
        <v>0</v>
      </c>
      <c r="J20" s="32">
        <f>+austin_cs2!L81</f>
        <v>0</v>
      </c>
      <c r="K20" s="32">
        <f>+austin_cs2!M81</f>
        <v>0</v>
      </c>
      <c r="L20" s="32">
        <f>+austin_cs2!N81</f>
        <v>0</v>
      </c>
      <c r="M20" s="32">
        <f>+austin_cs2!O81</f>
        <v>0</v>
      </c>
      <c r="N20" s="32">
        <f>+austin_cs2!P81</f>
        <v>0</v>
      </c>
      <c r="O20" s="32">
        <f>+austin_cs2!Q81</f>
        <v>0</v>
      </c>
    </row>
    <row r="21" spans="1:26">
      <c r="A21" t="s">
        <v>129</v>
      </c>
      <c r="B21" t="s">
        <v>132</v>
      </c>
      <c r="C21" s="32">
        <f>+austin_cs2!E83</f>
        <v>5608281.3808370735</v>
      </c>
      <c r="D21" s="32">
        <f>+austin_cs2!F83</f>
        <v>5792434.4566366132</v>
      </c>
      <c r="E21" s="32">
        <f>+austin_cs2!G83</f>
        <v>5984782.4088378381</v>
      </c>
      <c r="F21" s="32">
        <f>+austin_cs2!H83</f>
        <v>6185737.7795300223</v>
      </c>
      <c r="G21" s="32">
        <f>+austin_cs2!I83</f>
        <v>6393440.7741542654</v>
      </c>
      <c r="H21" s="32">
        <f>+austin_cs2!J83</f>
        <v>6603375.2805657405</v>
      </c>
      <c r="I21" s="32">
        <f>+austin_cs2!K83</f>
        <v>6822651.9460751358</v>
      </c>
      <c r="J21" s="32">
        <f>+austin_cs2!L83</f>
        <v>7051741.0686642267</v>
      </c>
      <c r="K21" s="32">
        <f>+austin_cs2!M83</f>
        <v>7288522.4825358614</v>
      </c>
      <c r="L21" s="32">
        <f>+austin_cs2!N83</f>
        <v>6806296.4560152246</v>
      </c>
      <c r="M21" s="32">
        <f>+austin_cs2!O83</f>
        <v>4230778.4205505513</v>
      </c>
      <c r="N21" s="32">
        <f>+austin_cs2!P83</f>
        <v>4951306.8763720598</v>
      </c>
      <c r="O21" s="32">
        <f>+austin_cs2!Q83</f>
        <v>4764456.7915576464</v>
      </c>
    </row>
    <row r="22" spans="1:26">
      <c r="A22" t="s">
        <v>129</v>
      </c>
      <c r="B22" t="s">
        <v>128</v>
      </c>
      <c r="C22" s="32">
        <f>+austin_cs2!E85</f>
        <v>30156389.300751198</v>
      </c>
      <c r="D22" s="32">
        <f>+austin_cs2!F85</f>
        <v>26572735.559039079</v>
      </c>
      <c r="E22" s="32">
        <f>+austin_cs2!G85</f>
        <v>26193397.788023837</v>
      </c>
      <c r="F22" s="32">
        <f>+austin_cs2!H85</f>
        <v>24312674.649736077</v>
      </c>
      <c r="G22" s="32">
        <f>+austin_cs2!I85</f>
        <v>6321101.9805434588</v>
      </c>
      <c r="H22" s="32">
        <f>+austin_cs2!J85</f>
        <v>6506359.9892516285</v>
      </c>
      <c r="I22" s="32">
        <f>+austin_cs2!K85</f>
        <v>9217684.0852273684</v>
      </c>
      <c r="J22" s="32">
        <f>+austin_cs2!L85</f>
        <v>9506851.6157478206</v>
      </c>
      <c r="K22" s="32">
        <f>+austin_cs2!M85</f>
        <v>9820059.5956993978</v>
      </c>
      <c r="L22" s="32">
        <f>+austin_cs2!N85</f>
        <v>13517556.222809948</v>
      </c>
      <c r="M22" s="32">
        <f>+austin_cs2!O85</f>
        <v>13120212.199598452</v>
      </c>
      <c r="N22" s="32">
        <f>+austin_cs2!P85</f>
        <v>38866830.497844622</v>
      </c>
      <c r="O22" s="32">
        <f>+austin_cs2!Q85</f>
        <v>47083185.362348847</v>
      </c>
    </row>
    <row r="23" spans="1:26">
      <c r="A23" t="s">
        <v>129</v>
      </c>
      <c r="B23" s="767" t="s">
        <v>57</v>
      </c>
      <c r="C23" s="32">
        <f>+austin_cs2!E57</f>
        <v>-53500000</v>
      </c>
      <c r="D23" s="32">
        <f>+austin_cs2!F57</f>
        <v>-53500000</v>
      </c>
      <c r="E23" s="32">
        <f>+austin_cs2!G57</f>
        <v>-53500000</v>
      </c>
      <c r="F23" s="32">
        <f>+austin_cs2!H57</f>
        <v>-56398369</v>
      </c>
      <c r="G23" s="32">
        <f>+austin_cs2!I57</f>
        <v>-56398369</v>
      </c>
      <c r="H23" s="32">
        <f>+austin_cs2!J57</f>
        <v>-57000000</v>
      </c>
      <c r="I23" s="32">
        <f>+austin_cs2!K57</f>
        <v>-57000000</v>
      </c>
      <c r="J23" s="32">
        <f>+austin_cs2!L57</f>
        <v>-57000000</v>
      </c>
      <c r="K23" s="32">
        <f>+austin_cs2!M57</f>
        <v>-57000000</v>
      </c>
      <c r="L23" s="32">
        <f>+austin_cs2!N57</f>
        <v>-57000000</v>
      </c>
      <c r="M23" s="32">
        <f>+austin_cs2!O57</f>
        <v>-70230920.366285712</v>
      </c>
      <c r="N23" s="32">
        <f>+austin_cs2!P57</f>
        <v>-70230920.366285712</v>
      </c>
      <c r="O23" s="32">
        <f>+austin_cs2!Q57</f>
        <v>-70230920.366285712</v>
      </c>
      <c r="Z23" s="218"/>
    </row>
    <row r="24" spans="1:26">
      <c r="A24" t="s">
        <v>129</v>
      </c>
      <c r="B24" s="767" t="s">
        <v>59</v>
      </c>
      <c r="C24" s="32">
        <f>+austin_cs2!E59</f>
        <v>-16609895</v>
      </c>
      <c r="D24" s="32">
        <f>+austin_cs2!F59</f>
        <v>-16609895</v>
      </c>
      <c r="E24" s="32">
        <f>+austin_cs2!G59</f>
        <v>-16609895</v>
      </c>
      <c r="F24" s="32">
        <f>+austin_cs2!H59</f>
        <v>-16609895</v>
      </c>
      <c r="G24" s="32">
        <f>+austin_cs2!I59</f>
        <v>-16609895</v>
      </c>
      <c r="H24" s="32">
        <f>+austin_cs2!J59</f>
        <v>-16609895</v>
      </c>
      <c r="I24" s="32">
        <f>+austin_cs2!K59</f>
        <v>-16609895</v>
      </c>
      <c r="J24" s="32">
        <f>+austin_cs2!L59</f>
        <v>-16609895</v>
      </c>
      <c r="K24" s="32">
        <f>+austin_cs2!M59</f>
        <v>-16609895</v>
      </c>
      <c r="L24" s="32">
        <f>+austin_cs2!N59</f>
        <v>-16609895</v>
      </c>
      <c r="M24" s="32">
        <f>+austin_cs2!O59</f>
        <v>-16609895</v>
      </c>
      <c r="N24" s="32">
        <f>+austin_cs2!P59</f>
        <v>-16609895</v>
      </c>
      <c r="O24" s="32">
        <f>+austin_cs2!Q59</f>
        <v>-16609895</v>
      </c>
      <c r="Z24" s="218"/>
    </row>
    <row r="25" spans="1:26">
      <c r="A25" t="s">
        <v>129</v>
      </c>
      <c r="B25" s="767" t="s">
        <v>133</v>
      </c>
      <c r="C25" s="32">
        <f>+austin_cs2!E62</f>
        <v>-4300000</v>
      </c>
      <c r="D25" s="32">
        <f>+austin_cs2!F62</f>
        <v>-4300000</v>
      </c>
      <c r="E25" s="32">
        <f>+austin_cs2!G62</f>
        <v>-4300000</v>
      </c>
      <c r="F25" s="32">
        <f>+austin_cs2!H62</f>
        <v>-4300000</v>
      </c>
      <c r="G25" s="32">
        <f>+austin_cs2!I62</f>
        <v>-4300000</v>
      </c>
      <c r="H25" s="32">
        <f>+austin_cs2!J62</f>
        <v>-4300000</v>
      </c>
      <c r="I25" s="32">
        <f>+austin_cs2!K62</f>
        <v>-4300000</v>
      </c>
      <c r="J25" s="32">
        <f>+austin_cs2!L62</f>
        <v>-4300000</v>
      </c>
      <c r="K25" s="32">
        <f>+austin_cs2!M62</f>
        <v>-4300000</v>
      </c>
      <c r="L25" s="32">
        <f>+austin_cs2!N62</f>
        <v>-4300000</v>
      </c>
      <c r="M25" s="32">
        <f>+austin_cs2!O62</f>
        <v>-4300000</v>
      </c>
      <c r="N25" s="32">
        <f>+austin_cs2!P62</f>
        <v>-4300000</v>
      </c>
      <c r="O25" s="32">
        <f>+austin_cs2!Q62</f>
        <v>-4300000</v>
      </c>
      <c r="Z25" s="218"/>
    </row>
    <row r="26" spans="1:26">
      <c r="A26" t="s">
        <v>129</v>
      </c>
      <c r="B26" s="767" t="s">
        <v>134</v>
      </c>
      <c r="C26" s="32">
        <f>+austin_cs2!E84-austin_cs2!E83</f>
        <v>0</v>
      </c>
      <c r="D26" s="32">
        <f>+austin_cs2!F84-austin_cs2!F83</f>
        <v>0</v>
      </c>
      <c r="E26" s="32">
        <f>+austin_cs2!G84-austin_cs2!G83</f>
        <v>0</v>
      </c>
      <c r="F26" s="32">
        <f>+austin_cs2!H84-austin_cs2!H83</f>
        <v>0</v>
      </c>
      <c r="G26" s="32">
        <f>+austin_cs2!I84-austin_cs2!I83</f>
        <v>-4196895.6973556336</v>
      </c>
      <c r="H26" s="32">
        <f>+austin_cs2!J84-austin_cs2!J83</f>
        <v>-4334704.6265079249</v>
      </c>
      <c r="I26" s="32">
        <f>+austin_cs2!K84-austin_cs2!K83</f>
        <v>-4478646.1012967657</v>
      </c>
      <c r="J26" s="32">
        <f>+austin_cs2!L84-austin_cs2!L83</f>
        <v>-4629028.8430579603</v>
      </c>
      <c r="K26" s="32">
        <f>+austin_cs2!M84-austin_cs2!M83</f>
        <v>-4784461.0949854217</v>
      </c>
      <c r="L26" s="32">
        <f>+austin_cs2!N84-austin_cs2!N83</f>
        <v>-3951666.4742077221</v>
      </c>
      <c r="M26" s="32">
        <f>+austin_cs2!O84-austin_cs2!O83</f>
        <v>-975331.80578404618</v>
      </c>
      <c r="N26" s="32">
        <f>+austin_cs2!P84-austin_cs2!P83</f>
        <v>-771958.81360219419</v>
      </c>
      <c r="O26" s="32">
        <f>+austin_cs2!Q84-austin_cs2!Q83</f>
        <v>0</v>
      </c>
      <c r="Z26" s="218"/>
    </row>
    <row r="27" spans="1:26">
      <c r="A27" t="s">
        <v>129</v>
      </c>
      <c r="B27" s="767" t="s">
        <v>135</v>
      </c>
      <c r="C27" s="32">
        <f>+austin_cs2!E76-austin_cs2!E75</f>
        <v>0</v>
      </c>
      <c r="D27" s="32">
        <f>+austin_cs2!F76-austin_cs2!F75</f>
        <v>0</v>
      </c>
      <c r="E27" s="32">
        <f>+austin_cs2!G76-austin_cs2!G75</f>
        <v>0</v>
      </c>
      <c r="F27" s="32">
        <f>+austin_cs2!H76-austin_cs2!H75</f>
        <v>0</v>
      </c>
      <c r="G27" s="32">
        <f>+austin_cs2!I76-austin_cs2!I75</f>
        <v>-7753407.414941581</v>
      </c>
      <c r="H27" s="32">
        <f>+austin_cs2!J76-austin_cs2!J75</f>
        <v>-6038275.3593691019</v>
      </c>
      <c r="I27" s="32">
        <f>+austin_cs2!K76-austin_cs2!K75</f>
        <v>-4849926.1457863338</v>
      </c>
      <c r="J27" s="32">
        <f>+austin_cs2!L76-austin_cs2!L75</f>
        <v>-3974250.1732844282</v>
      </c>
      <c r="K27" s="32">
        <f>+austin_cs2!M76-austin_cs2!M75</f>
        <v>-3116853.7677923306</v>
      </c>
      <c r="L27" s="32">
        <f>+austin_cs2!N76-austin_cs2!N75</f>
        <v>0</v>
      </c>
      <c r="M27" s="32">
        <f>+austin_cs2!O76-austin_cs2!O75</f>
        <v>0</v>
      </c>
      <c r="N27" s="32">
        <f>+austin_cs2!P76-austin_cs2!P75</f>
        <v>0</v>
      </c>
      <c r="O27" s="32">
        <f>+austin_cs2!Q76-austin_cs2!Q75</f>
        <v>0</v>
      </c>
      <c r="Z27" s="218"/>
    </row>
    <row r="29" spans="1:26">
      <c r="A29" s="5" t="s">
        <v>136</v>
      </c>
      <c r="B29" s="5"/>
      <c r="C29" s="214"/>
      <c r="D29" s="214"/>
      <c r="E29" s="214"/>
      <c r="F29" s="214"/>
      <c r="G29" s="214"/>
      <c r="H29" s="214"/>
      <c r="I29" s="214"/>
      <c r="J29" s="214"/>
      <c r="K29" s="214"/>
      <c r="L29" s="214"/>
      <c r="M29" s="214"/>
      <c r="N29" s="214"/>
      <c r="O29" s="214"/>
    </row>
    <row r="30" spans="1:26">
      <c r="A30" t="s">
        <v>136</v>
      </c>
      <c r="B30" t="s">
        <v>124</v>
      </c>
      <c r="C30" s="2146">
        <f>+turks_cs2!B20</f>
        <v>0</v>
      </c>
      <c r="D30" s="2146">
        <f>+turks_cs2!C20</f>
        <v>0</v>
      </c>
      <c r="E30" s="2146">
        <f>+turks_cs2!D20</f>
        <v>0</v>
      </c>
      <c r="F30" s="2146">
        <f>+turks_cs2!E20</f>
        <v>0</v>
      </c>
      <c r="G30" s="2146">
        <f>+turks_cs2!F20</f>
        <v>350000</v>
      </c>
      <c r="H30" s="2146">
        <f>+turks_cs2!G20</f>
        <v>0</v>
      </c>
      <c r="I30" s="2146">
        <f>+turks_cs2!H20</f>
        <v>350000</v>
      </c>
      <c r="J30" s="2146">
        <f>+turks_cs2!I20</f>
        <v>0</v>
      </c>
      <c r="K30" s="2146">
        <f>+turks_cs2!J20</f>
        <v>0</v>
      </c>
      <c r="L30" s="2146">
        <f>+turks_cs2!K20</f>
        <v>24375000</v>
      </c>
      <c r="M30" s="2146">
        <f>+turks_cs2!L20</f>
        <v>0</v>
      </c>
      <c r="N30" s="2146">
        <f>+turks_cs2!M20</f>
        <v>986337.26881601196</v>
      </c>
      <c r="O30" s="2146">
        <f>+turks_cs2!N20</f>
        <v>1371287</v>
      </c>
    </row>
    <row r="31" spans="1:26">
      <c r="A31" t="s">
        <v>136</v>
      </c>
      <c r="B31" t="s">
        <v>125</v>
      </c>
      <c r="C31" s="2146">
        <f>+turks_cs2!B27</f>
        <v>0</v>
      </c>
      <c r="D31" s="2146">
        <f>+turks_cs2!C27</f>
        <v>-382967</v>
      </c>
      <c r="E31" s="2146">
        <f>+turks_cs2!D27</f>
        <v>-2326328</v>
      </c>
      <c r="F31" s="2146">
        <f>+turks_cs2!E27</f>
        <v>-3292886</v>
      </c>
      <c r="G31" s="2146">
        <f>+turks_cs2!F27</f>
        <v>-5106622</v>
      </c>
      <c r="H31" s="2146">
        <f>+turks_cs2!G27</f>
        <v>-420000</v>
      </c>
      <c r="I31" s="2146">
        <f>+turks_cs2!H27</f>
        <v>-200000</v>
      </c>
      <c r="J31" s="2146">
        <f>+turks_cs2!I27</f>
        <v>-150000</v>
      </c>
      <c r="K31" s="2146">
        <f>+turks_cs2!J27</f>
        <v>-550000</v>
      </c>
      <c r="L31" s="2146">
        <f>+turks_cs2!K27</f>
        <v>-1361095.8904109588</v>
      </c>
      <c r="M31" s="2146">
        <f>+turks_cs2!L27</f>
        <v>0</v>
      </c>
      <c r="N31" s="2146">
        <f>+turks_cs2!M27</f>
        <v>0</v>
      </c>
      <c r="O31" s="2146">
        <f>+turks_cs2!N27</f>
        <v>0</v>
      </c>
    </row>
    <row r="32" spans="1:26">
      <c r="A32" t="s">
        <v>136</v>
      </c>
      <c r="B32" t="s">
        <v>130</v>
      </c>
      <c r="C32" s="2146">
        <f>+turks_cs2!B70</f>
        <v>30602658.149102613</v>
      </c>
      <c r="D32" s="2146">
        <f>+turks_cs2!C70</f>
        <v>35723216.42177093</v>
      </c>
      <c r="E32" s="2146">
        <f>+turks_cs2!D70</f>
        <v>38565928.424821809</v>
      </c>
      <c r="F32" s="2146">
        <f>+turks_cs2!E70</f>
        <v>40379580.576386034</v>
      </c>
      <c r="G32" s="2146">
        <f>+turks_cs2!F70</f>
        <v>40032700.798691444</v>
      </c>
      <c r="H32" s="2146">
        <f>+turks_cs2!G70</f>
        <v>36265000.089758396</v>
      </c>
      <c r="I32" s="2146">
        <f>+turks_cs2!H70</f>
        <v>38900747.169811323</v>
      </c>
      <c r="J32" s="2146">
        <f>+turks_cs2!I70</f>
        <v>41760245.297078438</v>
      </c>
      <c r="K32" s="2146">
        <f>+turks_cs2!J70</f>
        <v>50265874.093843371</v>
      </c>
      <c r="L32" s="2146">
        <f>+turks_cs2!K70</f>
        <v>32637075</v>
      </c>
      <c r="M32" s="2146">
        <f>+turks_cs2!L70</f>
        <v>33952187.25</v>
      </c>
      <c r="N32" s="2146">
        <f>+turks_cs2!M70</f>
        <v>35273002.8675</v>
      </c>
      <c r="O32" s="2146">
        <f>+turks_cs2!N70</f>
        <v>37231192.953525007</v>
      </c>
    </row>
    <row r="34" spans="1:15">
      <c r="A34" s="5" t="s">
        <v>137</v>
      </c>
      <c r="B34" s="5"/>
      <c r="C34" s="214"/>
      <c r="D34" s="214"/>
      <c r="E34" s="214"/>
      <c r="F34" s="214"/>
      <c r="G34" s="214"/>
      <c r="H34" s="214"/>
      <c r="I34" s="214"/>
      <c r="J34" s="214"/>
      <c r="K34" s="214"/>
      <c r="L34" s="214"/>
      <c r="M34" s="214"/>
      <c r="N34" s="214"/>
      <c r="O34" s="214"/>
    </row>
    <row r="35" spans="1:15">
      <c r="A35" t="s">
        <v>137</v>
      </c>
      <c r="B35" t="s">
        <v>95</v>
      </c>
      <c r="C35" s="2196">
        <f>+frith_cs2!B56</f>
        <v>0</v>
      </c>
      <c r="D35" s="2196">
        <f>+frith_cs2!C56</f>
        <v>0</v>
      </c>
      <c r="E35" s="2196">
        <f>+frith_cs2!D56</f>
        <v>0.8</v>
      </c>
      <c r="F35" s="2196">
        <f>+frith_cs2!E56</f>
        <v>0.8</v>
      </c>
      <c r="G35" s="2196">
        <f>+frith_cs2!F56</f>
        <v>0.8</v>
      </c>
      <c r="H35" s="2196">
        <f>+frith_cs2!G56</f>
        <v>0.8</v>
      </c>
      <c r="I35" s="2196">
        <f>+frith_cs2!H56</f>
        <v>0.8</v>
      </c>
      <c r="J35" s="2196">
        <f>+frith_cs2!I56</f>
        <v>0.8</v>
      </c>
      <c r="K35" s="2196">
        <f>+frith_cs2!J56</f>
        <v>0.85599999999999998</v>
      </c>
      <c r="L35" s="2196">
        <f>+frith_cs2!K56</f>
        <v>0</v>
      </c>
      <c r="M35" s="2196">
        <f>+frith_cs2!L56</f>
        <v>0</v>
      </c>
      <c r="N35" s="2196">
        <f>+frith_cs2!M56</f>
        <v>0</v>
      </c>
      <c r="O35" s="2196">
        <f>+frith_cs2!N56</f>
        <v>0</v>
      </c>
    </row>
    <row r="36" spans="1:15">
      <c r="A36" t="s">
        <v>137</v>
      </c>
      <c r="B36" t="s">
        <v>124</v>
      </c>
      <c r="C36" s="2146">
        <f>+frith_cs2!B17</f>
        <v>0</v>
      </c>
      <c r="D36" s="2146">
        <f>+frith_cs2!C17</f>
        <v>0</v>
      </c>
      <c r="E36" s="2146">
        <f>+frith_cs2!D17</f>
        <v>0</v>
      </c>
      <c r="F36" s="2146">
        <f>+frith_cs2!E17</f>
        <v>0</v>
      </c>
      <c r="G36" s="2146">
        <f>+frith_cs2!F17</f>
        <v>0</v>
      </c>
      <c r="H36" s="2146">
        <f>+frith_cs2!G17</f>
        <v>2400000</v>
      </c>
      <c r="I36" s="2146">
        <f>+frith_cs2!H17</f>
        <v>3600000</v>
      </c>
      <c r="J36" s="2146">
        <f>+frith_cs2!I17</f>
        <v>0</v>
      </c>
      <c r="K36" s="2146">
        <f>+frith_cs2!J17</f>
        <v>16900000</v>
      </c>
      <c r="L36" s="2146">
        <f>+frith_cs2!K17</f>
        <v>0</v>
      </c>
      <c r="M36" s="2146">
        <f>+frith_cs2!L17</f>
        <v>0</v>
      </c>
      <c r="N36" s="2146">
        <f>+frith_cs2!M17</f>
        <v>0</v>
      </c>
      <c r="O36" s="2146">
        <f>+frith_cs2!N17</f>
        <v>0</v>
      </c>
    </row>
    <row r="37" spans="1:15">
      <c r="A37" t="s">
        <v>137</v>
      </c>
      <c r="B37" t="s">
        <v>125</v>
      </c>
      <c r="C37" s="2146">
        <f>+frith_cs2!B24</f>
        <v>0</v>
      </c>
      <c r="D37" s="2146">
        <f>+frith_cs2!C24</f>
        <v>0</v>
      </c>
      <c r="E37" s="2146">
        <f>+frith_cs2!D24</f>
        <v>0</v>
      </c>
      <c r="F37" s="2146">
        <f>+frith_cs2!E24</f>
        <v>0</v>
      </c>
      <c r="G37" s="2146">
        <f>+frith_cs2!F24</f>
        <v>-860000</v>
      </c>
      <c r="H37" s="2146">
        <f>+frith_cs2!G24</f>
        <v>0</v>
      </c>
      <c r="I37" s="2146">
        <f>+frith_cs2!H24</f>
        <v>-1750000</v>
      </c>
      <c r="J37" s="2146">
        <f>+frith_cs2!I24</f>
        <v>0</v>
      </c>
      <c r="K37" s="2146">
        <f>+frith_cs2!J24</f>
        <v>0</v>
      </c>
      <c r="L37" s="2146">
        <f>+frith_cs2!K24</f>
        <v>0</v>
      </c>
      <c r="M37" s="2146">
        <f>+frith_cs2!L24</f>
        <v>0</v>
      </c>
      <c r="N37" s="2146">
        <f>+frith_cs2!M24</f>
        <v>0</v>
      </c>
      <c r="O37" s="2146">
        <f>+frith_cs2!N24</f>
        <v>0</v>
      </c>
    </row>
    <row r="38" spans="1:15">
      <c r="A38" t="s">
        <v>137</v>
      </c>
      <c r="B38" t="s">
        <v>130</v>
      </c>
      <c r="C38" s="2146">
        <f>+frith_cs2!B60</f>
        <v>0</v>
      </c>
      <c r="D38" s="2146">
        <f>+frith_cs2!C60</f>
        <v>11353679.54322795</v>
      </c>
      <c r="E38" s="2146">
        <f>+frith_cs2!D60</f>
        <v>13799239.652720192</v>
      </c>
      <c r="F38" s="2146">
        <f>+frith_cs2!E60</f>
        <v>15549102.824653054</v>
      </c>
      <c r="G38" s="2146">
        <f>+frith_cs2!F60</f>
        <v>15839974.24952361</v>
      </c>
      <c r="H38" s="2146">
        <f>+frith_cs2!G60</f>
        <v>15929659.409396553</v>
      </c>
      <c r="I38" s="2146">
        <f>+frith_cs2!H60</f>
        <v>15182357.230999554</v>
      </c>
      <c r="J38" s="2146">
        <f>+frith_cs2!I60</f>
        <v>17072719.878932104</v>
      </c>
      <c r="K38" s="2146">
        <f>+frith_cs2!J60</f>
        <v>0</v>
      </c>
      <c r="L38" s="2146">
        <f>+frith_cs2!K60</f>
        <v>0</v>
      </c>
      <c r="M38" s="2146">
        <f>+frith_cs2!L60</f>
        <v>0</v>
      </c>
      <c r="N38" s="2146">
        <f>+frith_cs2!M60</f>
        <v>0</v>
      </c>
      <c r="O38" s="2146">
        <f>+frith_cs2!N60</f>
        <v>0</v>
      </c>
    </row>
    <row r="39" spans="1:15">
      <c r="A39" t="s">
        <v>137</v>
      </c>
      <c r="B39" s="767" t="s">
        <v>66</v>
      </c>
      <c r="C39" s="32">
        <f>+frith_cs2!B49</f>
        <v>0</v>
      </c>
      <c r="D39" s="32">
        <f>+frith_cs2!C49</f>
        <v>0</v>
      </c>
      <c r="E39" s="32">
        <f>+frith_cs2!D49</f>
        <v>0</v>
      </c>
      <c r="F39" s="32">
        <f>+frith_cs2!E49</f>
        <v>0</v>
      </c>
      <c r="G39" s="32">
        <f>+frith_cs2!F49</f>
        <v>-1750000</v>
      </c>
      <c r="H39" s="32">
        <f>+frith_cs2!G49</f>
        <v>-1750000</v>
      </c>
      <c r="I39" s="32">
        <f>+frith_cs2!H49</f>
        <v>0</v>
      </c>
      <c r="J39" s="32">
        <f>+frith_cs2!I49</f>
        <v>0</v>
      </c>
      <c r="K39" s="32">
        <f>+frith_cs2!J49</f>
        <v>0</v>
      </c>
      <c r="L39" s="32">
        <f>+frith_cs2!K49</f>
        <v>0</v>
      </c>
      <c r="M39" s="32">
        <f>+frith_cs2!L49</f>
        <v>0</v>
      </c>
      <c r="N39" s="32">
        <f>+frith_cs2!M49</f>
        <v>0</v>
      </c>
      <c r="O39" s="32">
        <f>+frith_cs2!N49</f>
        <v>0</v>
      </c>
    </row>
    <row r="40" spans="1:15">
      <c r="B40" s="2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</row>
    <row r="41" spans="1:15">
      <c r="A41" s="5" t="s">
        <v>138</v>
      </c>
      <c r="B41" s="5"/>
      <c r="C41" s="214"/>
      <c r="D41" s="214"/>
      <c r="E41" s="214"/>
      <c r="F41" s="214"/>
      <c r="G41" s="214"/>
      <c r="H41" s="214"/>
      <c r="I41" s="214"/>
      <c r="J41" s="214"/>
      <c r="K41" s="214"/>
      <c r="L41" s="214"/>
      <c r="M41" s="214"/>
      <c r="N41" s="214"/>
      <c r="O41" s="214"/>
    </row>
    <row r="42" spans="1:15">
      <c r="A42" t="s">
        <v>138</v>
      </c>
      <c r="B42" t="s">
        <v>95</v>
      </c>
      <c r="C42" s="2197">
        <f>+elbow_cs2!B55</f>
        <v>1</v>
      </c>
      <c r="D42" s="2197">
        <f>+elbow_cs2!C55</f>
        <v>1</v>
      </c>
      <c r="E42" s="2197">
        <f>+elbow_cs2!D55</f>
        <v>1</v>
      </c>
      <c r="F42" s="2197">
        <f>+elbow_cs2!E55</f>
        <v>1</v>
      </c>
      <c r="G42" s="2197">
        <f>+elbow_cs2!F55</f>
        <v>1</v>
      </c>
      <c r="H42" s="2197">
        <f>+elbow_cs2!G55</f>
        <v>1</v>
      </c>
      <c r="I42" s="2197">
        <f>+elbow_cs2!H55</f>
        <v>1</v>
      </c>
      <c r="J42" s="2197">
        <f>+elbow_cs2!I55</f>
        <v>1</v>
      </c>
      <c r="K42" s="2197">
        <f>+elbow_cs2!J55</f>
        <v>1</v>
      </c>
      <c r="L42" s="2197">
        <f>+elbow_cs2!K55</f>
        <v>1</v>
      </c>
      <c r="M42" s="2197">
        <f>+elbow_cs2!L55</f>
        <v>1</v>
      </c>
      <c r="N42" s="2197">
        <f>+elbow_cs2!M55</f>
        <v>1</v>
      </c>
      <c r="O42" s="2197">
        <f>+elbow_cs2!N55</f>
        <v>1</v>
      </c>
    </row>
    <row r="43" spans="1:15">
      <c r="A43" t="s">
        <v>138</v>
      </c>
      <c r="B43" t="s">
        <v>124</v>
      </c>
      <c r="C43" s="2146">
        <f>+elbow_cs2!B18</f>
        <v>0</v>
      </c>
      <c r="D43" s="2146">
        <f>+elbow_cs2!C18</f>
        <v>0</v>
      </c>
      <c r="E43" s="2146">
        <f>+elbow_cs2!D18</f>
        <v>2500000</v>
      </c>
      <c r="F43" s="2146">
        <f>+elbow_cs2!E18</f>
        <v>2500000</v>
      </c>
      <c r="G43" s="2146">
        <f>+elbow_cs2!F18</f>
        <v>6137500</v>
      </c>
      <c r="H43" s="2146">
        <f>+elbow_cs2!G18</f>
        <v>5640000</v>
      </c>
      <c r="I43" s="2146">
        <f>+elbow_cs2!H18</f>
        <v>7300000</v>
      </c>
      <c r="J43" s="2146">
        <f>+elbow_cs2!I18</f>
        <v>0</v>
      </c>
      <c r="K43" s="2146">
        <f>+elbow_cs2!J18</f>
        <v>0</v>
      </c>
      <c r="L43" s="2146">
        <f>+elbow_cs2!K18</f>
        <v>0</v>
      </c>
      <c r="M43" s="2146">
        <f>+elbow_cs2!L18</f>
        <v>0</v>
      </c>
      <c r="N43" s="2146">
        <f>+elbow_cs2!M18</f>
        <v>0</v>
      </c>
      <c r="O43" s="2146">
        <f>+elbow_cs2!N18</f>
        <v>0</v>
      </c>
    </row>
    <row r="44" spans="1:15">
      <c r="A44" t="s">
        <v>138</v>
      </c>
      <c r="B44" t="s">
        <v>125</v>
      </c>
      <c r="C44" s="2146">
        <f>+elbow_cs2!B24</f>
        <v>0</v>
      </c>
      <c r="D44" s="2146">
        <f>+elbow_cs2!C24</f>
        <v>-2500000</v>
      </c>
      <c r="E44" s="2146">
        <f>+elbow_cs2!D24</f>
        <v>0</v>
      </c>
      <c r="F44" s="2146">
        <f>+elbow_cs2!E24</f>
        <v>0</v>
      </c>
      <c r="G44" s="2146">
        <f>+elbow_cs2!F24</f>
        <v>0</v>
      </c>
      <c r="H44" s="2146">
        <f>+elbow_cs2!G24</f>
        <v>-1000000</v>
      </c>
      <c r="I44" s="2146">
        <f>+elbow_cs2!H24</f>
        <v>-2040000</v>
      </c>
      <c r="J44" s="2146">
        <f>+elbow_cs2!I24</f>
        <v>-2000000</v>
      </c>
      <c r="K44" s="2146">
        <f>+elbow_cs2!J24</f>
        <v>-8250000</v>
      </c>
      <c r="L44" s="2146">
        <f>+elbow_cs2!K24</f>
        <v>0</v>
      </c>
      <c r="M44" s="2146">
        <f>+elbow_cs2!L24</f>
        <v>0</v>
      </c>
      <c r="N44" s="2146">
        <f>+elbow_cs2!M24</f>
        <v>-15000000</v>
      </c>
      <c r="O44" s="2146">
        <f>+elbow_cs2!N24</f>
        <v>0</v>
      </c>
    </row>
    <row r="45" spans="1:15">
      <c r="A45" t="s">
        <v>138</v>
      </c>
      <c r="B45" t="s">
        <v>130</v>
      </c>
      <c r="C45" s="2146">
        <f>+elbow_cs2!B53</f>
        <v>5000000</v>
      </c>
      <c r="D45" s="2146">
        <f>+elbow_cs2!C53</f>
        <v>17383391.370336019</v>
      </c>
      <c r="E45" s="2146">
        <f>+elbow_cs2!D53</f>
        <v>19070671.377654947</v>
      </c>
      <c r="F45" s="2146">
        <f>+elbow_cs2!E53</f>
        <v>20943032.234737165</v>
      </c>
      <c r="G45" s="2146">
        <f>+elbow_cs2!F53</f>
        <v>22999221.710629381</v>
      </c>
      <c r="H45" s="2146">
        <f>+elbow_cs2!G53</f>
        <v>28009536.136664666</v>
      </c>
      <c r="I45" s="2146">
        <f>+elbow_cs2!H53</f>
        <v>30460556.806394603</v>
      </c>
      <c r="J45" s="2146">
        <f>+elbow_cs2!I53</f>
        <v>33156609.146139551</v>
      </c>
      <c r="K45" s="2146">
        <f>+elbow_cs2!J53</f>
        <v>36091288.056792036</v>
      </c>
      <c r="L45" s="2146">
        <f>+elbow_cs2!K53</f>
        <v>56628545.428496853</v>
      </c>
      <c r="M45" s="2146">
        <f>+elbow_cs2!L53</f>
        <v>76968139.315230623</v>
      </c>
      <c r="N45" s="2146">
        <f>+elbow_cs2!M53</f>
        <v>97729625</v>
      </c>
      <c r="O45" s="2146">
        <f>+elbow_cs2!N53</f>
        <v>104879625</v>
      </c>
    </row>
    <row r="46" spans="1:15">
      <c r="A46" t="s">
        <v>138</v>
      </c>
      <c r="B46" s="767" t="s">
        <v>66</v>
      </c>
      <c r="C46" s="2146">
        <f>+elbow_cs2!B51</f>
        <v>0</v>
      </c>
      <c r="D46" s="2146">
        <f>+elbow_cs2!C51</f>
        <v>0</v>
      </c>
      <c r="E46" s="2146">
        <f>+elbow_cs2!D51</f>
        <v>0</v>
      </c>
      <c r="F46" s="2146">
        <f>+elbow_cs2!E51</f>
        <v>0</v>
      </c>
      <c r="G46" s="2146">
        <f>+elbow_cs2!F51</f>
        <v>0</v>
      </c>
      <c r="H46" s="2146">
        <f>+elbow_cs2!G51</f>
        <v>0</v>
      </c>
      <c r="I46" s="2146">
        <f>+elbow_cs2!H51</f>
        <v>0</v>
      </c>
      <c r="J46" s="2146">
        <f>+elbow_cs2!I51</f>
        <v>0</v>
      </c>
      <c r="K46" s="2146">
        <f>+elbow_cs2!J51</f>
        <v>0</v>
      </c>
      <c r="L46" s="2146">
        <f>+elbow_cs2!K51</f>
        <v>0</v>
      </c>
      <c r="M46" s="2146">
        <f>+elbow_cs2!L51</f>
        <v>0</v>
      </c>
      <c r="N46" s="2146">
        <f>+elbow_cs2!M51</f>
        <v>0</v>
      </c>
      <c r="O46" s="2146">
        <f>+elbow_cs2!N51</f>
        <v>-45270375</v>
      </c>
    </row>
    <row r="47" spans="1:15">
      <c r="A47" t="s">
        <v>138</v>
      </c>
      <c r="B47" s="767" t="s">
        <v>11</v>
      </c>
      <c r="L47" s="32"/>
      <c r="M47" s="32"/>
      <c r="N47" s="32"/>
      <c r="O47" s="32"/>
    </row>
    <row r="48" spans="1:15">
      <c r="K48" s="3"/>
    </row>
    <row r="49" spans="1:15">
      <c r="A49" s="5" t="s">
        <v>139</v>
      </c>
      <c r="B49" s="5"/>
      <c r="C49" s="214"/>
      <c r="D49" s="214"/>
      <c r="E49" s="214"/>
      <c r="F49" s="214"/>
      <c r="G49" s="214"/>
      <c r="H49" s="214"/>
      <c r="I49" s="214"/>
      <c r="J49" s="214"/>
      <c r="K49" s="214"/>
      <c r="L49" s="214"/>
      <c r="M49" s="214"/>
      <c r="N49" s="214"/>
      <c r="O49" s="214"/>
    </row>
    <row r="50" spans="1:15">
      <c r="K50" s="3"/>
    </row>
    <row r="51" spans="1:15">
      <c r="A51" s="5" t="s">
        <v>140</v>
      </c>
      <c r="B51" s="5"/>
      <c r="C51" s="214"/>
      <c r="D51" s="214"/>
      <c r="E51" s="214"/>
      <c r="F51" s="214"/>
      <c r="G51" s="214"/>
      <c r="H51" s="214"/>
      <c r="I51" s="214"/>
      <c r="J51" s="214"/>
      <c r="K51" s="214"/>
      <c r="L51" s="214"/>
      <c r="M51" s="214"/>
      <c r="N51" s="214"/>
      <c r="O51" s="214"/>
    </row>
    <row r="52" spans="1:15">
      <c r="A52" t="s">
        <v>140</v>
      </c>
      <c r="B52" s="766" t="s">
        <v>141</v>
      </c>
    </row>
    <row r="53" spans="1:15">
      <c r="A53" s="5" t="s">
        <v>140</v>
      </c>
      <c r="B53" s="769" t="s">
        <v>142</v>
      </c>
      <c r="C53" s="32">
        <f>+'c12_oc'!B25</f>
        <v>0</v>
      </c>
      <c r="D53" s="32">
        <f>+'c12_oc'!C25</f>
        <v>-360000</v>
      </c>
      <c r="E53" s="32">
        <f>+'c12_oc'!D25</f>
        <v>-360000</v>
      </c>
      <c r="F53" s="32">
        <f>+'c12_oc'!E25</f>
        <v>-360000</v>
      </c>
      <c r="G53" s="32">
        <f>+'c12_oc'!F25</f>
        <v>-593775</v>
      </c>
      <c r="H53" s="32">
        <f>+'c12_oc'!G25</f>
        <v>-453600</v>
      </c>
      <c r="I53" s="32">
        <f>+'c12_oc'!H25</f>
        <v>-484560</v>
      </c>
      <c r="J53" s="32">
        <f>+'c12_oc'!I25</f>
        <v>-515520</v>
      </c>
      <c r="K53" s="32">
        <f>+'c12_oc'!J25</f>
        <v>-1066190</v>
      </c>
      <c r="L53" s="32">
        <f>+'c12_oc'!K25</f>
        <v>-3123806.6999999997</v>
      </c>
      <c r="M53" s="32">
        <f>+'c12_oc'!L25</f>
        <v>-3251086.8599999994</v>
      </c>
      <c r="N53" s="32">
        <f>+'c12_oc'!M25</f>
        <v>-3384731.0279999995</v>
      </c>
      <c r="O53" s="32">
        <f>+'c12_oc'!N25</f>
        <v>-3525057.4043999994</v>
      </c>
    </row>
    <row r="54" spans="1:15">
      <c r="A54" t="s">
        <v>140</v>
      </c>
      <c r="B54" s="769" t="s">
        <v>143</v>
      </c>
      <c r="C54" s="32">
        <f>+'c12_oc'!B26</f>
        <v>0</v>
      </c>
      <c r="D54" s="32">
        <f>+'c12_oc'!C26</f>
        <v>-204479.99999999997</v>
      </c>
      <c r="E54" s="32">
        <f>+'c12_oc'!D26</f>
        <v>-204479.99999999997</v>
      </c>
      <c r="F54" s="32">
        <f>+'c12_oc'!E26</f>
        <v>-228959.99999999997</v>
      </c>
      <c r="G54" s="32">
        <f>+'c12_oc'!F26</f>
        <v>-444552.49999999994</v>
      </c>
      <c r="H54" s="32">
        <f>+'c12_oc'!G26</f>
        <v>-231839.99999999997</v>
      </c>
      <c r="I54" s="32">
        <f>+'c12_oc'!H26</f>
        <v>-375840</v>
      </c>
      <c r="J54" s="32">
        <f>+'c12_oc'!I26</f>
        <v>-375840</v>
      </c>
      <c r="K54" s="32">
        <f>+'c12_oc'!J26</f>
        <v>-721307.5</v>
      </c>
      <c r="L54" s="32">
        <f>+'c12_oc'!K26</f>
        <v>-1942337.5</v>
      </c>
      <c r="M54" s="32">
        <f>+'c12_oc'!L26</f>
        <v>-1942337.5</v>
      </c>
      <c r="N54" s="32">
        <f>+'c12_oc'!M26</f>
        <v>-1942337.5</v>
      </c>
      <c r="O54" s="32">
        <f>+'c12_oc'!N26</f>
        <v>-1942337.5</v>
      </c>
    </row>
    <row r="55" spans="1:15">
      <c r="A55" s="5" t="s">
        <v>140</v>
      </c>
      <c r="B55" s="769" t="s">
        <v>144</v>
      </c>
      <c r="C55" s="32">
        <f>+'c12_oc'!B27</f>
        <v>0</v>
      </c>
      <c r="D55" s="32">
        <f>+'c12_oc'!C27</f>
        <v>-429119.99999999994</v>
      </c>
      <c r="E55" s="32">
        <f>+'c12_oc'!D27</f>
        <v>-429119.99999999994</v>
      </c>
      <c r="F55" s="32">
        <f>+'c12_oc'!E27</f>
        <v>-429119.99999999994</v>
      </c>
      <c r="G55" s="32">
        <f>+'c12_oc'!F27</f>
        <v>-1583449</v>
      </c>
      <c r="H55" s="32">
        <f>+'c12_oc'!G27</f>
        <v>-610559.99999999988</v>
      </c>
      <c r="I55" s="32">
        <f>+'c12_oc'!H27</f>
        <v>-610559.99999999988</v>
      </c>
      <c r="J55" s="32">
        <f>+'c12_oc'!I27</f>
        <v>-610559.99999999988</v>
      </c>
      <c r="K55" s="32">
        <f>+'c12_oc'!J27</f>
        <v>-1458384</v>
      </c>
      <c r="L55" s="32">
        <f>+'c12_oc'!K27</f>
        <v>-3290064</v>
      </c>
      <c r="M55" s="32">
        <f>+'c12_oc'!L27</f>
        <v>-3290064</v>
      </c>
      <c r="N55" s="32">
        <f>+'c12_oc'!M27</f>
        <v>-2290065</v>
      </c>
      <c r="O55" s="32">
        <f>+'c12_oc'!N27</f>
        <v>-2290065</v>
      </c>
    </row>
    <row r="56" spans="1:15">
      <c r="A56" t="s">
        <v>140</v>
      </c>
      <c r="B56" s="770" t="s">
        <v>145</v>
      </c>
      <c r="C56" s="32">
        <f>+'c12_oc'!B30</f>
        <v>-480000</v>
      </c>
      <c r="D56" s="32">
        <f>+'c12_oc'!C30</f>
        <v>-112553</v>
      </c>
      <c r="E56" s="32">
        <f>+'c12_oc'!D30</f>
        <v>-186705</v>
      </c>
      <c r="F56" s="32">
        <f>+'c12_oc'!E30</f>
        <v>-148699</v>
      </c>
      <c r="G56" s="32">
        <f>+'c12_oc'!F30</f>
        <v>-249431</v>
      </c>
      <c r="H56" s="32">
        <f>+'c12_oc'!G30</f>
        <v>-174347</v>
      </c>
      <c r="I56" s="32">
        <f>+'c12_oc'!H30</f>
        <v>-174347</v>
      </c>
      <c r="J56" s="32">
        <f>+'c12_oc'!I30</f>
        <v>-174347</v>
      </c>
      <c r="K56" s="32">
        <f>+'c12_oc'!J30</f>
        <v>-174347</v>
      </c>
      <c r="L56" s="32">
        <f>+'c12_oc'!K30</f>
        <v>-697388</v>
      </c>
      <c r="M56" s="32">
        <f>+'c12_oc'!L30</f>
        <v>-697388</v>
      </c>
      <c r="N56" s="32">
        <f>+'c12_oc'!M30</f>
        <v>-697388</v>
      </c>
      <c r="O56" s="32">
        <f>+'c12_oc'!N30</f>
        <v>-697388</v>
      </c>
    </row>
    <row r="57" spans="1:15">
      <c r="A57" s="5" t="s">
        <v>140</v>
      </c>
      <c r="B57" s="771" t="s">
        <v>146</v>
      </c>
      <c r="C57" s="32">
        <f>+'c12_oc'!B31</f>
        <v>0</v>
      </c>
      <c r="D57" s="32">
        <f>+'c12_oc'!C31</f>
        <v>0</v>
      </c>
      <c r="E57" s="32">
        <f>+'c12_oc'!D31</f>
        <v>0</v>
      </c>
      <c r="F57" s="32">
        <f>+'c12_oc'!E31</f>
        <v>0</v>
      </c>
      <c r="G57" s="32">
        <f>+'c12_oc'!F31</f>
        <v>0</v>
      </c>
      <c r="H57" s="32">
        <f>+'c12_oc'!G31</f>
        <v>0</v>
      </c>
      <c r="I57" s="32">
        <f>+'c12_oc'!H31</f>
        <v>-100000</v>
      </c>
      <c r="J57" s="32">
        <f>+'c12_oc'!I31</f>
        <v>-100000</v>
      </c>
      <c r="K57" s="32">
        <f>+'c12_oc'!J31</f>
        <v>0</v>
      </c>
      <c r="L57" s="32">
        <f>+'c12_oc'!K31</f>
        <v>0</v>
      </c>
      <c r="M57" s="32">
        <f>+'c12_oc'!L31</f>
        <v>0</v>
      </c>
      <c r="N57" s="32">
        <f>+'c12_oc'!M31</f>
        <v>0</v>
      </c>
      <c r="O57" s="32">
        <f>+'c12_oc'!N31</f>
        <v>0</v>
      </c>
    </row>
    <row r="58" spans="1:15">
      <c r="A58" t="s">
        <v>140</v>
      </c>
      <c r="B58" s="771" t="s">
        <v>147</v>
      </c>
      <c r="C58" s="32">
        <f>+'c12_oc'!B44</f>
        <v>0</v>
      </c>
      <c r="D58" s="32">
        <f>+'c12_oc'!C44</f>
        <v>-41760</v>
      </c>
      <c r="E58" s="32">
        <f>+'c12_oc'!D44</f>
        <v>-41760</v>
      </c>
      <c r="F58" s="32">
        <f>+'c12_oc'!E44</f>
        <v>-41760</v>
      </c>
      <c r="G58" s="32">
        <f>+'c12_oc'!F44</f>
        <v>-52150</v>
      </c>
      <c r="H58" s="32">
        <f>+'c12_oc'!G44</f>
        <v>-42056.639999999999</v>
      </c>
      <c r="I58" s="32">
        <f>+'c12_oc'!H44</f>
        <v>-42056.639999999999</v>
      </c>
      <c r="J58" s="32">
        <f>+'c12_oc'!I44</f>
        <v>-42056.639999999999</v>
      </c>
      <c r="K58" s="32">
        <f>+'c12_oc'!J44</f>
        <v>-52498.590000000004</v>
      </c>
      <c r="L58" s="32">
        <f>+'c12_oc'!K44</f>
        <v>-42056.639999999999</v>
      </c>
      <c r="M58" s="32">
        <f>+'c12_oc'!L44</f>
        <v>-42056.639999999999</v>
      </c>
      <c r="N58" s="32">
        <f>+'c12_oc'!M44</f>
        <v>-42056.639999999999</v>
      </c>
      <c r="O58" s="32">
        <f>+'c12_oc'!N44</f>
        <v>-42056.639999999999</v>
      </c>
    </row>
    <row r="59" spans="1:15">
      <c r="A59" s="5" t="s">
        <v>140</v>
      </c>
      <c r="B59" s="772" t="s">
        <v>148</v>
      </c>
      <c r="C59" s="32">
        <f>+'c12_oc'!B33</f>
        <v>0</v>
      </c>
      <c r="D59" s="32">
        <f>+'c12_oc'!C33</f>
        <v>0</v>
      </c>
      <c r="E59" s="32">
        <f>+'c12_oc'!D33</f>
        <v>0</v>
      </c>
      <c r="F59" s="32">
        <f>+'c12_oc'!E33</f>
        <v>0</v>
      </c>
      <c r="G59" s="32">
        <f>+'c12_oc'!F33</f>
        <v>-191999.99999999997</v>
      </c>
      <c r="H59" s="32">
        <f>+'c12_oc'!G33</f>
        <v>-317367.36</v>
      </c>
      <c r="I59" s="32">
        <f>+'c12_oc'!H33</f>
        <v>-317367.36</v>
      </c>
      <c r="J59" s="32">
        <f>+'c12_oc'!I33</f>
        <v>-317367.36</v>
      </c>
      <c r="K59" s="32">
        <f>+'c12_oc'!J33</f>
        <v>-322510.40999999997</v>
      </c>
      <c r="L59" s="32">
        <f>+'c12_oc'!K33</f>
        <v>-1411224.36</v>
      </c>
      <c r="M59" s="32">
        <f>+'c12_oc'!L33</f>
        <v>-1411224.36</v>
      </c>
      <c r="N59" s="32">
        <f>+'c12_oc'!M33</f>
        <v>-1411224.36</v>
      </c>
      <c r="O59" s="32">
        <f>+'c12_oc'!N33</f>
        <v>-1411224.36</v>
      </c>
    </row>
    <row r="60" spans="1:15">
      <c r="A60" t="s">
        <v>140</v>
      </c>
      <c r="B60" s="772" t="s">
        <v>149</v>
      </c>
      <c r="C60" s="32">
        <f>-(+bermuda_cs2!B$31+elbow_cs2!B$29+austin_cs2!E$33+turks_cs2!B$32+frith_cs2!B$29)</f>
        <v>0</v>
      </c>
      <c r="D60" s="32">
        <f>-(+bermuda_cs2!C$31+elbow_cs2!C$29+austin_cs2!F$33+turks_cs2!C$32+frith_cs2!C$29)</f>
        <v>0</v>
      </c>
      <c r="E60" s="32">
        <f>-(+bermuda_cs2!D$31+elbow_cs2!D$29+austin_cs2!G$33+turks_cs2!D$32+frith_cs2!D$29)</f>
        <v>0</v>
      </c>
      <c r="F60" s="32">
        <f>-(+bermuda_cs2!E$31+elbow_cs2!E$29+austin_cs2!H$33+turks_cs2!E$32+frith_cs2!E$29)</f>
        <v>0</v>
      </c>
      <c r="G60" s="32">
        <f>-(+bermuda_cs2!F$31+elbow_cs2!F$29+austin_cs2!I$33+turks_cs2!F$32+frith_cs2!F$29)</f>
        <v>0</v>
      </c>
      <c r="H60" s="32">
        <f>-(+bermuda_cs2!G$31+elbow_cs2!G$29+austin_cs2!J$33+turks_cs2!G$32+frith_cs2!G$29)</f>
        <v>0</v>
      </c>
      <c r="I60" s="32">
        <f>-(+bermuda_cs2!H$31+elbow_cs2!H$29+austin_cs2!K$33+turks_cs2!H$32+frith_cs2!H$29)</f>
        <v>0</v>
      </c>
      <c r="J60" s="32">
        <f>-(+bermuda_cs2!I$31+elbow_cs2!I$29+austin_cs2!L$33+turks_cs2!I$32+frith_cs2!I$29)</f>
        <v>0</v>
      </c>
      <c r="K60" s="32">
        <f>-(+bermuda_cs2!J$31+elbow_cs2!J$29+austin_cs2!M$33+turks_cs2!J$32+frith_cs2!J$29)</f>
        <v>1000000</v>
      </c>
      <c r="L60" s="32">
        <f>-(+bermuda_cs2!K$31+elbow_cs2!K$29+austin_cs2!N$33+turks_cs2!K$32+frith_cs2!K$29)</f>
        <v>2300000</v>
      </c>
      <c r="M60" s="32">
        <f>-(+bermuda_cs2!L$31+elbow_cs2!L$29+austin_cs2!O$33+turks_cs2!L$32+frith_cs2!L$29)</f>
        <v>0</v>
      </c>
      <c r="N60" s="32">
        <f>-(+bermuda_cs2!M$31+elbow_cs2!M$29+austin_cs2!P$33+turks_cs2!M$32+frith_cs2!M$29)</f>
        <v>0</v>
      </c>
      <c r="O60" s="32">
        <f>-(+bermuda_cs2!N$31+elbow_cs2!N$29+austin_cs2!Q$33+turks_cs2!N$32+frith_cs2!N$29)</f>
        <v>0</v>
      </c>
    </row>
    <row r="61" spans="1:15">
      <c r="A61" s="5" t="s">
        <v>140</v>
      </c>
      <c r="B61" s="768" t="s">
        <v>150</v>
      </c>
      <c r="C61" s="32">
        <f>+'c12_oc'!B29</f>
        <v>0</v>
      </c>
      <c r="D61" s="32">
        <f>+'c12_oc'!C29</f>
        <v>-47485</v>
      </c>
      <c r="E61" s="32">
        <f>+'c12_oc'!D29</f>
        <v>-47485</v>
      </c>
      <c r="F61" s="32">
        <f>+'c12_oc'!E29</f>
        <v>-47485</v>
      </c>
      <c r="G61" s="32">
        <f>+'c12_oc'!F29</f>
        <v>-47485</v>
      </c>
      <c r="H61" s="32">
        <f>+'c12_oc'!G29</f>
        <v>-135000</v>
      </c>
      <c r="I61" s="32">
        <f>+'c12_oc'!H29</f>
        <v>-135000</v>
      </c>
      <c r="J61" s="32">
        <f>+'c12_oc'!I29</f>
        <v>-135000</v>
      </c>
      <c r="K61" s="32">
        <f>+'c12_oc'!J29</f>
        <v>-135000</v>
      </c>
      <c r="L61" s="32">
        <f>+'c12_oc'!K29</f>
        <v>-540000</v>
      </c>
      <c r="M61" s="32">
        <f>+'c12_oc'!L29</f>
        <v>-540000</v>
      </c>
      <c r="N61" s="32">
        <f>+'c12_oc'!M29</f>
        <v>-540000</v>
      </c>
      <c r="O61" s="32">
        <f>+'c12_oc'!N29</f>
        <v>-300000</v>
      </c>
    </row>
    <row r="62" spans="1:15">
      <c r="A62" t="s">
        <v>140</v>
      </c>
      <c r="B62" s="768" t="s">
        <v>151</v>
      </c>
      <c r="C62" s="32">
        <f>+'c12_oc'!B34</f>
        <v>0</v>
      </c>
      <c r="D62" s="32">
        <f>+'c12_oc'!C34</f>
        <v>0</v>
      </c>
      <c r="E62" s="32">
        <f>+'c12_oc'!D34</f>
        <v>0</v>
      </c>
      <c r="F62" s="32">
        <f>+'c12_oc'!E34</f>
        <v>-45000</v>
      </c>
      <c r="G62" s="32">
        <f>+'c12_oc'!F34</f>
        <v>-599728</v>
      </c>
      <c r="H62" s="32">
        <f>+'c12_oc'!G34</f>
        <v>-1620000</v>
      </c>
      <c r="I62" s="32">
        <f>+'c12_oc'!H34</f>
        <v>-2100000</v>
      </c>
      <c r="J62" s="32">
        <f>+'c12_oc'!I34</f>
        <v>-300000</v>
      </c>
      <c r="K62" s="32">
        <f>+'c12_oc'!J34</f>
        <v>-300000</v>
      </c>
      <c r="L62" s="32">
        <f>+'c12_oc'!K34</f>
        <v>0</v>
      </c>
      <c r="M62" s="32">
        <f>+'c12_oc'!L34</f>
        <v>0</v>
      </c>
      <c r="N62" s="32">
        <f>+'c12_oc'!M34</f>
        <v>0</v>
      </c>
      <c r="O62" s="32">
        <f>+'c12_oc'!N34</f>
        <v>0</v>
      </c>
    </row>
    <row r="63" spans="1:15">
      <c r="A63" s="5" t="s">
        <v>140</v>
      </c>
      <c r="B63" s="768" t="s">
        <v>152</v>
      </c>
      <c r="C63" s="32">
        <f>-'c12_oc'!B60</f>
        <v>0</v>
      </c>
      <c r="D63" s="32">
        <f>-'c12_oc'!C60</f>
        <v>-416032.5</v>
      </c>
      <c r="E63" s="32">
        <f>-'c12_oc'!D60</f>
        <v>-3082065</v>
      </c>
      <c r="F63" s="32">
        <f>-'c12_oc'!E60</f>
        <v>-4373097.5</v>
      </c>
      <c r="G63" s="32">
        <f>-'c12_oc'!F60</f>
        <v>-5365480</v>
      </c>
      <c r="H63" s="32">
        <f>-'c12_oc'!G60</f>
        <v>-6120868.6799999997</v>
      </c>
      <c r="I63" s="32">
        <f>-'c12_oc'!H60</f>
        <v>-5640774.7725</v>
      </c>
      <c r="J63" s="32">
        <f>-'c12_oc'!I60</f>
        <v>-5378861.8650000002</v>
      </c>
      <c r="K63" s="32">
        <f>-'c12_oc'!J60</f>
        <v>-5444967.9574999996</v>
      </c>
      <c r="L63" s="32">
        <f>-'c12_oc'!K60</f>
        <v>-5296720.3785999995</v>
      </c>
      <c r="M63" s="32">
        <f>-'c12_oc'!L60</f>
        <v>-4228148.8727329997</v>
      </c>
      <c r="N63" s="32">
        <f>-'c12_oc'!M60</f>
        <v>-6610520.2216899898</v>
      </c>
      <c r="O63" s="32">
        <f>-'c12_oc'!N60</f>
        <v>-8000000.333333334</v>
      </c>
    </row>
    <row r="65" spans="1:15">
      <c r="A65" s="5" t="s">
        <v>153</v>
      </c>
      <c r="B65" s="5"/>
      <c r="C65" s="214"/>
      <c r="D65" s="214"/>
      <c r="E65" s="214"/>
      <c r="F65" s="214"/>
      <c r="G65" s="214"/>
      <c r="H65" s="214"/>
      <c r="I65" s="214"/>
      <c r="J65" s="214"/>
      <c r="K65" s="214"/>
      <c r="L65" s="214"/>
      <c r="M65" s="214"/>
      <c r="N65" s="214"/>
      <c r="O65" s="214"/>
    </row>
    <row r="66" spans="1:15">
      <c r="A66" t="s">
        <v>153</v>
      </c>
      <c r="B66" s="766" t="s">
        <v>154</v>
      </c>
      <c r="C66" s="1952">
        <f>+'c12_hm'!F53</f>
        <v>1639651</v>
      </c>
      <c r="D66" s="1953">
        <f>+'c12_hm'!G53</f>
        <v>558947</v>
      </c>
      <c r="E66" s="1953">
        <f>+'c12_hm'!H53</f>
        <v>558947</v>
      </c>
      <c r="F66" s="1953">
        <f>+'c12_hm'!I53</f>
        <v>558947</v>
      </c>
      <c r="G66" s="1953">
        <f>+'c12_hm'!J53</f>
        <v>447597</v>
      </c>
      <c r="H66" s="1952">
        <f>+'c12_hm'!K53</f>
        <v>256062.09250000003</v>
      </c>
      <c r="I66" s="1952">
        <f>+'c12_hm'!L53</f>
        <v>876202.75</v>
      </c>
      <c r="J66" s="1952">
        <f>+'c12_hm'!M53</f>
        <v>904421.5</v>
      </c>
      <c r="K66" s="1952">
        <f>+'c12_hm'!N53</f>
        <v>2073421.5</v>
      </c>
      <c r="L66" s="1952">
        <f>+'c12_hm'!O53</f>
        <v>4197216.58</v>
      </c>
      <c r="M66" s="1952">
        <f>+'c12_hm'!P53</f>
        <v>5881683.0773999998</v>
      </c>
      <c r="N66" s="1952">
        <f>+'c12_hm'!Q53</f>
        <v>8699126.3497219998</v>
      </c>
      <c r="O66" s="1952">
        <f>+'c12_hm'!R53</f>
        <v>8510972.976329349</v>
      </c>
    </row>
    <row r="67" spans="1:15">
      <c r="A67" s="5" t="s">
        <v>153</v>
      </c>
      <c r="B67" s="766" t="s">
        <v>155</v>
      </c>
      <c r="C67" s="1952">
        <f>+'c12_hm'!F58</f>
        <v>1639651</v>
      </c>
      <c r="D67" s="1953">
        <f>+'c12_hm'!G58</f>
        <v>558947</v>
      </c>
      <c r="E67" s="1953">
        <f>+'c12_hm'!H58</f>
        <v>558947</v>
      </c>
      <c r="F67" s="1953">
        <f>+'c12_hm'!I58</f>
        <v>558947</v>
      </c>
      <c r="G67" s="1953">
        <f>+'c12_hm'!J58</f>
        <v>447597</v>
      </c>
      <c r="H67" s="1952">
        <f>+'c12_hm'!K58</f>
        <v>14999.877750000007</v>
      </c>
      <c r="I67" s="1952">
        <f>+'c12_hm'!L58</f>
        <v>192576.44999999998</v>
      </c>
      <c r="J67" s="1952">
        <f>+'c12_hm'!M58</f>
        <v>192576.44999999998</v>
      </c>
      <c r="K67" s="1952">
        <f>+'c12_hm'!N58</f>
        <v>543276.44999999995</v>
      </c>
      <c r="L67" s="1952">
        <f>+'c12_hm'!O58</f>
        <v>928414.97400000005</v>
      </c>
      <c r="M67" s="1952">
        <f>+'c12_hm'!P58</f>
        <v>1417217.42322</v>
      </c>
      <c r="N67" s="1952">
        <f>+'c12_hm'!Q58</f>
        <v>2245086.0299165999</v>
      </c>
      <c r="O67" s="1952">
        <f>+'c12_hm'!R58</f>
        <v>2170407.424148805</v>
      </c>
    </row>
    <row r="68" spans="1:15">
      <c r="A68" t="s">
        <v>153</v>
      </c>
      <c r="B68" s="766" t="s">
        <v>156</v>
      </c>
      <c r="C68" s="1952">
        <f>+'c12_hm'!F80</f>
        <v>-160000</v>
      </c>
      <c r="D68" s="1953">
        <f>+'c12_hm'!G80</f>
        <v>-413346</v>
      </c>
      <c r="E68" s="1953">
        <f>+'c12_hm'!H80</f>
        <v>-438063.33333333331</v>
      </c>
      <c r="F68" s="1953">
        <f>+'c12_hm'!I80</f>
        <v>-440394.66666666663</v>
      </c>
      <c r="G68" s="1953">
        <f>+'c12_hm'!J80</f>
        <v>-956656.33333333337</v>
      </c>
      <c r="H68" s="1952">
        <f>+'c12_hm'!K80</f>
        <v>-961442.57191666658</v>
      </c>
      <c r="I68" s="1952">
        <f>+'c12_hm'!L80</f>
        <v>-743171.82000000007</v>
      </c>
      <c r="J68" s="1952">
        <f>+'c12_hm'!M80</f>
        <v>-145913.06999999995</v>
      </c>
      <c r="K68" s="1952">
        <f>+'c12_hm'!N80</f>
        <v>153335.91333333333</v>
      </c>
      <c r="L68" s="1952">
        <f>+'c12_hm'!O80</f>
        <v>-737875.8806666662</v>
      </c>
      <c r="M68" s="1952">
        <f>+'c12_hm'!P80</f>
        <v>330508.00751333358</v>
      </c>
      <c r="N68" s="1952">
        <f>+'c12_hm'!Q80</f>
        <v>2186438.5051387344</v>
      </c>
      <c r="O68" s="1952">
        <f>+'c12_hm'!R80</f>
        <v>2012637.361113877</v>
      </c>
    </row>
    <row r="69" spans="1:15">
      <c r="A69" s="5" t="s">
        <v>153</v>
      </c>
      <c r="B69" s="766" t="s">
        <v>157</v>
      </c>
      <c r="C69" s="1952">
        <f>+'c12_hm'!F82</f>
        <v>0</v>
      </c>
      <c r="D69" s="1952">
        <f>+'c12_hm'!G82</f>
        <v>-113077.75</v>
      </c>
      <c r="E69" s="1952">
        <f>+'c12_hm'!H82</f>
        <v>-226155.5</v>
      </c>
      <c r="F69" s="1952">
        <f>+'c12_hm'!I82</f>
        <v>-339233.25</v>
      </c>
      <c r="G69" s="1952">
        <f>+'c12_hm'!J82</f>
        <v>-563661</v>
      </c>
      <c r="H69" s="1952">
        <f>+'c12_hm'!K82</f>
        <v>-1162989</v>
      </c>
      <c r="I69" s="1952">
        <f>+'c12_hm'!L82</f>
        <v>-1170395.0925</v>
      </c>
      <c r="J69" s="1952">
        <f>+'c12_hm'!M82</f>
        <v>-1177801.1850000001</v>
      </c>
      <c r="K69" s="1952">
        <f>+'c12_hm'!N82</f>
        <v>-516207.27750000008</v>
      </c>
      <c r="L69" s="1954">
        <f>+'c12_hm'!O82</f>
        <v>-1546720.3785999999</v>
      </c>
      <c r="M69" s="1954">
        <f>+'c12_hm'!P82</f>
        <v>-1578148.872733</v>
      </c>
      <c r="N69" s="1954">
        <f>+'c12_hm'!Q82</f>
        <v>-610520.22168998979</v>
      </c>
      <c r="O69" s="1954">
        <f>+'c12_hm'!R82</f>
        <v>0</v>
      </c>
    </row>
    <row r="70" spans="1:15">
      <c r="A70" t="s">
        <v>153</v>
      </c>
      <c r="B70" s="766" t="s">
        <v>158</v>
      </c>
      <c r="C70" s="1952">
        <f>+'c12_hm'!F83</f>
        <v>0</v>
      </c>
      <c r="D70" s="1952">
        <f>+'c12_hm'!G83</f>
        <v>-113077.75</v>
      </c>
      <c r="E70" s="1952">
        <f>+'c12_hm'!H83</f>
        <v>-226155.5</v>
      </c>
      <c r="F70" s="1952">
        <f>+'c12_hm'!I83</f>
        <v>-339233.25</v>
      </c>
      <c r="G70" s="1952">
        <f>+'c12_hm'!J83</f>
        <v>-563661</v>
      </c>
      <c r="H70" s="1952">
        <f>+'c12_hm'!K83</f>
        <v>-348896.7</v>
      </c>
      <c r="I70" s="1952">
        <f>+'c12_hm'!L83</f>
        <v>-351118.52775000001</v>
      </c>
      <c r="J70" s="1952">
        <f>+'c12_hm'!M83</f>
        <v>-353340.35550000001</v>
      </c>
      <c r="K70" s="1952">
        <f>+'c12_hm'!N83</f>
        <v>-154862.18325000003</v>
      </c>
      <c r="L70" s="1954">
        <f>+'c12_hm'!O83</f>
        <v>-464016.11357999995</v>
      </c>
      <c r="M70" s="1954">
        <f>+'c12_hm'!P83</f>
        <v>-473444.66181989998</v>
      </c>
      <c r="N70" s="1954">
        <f>+'c12_hm'!Q83</f>
        <v>-183156.06650699693</v>
      </c>
      <c r="O70" s="1954">
        <f>+'c12_hm'!R83</f>
        <v>0</v>
      </c>
    </row>
    <row r="71" spans="1:15">
      <c r="B71" s="766"/>
      <c r="D71" s="217"/>
      <c r="E71" s="217"/>
      <c r="F71" s="217"/>
      <c r="G71" s="217"/>
      <c r="L71" s="32"/>
      <c r="M71" s="32"/>
      <c r="N71" s="32"/>
      <c r="O71" s="32"/>
    </row>
    <row r="72" spans="1:15">
      <c r="A72" t="s">
        <v>153</v>
      </c>
      <c r="B72" t="s">
        <v>159</v>
      </c>
      <c r="C72" s="32">
        <f>+lgh_manco!C15</f>
        <v>20000000</v>
      </c>
      <c r="D72" s="32">
        <f>+lgh_manco!D15</f>
        <v>20000000</v>
      </c>
      <c r="E72" s="32">
        <f>+lgh_manco!E15</f>
        <v>20000000</v>
      </c>
      <c r="F72" s="32">
        <f>+lgh_manco!F15</f>
        <v>20000000</v>
      </c>
      <c r="G72" s="32">
        <f>+lgh_manco!G15</f>
        <v>20000000</v>
      </c>
      <c r="H72" s="32">
        <f>+lgh_manco!H15</f>
        <v>20600000</v>
      </c>
      <c r="I72" s="32">
        <f>+lgh_manco!I15</f>
        <v>21218000</v>
      </c>
      <c r="J72" s="32">
        <f>+lgh_manco!J15</f>
        <v>26854540</v>
      </c>
      <c r="K72" s="32">
        <f>+lgh_manco!K15</f>
        <v>27660176.199999999</v>
      </c>
      <c r="L72" s="4">
        <f>+lgh_manco!L15</f>
        <v>28489981.486000001</v>
      </c>
      <c r="M72" s="4">
        <f>+lgh_manco!M15</f>
        <v>34344680.930580005</v>
      </c>
      <c r="N72" s="4">
        <f>+lgh_manco!N15</f>
        <v>35375021.358497404</v>
      </c>
      <c r="O72" s="4">
        <f>+lgh_manco!O15</f>
        <v>41436271.999252327</v>
      </c>
    </row>
    <row r="73" spans="1:15">
      <c r="A73" t="s">
        <v>153</v>
      </c>
      <c r="B73" t="s">
        <v>160</v>
      </c>
      <c r="C73" s="32">
        <f>+lgh_manco!C17</f>
        <v>10000000</v>
      </c>
      <c r="D73" s="32">
        <f>+lgh_manco!D17</f>
        <v>10000000</v>
      </c>
      <c r="E73" s="32">
        <f>+lgh_manco!E17</f>
        <v>10000000</v>
      </c>
      <c r="F73" s="32">
        <f>+lgh_manco!F17</f>
        <v>10000000</v>
      </c>
      <c r="G73" s="32">
        <f>+lgh_manco!G17</f>
        <v>10000000</v>
      </c>
      <c r="H73" s="32">
        <f>+lgh_manco!H17</f>
        <v>10300000</v>
      </c>
      <c r="I73" s="32">
        <f>+lgh_manco!I17</f>
        <v>12730800</v>
      </c>
      <c r="J73" s="32">
        <f>+lgh_manco!J17</f>
        <v>18798178</v>
      </c>
      <c r="K73" s="32">
        <f>+lgh_manco!K17</f>
        <v>22128140.960000001</v>
      </c>
      <c r="L73">
        <f>+lgh_manco!L17</f>
        <v>31338979.634600002</v>
      </c>
      <c r="M73">
        <f>+lgh_manco!M17</f>
        <v>48082553.302812003</v>
      </c>
      <c r="N73">
        <f>+lgh_manco!N17</f>
        <v>60137536.309445582</v>
      </c>
      <c r="O73">
        <f>+lgh_manco!O17</f>
        <v>82872543.998504654</v>
      </c>
    </row>
    <row r="74" spans="1:15">
      <c r="A74" t="s">
        <v>153</v>
      </c>
      <c r="B74" s="766" t="s">
        <v>161</v>
      </c>
      <c r="C74" s="32">
        <f>+lgh_manco!C18</f>
        <v>0</v>
      </c>
      <c r="D74" s="32">
        <f>+lgh_manco!D18</f>
        <v>0</v>
      </c>
      <c r="E74" s="32">
        <f>+lgh_manco!E18</f>
        <v>0</v>
      </c>
      <c r="F74" s="32">
        <f>+lgh_manco!F18</f>
        <v>0</v>
      </c>
      <c r="G74" s="32">
        <f>+lgh_manco!G18</f>
        <v>0</v>
      </c>
      <c r="H74" s="32">
        <f>+lgh_manco!H18</f>
        <v>0</v>
      </c>
      <c r="I74" s="32">
        <f>+lgh_manco!I18</f>
        <v>0</v>
      </c>
      <c r="J74" s="32">
        <f>+lgh_manco!J18</f>
        <v>0</v>
      </c>
      <c r="K74" s="32">
        <f>+lgh_manco!K18</f>
        <v>0</v>
      </c>
      <c r="L74" s="1">
        <f>+lgh_manco!L18</f>
        <v>0</v>
      </c>
      <c r="M74" s="1">
        <f>+lgh_manco!M18</f>
        <v>25000000</v>
      </c>
      <c r="N74" s="1">
        <f>+lgh_manco!N18</f>
        <v>50000000</v>
      </c>
      <c r="O74" s="1">
        <f>+lgh_manco!O18</f>
        <v>100000000</v>
      </c>
    </row>
    <row r="76" spans="1:15">
      <c r="A76" s="5" t="s">
        <v>162</v>
      </c>
      <c r="B76" s="5"/>
      <c r="C76" s="214"/>
      <c r="D76" s="214"/>
      <c r="E76" s="214"/>
      <c r="F76" s="214"/>
      <c r="G76" s="214"/>
      <c r="H76" s="214"/>
      <c r="I76" s="214"/>
      <c r="J76" s="214"/>
      <c r="K76" s="214"/>
      <c r="L76" s="214"/>
      <c r="M76" s="214"/>
      <c r="N76" s="214"/>
      <c r="O76" s="214"/>
    </row>
    <row r="77" spans="1:15">
      <c r="A77" t="s">
        <v>162</v>
      </c>
      <c r="B77" s="766" t="s">
        <v>163</v>
      </c>
      <c r="C77" s="1952">
        <f>+'c12_bi&amp;f'!F29</f>
        <v>0</v>
      </c>
      <c r="D77" s="1953">
        <f>+'c12_bi&amp;f'!G29</f>
        <v>0</v>
      </c>
      <c r="E77" s="1953">
        <f>+'c12_bi&amp;f'!H29</f>
        <v>0</v>
      </c>
      <c r="F77" s="1953">
        <f>+'c12_bi&amp;f'!I29</f>
        <v>0</v>
      </c>
      <c r="G77" s="1953">
        <f>+'c12_bi&amp;f'!J29</f>
        <v>0</v>
      </c>
      <c r="H77" s="1952">
        <f>+'c12_bi&amp;f'!K29</f>
        <v>30000</v>
      </c>
      <c r="I77" s="1952">
        <f>+'c12_bi&amp;f'!L29</f>
        <v>30000</v>
      </c>
      <c r="J77" s="1952">
        <f>+'c12_bi&amp;f'!M29</f>
        <v>30000</v>
      </c>
      <c r="K77" s="1952">
        <f>+'c12_bi&amp;f'!N29</f>
        <v>30000</v>
      </c>
      <c r="L77" s="1952">
        <f>+'c12_bi&amp;f'!O29</f>
        <v>150000</v>
      </c>
      <c r="M77" s="1952">
        <f>+'c12_bi&amp;f'!P29</f>
        <v>240000</v>
      </c>
      <c r="N77" s="1952">
        <f>+'c12_bi&amp;f'!Q29</f>
        <v>240000</v>
      </c>
      <c r="O77" s="1952">
        <f>+'c12_bi&amp;f'!R29</f>
        <v>240000</v>
      </c>
    </row>
    <row r="78" spans="1:15">
      <c r="A78" t="s">
        <v>162</v>
      </c>
      <c r="B78" s="766" t="s">
        <v>164</v>
      </c>
      <c r="C78" s="1952">
        <f>+'c12_bi&amp;f'!F34</f>
        <v>0</v>
      </c>
      <c r="D78" s="1953">
        <f>+'c12_bi&amp;f'!G34</f>
        <v>0</v>
      </c>
      <c r="E78" s="1953">
        <f>+'c12_bi&amp;f'!H34</f>
        <v>0</v>
      </c>
      <c r="F78" s="1953">
        <f>+'c12_bi&amp;f'!I34</f>
        <v>0</v>
      </c>
      <c r="G78" s="1953">
        <f>+'c12_bi&amp;f'!J34</f>
        <v>0</v>
      </c>
      <c r="H78" s="1952">
        <f>+'c12_bi&amp;f'!K34</f>
        <v>9000</v>
      </c>
      <c r="I78" s="1952">
        <f>+'c12_bi&amp;f'!L34</f>
        <v>9000</v>
      </c>
      <c r="J78" s="1952">
        <f>+'c12_bi&amp;f'!M34</f>
        <v>9000</v>
      </c>
      <c r="K78" s="1952">
        <f>+'c12_bi&amp;f'!N34</f>
        <v>9000</v>
      </c>
      <c r="L78" s="1952">
        <f>+'c12_bi&amp;f'!O34</f>
        <v>45000</v>
      </c>
      <c r="M78" s="1952">
        <f>+'c12_bi&amp;f'!P34</f>
        <v>72000</v>
      </c>
      <c r="N78" s="1952">
        <f>+'c12_bi&amp;f'!Q34</f>
        <v>72000</v>
      </c>
      <c r="O78" s="1952">
        <f>+'c12_bi&amp;f'!R34</f>
        <v>72000</v>
      </c>
    </row>
    <row r="79" spans="1:15">
      <c r="A79" t="s">
        <v>162</v>
      </c>
      <c r="B79" s="766" t="s">
        <v>165</v>
      </c>
      <c r="C79" s="1952">
        <f>+'c12_bi&amp;f'!F43</f>
        <v>0</v>
      </c>
      <c r="D79" s="1953">
        <f>+'c12_bi&amp;f'!G43</f>
        <v>0</v>
      </c>
      <c r="E79" s="1953">
        <f>+'c12_bi&amp;f'!H43</f>
        <v>0</v>
      </c>
      <c r="F79" s="1953">
        <f>+'c12_bi&amp;f'!I43</f>
        <v>0</v>
      </c>
      <c r="G79" s="1953">
        <f>+'c12_bi&amp;f'!J43</f>
        <v>-63999.999999999993</v>
      </c>
      <c r="H79" s="1952">
        <f>+'c12_bi&amp;f'!K43</f>
        <v>-105789.12</v>
      </c>
      <c r="I79" s="1952">
        <f>+'c12_bi&amp;f'!L43</f>
        <v>-105789.12</v>
      </c>
      <c r="J79" s="1952">
        <f>+'c12_bi&amp;f'!M43</f>
        <v>-105789.12</v>
      </c>
      <c r="K79" s="1952">
        <f>+'c12_bi&amp;f'!N43</f>
        <v>-107503.46999999999</v>
      </c>
      <c r="L79" s="1952">
        <f>+'c12_bi&amp;f'!O43</f>
        <v>-470408.12000000005</v>
      </c>
      <c r="M79" s="1952">
        <f>+'c12_bi&amp;f'!P43</f>
        <v>-470408.12000000005</v>
      </c>
      <c r="N79" s="1952">
        <f>+'c12_bi&amp;f'!Q43</f>
        <v>-470408.12000000005</v>
      </c>
      <c r="O79" s="1952">
        <f>+'c12_bi&amp;f'!R43</f>
        <v>-470408.12000000005</v>
      </c>
    </row>
    <row r="80" spans="1:15">
      <c r="A80" t="s">
        <v>162</v>
      </c>
      <c r="B80" s="766" t="s">
        <v>157</v>
      </c>
      <c r="C80" s="1952">
        <f>+'c12_bi&amp;f'!F56</f>
        <v>0</v>
      </c>
      <c r="D80" s="1952">
        <f>+'c12_bi&amp;f'!G56</f>
        <v>0</v>
      </c>
      <c r="E80" s="1952">
        <f>+'c12_bi&amp;f'!H56</f>
        <v>0</v>
      </c>
      <c r="F80" s="1952">
        <f>+'c12_bi&amp;f'!I56</f>
        <v>0</v>
      </c>
      <c r="G80" s="1952">
        <f>+'c12_bi&amp;f'!J56</f>
        <v>0</v>
      </c>
      <c r="H80" s="1952">
        <f>+'c12_bi&amp;f'!K56</f>
        <v>0</v>
      </c>
      <c r="I80" s="1952">
        <f>+'c12_bi&amp;f'!L56</f>
        <v>0</v>
      </c>
      <c r="J80" s="1952">
        <f>+'c12_bi&amp;f'!M56</f>
        <v>0</v>
      </c>
      <c r="K80" s="1952">
        <f>+'c12_bi&amp;f'!N56</f>
        <v>0</v>
      </c>
      <c r="L80" s="1954">
        <f>+'c12_bi&amp;f'!O56</f>
        <v>0</v>
      </c>
      <c r="M80" s="1954">
        <f>+'c12_bi&amp;f'!P56</f>
        <v>0</v>
      </c>
      <c r="N80" s="1954">
        <f>+'c12_bi&amp;f'!Q56</f>
        <v>0</v>
      </c>
      <c r="O80" s="1954">
        <f>+'c12_bi&amp;f'!R56</f>
        <v>0</v>
      </c>
    </row>
    <row r="81" spans="1:15">
      <c r="A81" t="s">
        <v>162</v>
      </c>
      <c r="B81" s="766" t="s">
        <v>158</v>
      </c>
      <c r="C81" s="1952">
        <f>+'c12_bi&amp;f'!F57</f>
        <v>0</v>
      </c>
      <c r="D81" s="1952">
        <f>+'c12_bi&amp;f'!G57</f>
        <v>0</v>
      </c>
      <c r="E81" s="1952">
        <f>+'c12_bi&amp;f'!H57</f>
        <v>0</v>
      </c>
      <c r="F81" s="1952">
        <f>+'c12_bi&amp;f'!I57</f>
        <v>0</v>
      </c>
      <c r="G81" s="1952">
        <f>+'c12_bi&amp;f'!J57</f>
        <v>0</v>
      </c>
      <c r="H81" s="1952">
        <f>+'c12_bi&amp;f'!K57</f>
        <v>0</v>
      </c>
      <c r="I81" s="1952">
        <f>+'c12_bi&amp;f'!L57</f>
        <v>0</v>
      </c>
      <c r="J81" s="1952">
        <f>+'c12_bi&amp;f'!M57</f>
        <v>0</v>
      </c>
      <c r="K81" s="1952">
        <f>+'c12_bi&amp;f'!N57</f>
        <v>0</v>
      </c>
      <c r="L81" s="1954">
        <f>+'c12_bi&amp;f'!O57</f>
        <v>0</v>
      </c>
      <c r="M81" s="1954">
        <f>+'c12_bi&amp;f'!P57</f>
        <v>0</v>
      </c>
      <c r="N81" s="1954">
        <f>+'c12_bi&amp;f'!Q57</f>
        <v>0</v>
      </c>
      <c r="O81" s="1954">
        <f>+'c12_bi&amp;f'!R57</f>
        <v>0</v>
      </c>
    </row>
    <row r="83" spans="1:15">
      <c r="A83" s="5" t="s">
        <v>166</v>
      </c>
      <c r="B83" s="5"/>
      <c r="C83" s="214"/>
      <c r="D83" s="214"/>
      <c r="E83" s="214"/>
      <c r="F83" s="214"/>
      <c r="G83" s="214"/>
      <c r="H83" s="214"/>
      <c r="I83" s="214"/>
      <c r="J83" s="214"/>
      <c r="K83" s="214"/>
      <c r="L83" s="214"/>
      <c r="M83" s="214"/>
      <c r="N83" s="214"/>
      <c r="O83" s="214"/>
    </row>
    <row r="84" spans="1:15">
      <c r="A84" t="s">
        <v>166</v>
      </c>
      <c r="B84" s="766" t="s">
        <v>167</v>
      </c>
      <c r="C84" s="1952">
        <f>+'c12_d&amp;s'!F70</f>
        <v>1480300</v>
      </c>
      <c r="D84" s="1953">
        <f>+'c12_d&amp;s'!G70</f>
        <v>79187.75</v>
      </c>
      <c r="E84" s="1953">
        <f>+'c12_d&amp;s'!H70</f>
        <v>79187.75</v>
      </c>
      <c r="F84" s="1953">
        <f>+'c12_d&amp;s'!I70</f>
        <v>599187.75</v>
      </c>
      <c r="G84" s="1953">
        <f>+'c12_d&amp;s'!J70</f>
        <v>949987.75</v>
      </c>
      <c r="H84" s="1952">
        <f>+'c12_d&amp;s'!K70</f>
        <v>1508647.6533333333</v>
      </c>
      <c r="I84" s="1952">
        <f>+'c12_d&amp;s'!L70</f>
        <v>2259708.333333333</v>
      </c>
      <c r="J84" s="1952">
        <f>+'c12_d&amp;s'!M70</f>
        <v>1991527.3333333333</v>
      </c>
      <c r="K84" s="1952">
        <f>+'c12_d&amp;s'!N70</f>
        <v>5794508.333333333</v>
      </c>
      <c r="L84" s="1952">
        <f>+'c12_d&amp;s'!O70</f>
        <v>10492723.013333332</v>
      </c>
      <c r="M84" s="1952">
        <f>+'c12_d&amp;s'!P70</f>
        <v>6993600.3066666666</v>
      </c>
      <c r="N84" s="1952">
        <f>+'c12_d&amp;s'!Q70</f>
        <v>4430462.0658666659</v>
      </c>
      <c r="O84" s="1952">
        <f>+'c12_d&amp;s'!R70</f>
        <v>5010464.3293539463</v>
      </c>
    </row>
    <row r="85" spans="1:15">
      <c r="A85" t="s">
        <v>166</v>
      </c>
      <c r="B85" s="766" t="s">
        <v>168</v>
      </c>
      <c r="C85" s="1952">
        <f>+'c12_d&amp;s'!F76</f>
        <v>1480300</v>
      </c>
      <c r="D85" s="1953">
        <f>+'c12_d&amp;s'!G76</f>
        <v>68132.5</v>
      </c>
      <c r="E85" s="1953">
        <f>+'c12_d&amp;s'!H76</f>
        <v>68132.5</v>
      </c>
      <c r="F85" s="1953">
        <f>+'c12_d&amp;s'!I76</f>
        <v>328132.5</v>
      </c>
      <c r="G85" s="1953">
        <f>+'c12_d&amp;s'!J76</f>
        <v>528732.5</v>
      </c>
      <c r="H85" s="1952">
        <f>+'c12_d&amp;s'!K76</f>
        <v>452594.29599999997</v>
      </c>
      <c r="I85" s="1952">
        <f>+'c12_d&amp;s'!L76</f>
        <v>677912.5</v>
      </c>
      <c r="J85" s="1952">
        <f>+'c12_d&amp;s'!M76</f>
        <v>597458.19999999995</v>
      </c>
      <c r="K85" s="1952">
        <f>+'c12_d&amp;s'!N76</f>
        <v>1738352.4999999998</v>
      </c>
      <c r="L85" s="1952">
        <f>+'c12_d&amp;s'!O76</f>
        <v>3147816.9039999996</v>
      </c>
      <c r="M85" s="1952">
        <f>+'c12_d&amp;s'!P76</f>
        <v>2098080.0919999997</v>
      </c>
      <c r="N85" s="1952">
        <f>+'c12_d&amp;s'!Q76</f>
        <v>1329138.6197599997</v>
      </c>
      <c r="O85" s="1952">
        <f>+'c12_d&amp;s'!R76</f>
        <v>1503139.2988061837</v>
      </c>
    </row>
    <row r="86" spans="1:15">
      <c r="A86" t="s">
        <v>166</v>
      </c>
      <c r="B86" s="766" t="s">
        <v>169</v>
      </c>
      <c r="C86" s="1952">
        <f>+'c12_d&amp;s'!F108</f>
        <v>-160000</v>
      </c>
      <c r="D86" s="1953">
        <f>+'c12_d&amp;s'!G108</f>
        <v>-471410.74999999994</v>
      </c>
      <c r="E86" s="1953">
        <f>+'c12_d&amp;s'!H108</f>
        <v>-496128.08333333326</v>
      </c>
      <c r="F86" s="1953">
        <f>+'c12_d&amp;s'!I108</f>
        <v>-238459.41666666657</v>
      </c>
      <c r="G86" s="1953">
        <f>+'c12_d&amp;s'!J108</f>
        <v>-1525075.0833333333</v>
      </c>
      <c r="H86" s="1952">
        <f>+'c12_d&amp;s'!K108</f>
        <v>-303411.42933333339</v>
      </c>
      <c r="I86" s="1952">
        <f>+'c12_d&amp;s'!L108</f>
        <v>28997.713333333144</v>
      </c>
      <c r="J86" s="1952">
        <f>+'c12_d&amp;s'!M108</f>
        <v>441271.01333333342</v>
      </c>
      <c r="K86" s="1952">
        <f>+'c12_d&amp;s'!N108</f>
        <v>2287152.6966666663</v>
      </c>
      <c r="L86" s="1952">
        <f>+'c12_d&amp;s'!O108</f>
        <v>3171971.322666666</v>
      </c>
      <c r="M86" s="1952">
        <f>+'c12_d&amp;s'!P108</f>
        <v>722585.42799999984</v>
      </c>
      <c r="N86" s="1952">
        <f>+'c12_d&amp;s'!Q108</f>
        <v>-71612.34056000039</v>
      </c>
      <c r="O86" s="1952">
        <f>+'c12_d&amp;s'!R108</f>
        <v>414389.24388109567</v>
      </c>
    </row>
    <row r="87" spans="1:15">
      <c r="A87" t="s">
        <v>166</v>
      </c>
      <c r="B87" s="766" t="s">
        <v>157</v>
      </c>
      <c r="C87" s="1952">
        <f>+'c12_d&amp;s'!F110</f>
        <v>0</v>
      </c>
      <c r="D87" s="1952">
        <f>+'c12_d&amp;s'!G110</f>
        <v>-302954.75</v>
      </c>
      <c r="E87" s="1952">
        <f>+'c12_d&amp;s'!H110</f>
        <v>-2855909.5</v>
      </c>
      <c r="F87" s="1952">
        <f>+'c12_d&amp;s'!I110</f>
        <v>-4033864.25</v>
      </c>
      <c r="G87" s="1952">
        <f>+'c12_d&amp;s'!J110</f>
        <v>-4801819</v>
      </c>
      <c r="H87" s="1952">
        <f>+'c12_d&amp;s'!K110</f>
        <v>-4957879.68</v>
      </c>
      <c r="I87" s="1952">
        <f>+'c12_d&amp;s'!L110</f>
        <v>-4470379.68</v>
      </c>
      <c r="J87" s="1952">
        <f>+'c12_d&amp;s'!M110</f>
        <v>-4201060.68</v>
      </c>
      <c r="K87" s="1952">
        <f>+'c12_d&amp;s'!N110</f>
        <v>-4928760.68</v>
      </c>
      <c r="L87" s="1954">
        <f>+'c12_d&amp;s'!O110</f>
        <v>-3750000</v>
      </c>
      <c r="M87" s="1954">
        <f>+'c12_d&amp;s'!P110</f>
        <v>-2650000</v>
      </c>
      <c r="N87" s="1954">
        <f>+'c12_d&amp;s'!Q110</f>
        <v>-6000000</v>
      </c>
      <c r="O87" s="1954">
        <f>+'c12_d&amp;s'!R110</f>
        <v>-8000000.333333334</v>
      </c>
    </row>
    <row r="88" spans="1:15">
      <c r="A88" t="s">
        <v>166</v>
      </c>
      <c r="B88" s="766" t="s">
        <v>158</v>
      </c>
      <c r="C88" s="1952">
        <f>+'c12_d&amp;s'!F111</f>
        <v>0</v>
      </c>
      <c r="D88" s="1952">
        <f>+'c12_d&amp;s'!G111</f>
        <v>-201025.125</v>
      </c>
      <c r="E88" s="1952">
        <f>+'c12_d&amp;s'!H111</f>
        <v>-1527050.25</v>
      </c>
      <c r="F88" s="1952">
        <f>+'c12_d&amp;s'!I111</f>
        <v>-2165575.375</v>
      </c>
      <c r="G88" s="1952">
        <f>+'c12_d&amp;s'!J111</f>
        <v>-2599100.5</v>
      </c>
      <c r="H88" s="1952">
        <f>+'c12_d&amp;s'!K111</f>
        <v>-1591497.8039999998</v>
      </c>
      <c r="I88" s="1952">
        <f>+'c12_d&amp;s'!L111</f>
        <v>-1486174.4039999999</v>
      </c>
      <c r="J88" s="1952">
        <f>+'c12_d&amp;s'!M111</f>
        <v>-1446305.304</v>
      </c>
      <c r="K88" s="1952">
        <f>+'c12_d&amp;s'!N111</f>
        <v>-1645541.9039999999</v>
      </c>
      <c r="L88" s="1954">
        <f>+'c12_d&amp;s'!O111</f>
        <v>-1293617.5919999999</v>
      </c>
      <c r="M88" s="1954">
        <f>+'c12_d&amp;s'!P111</f>
        <v>-968676.11975999991</v>
      </c>
      <c r="N88" s="1954">
        <f>+'c12_d&amp;s'!Q111</f>
        <v>-1978886.4033528001</v>
      </c>
      <c r="O88" s="1954">
        <f>+'c12_d&amp;s'!R111</f>
        <v>-2400000.1</v>
      </c>
    </row>
    <row r="90" spans="1:15">
      <c r="A90" s="5" t="s">
        <v>170</v>
      </c>
      <c r="B90" s="765"/>
    </row>
    <row r="91" spans="1:15">
      <c r="A91" t="s">
        <v>170</v>
      </c>
      <c r="B91" s="766" t="s">
        <v>171</v>
      </c>
      <c r="C91" s="32">
        <f>+lgh_pref_equity!L47</f>
        <v>51080209.386136912</v>
      </c>
      <c r="D91" s="32">
        <f>+lgh_pref_equity!M47</f>
        <v>49890886.391148508</v>
      </c>
      <c r="E91" s="32">
        <f>+lgh_pref_equity!N47</f>
        <v>50888704.118971482</v>
      </c>
      <c r="F91" s="32">
        <f>+lgh_pref_equity!O47</f>
        <v>51906478.20135092</v>
      </c>
      <c r="G91" s="32">
        <f>+lgh_pref_equity!P47</f>
        <v>54144868.927339561</v>
      </c>
      <c r="H91" s="32">
        <f>+lgh_pref_equity!Q47</f>
        <v>56742197.629923344</v>
      </c>
      <c r="I91" s="32">
        <f>+lgh_pref_equity!R47</f>
        <v>58896375.909288213</v>
      </c>
      <c r="J91" s="32">
        <f>+lgh_pref_equity!S47</f>
        <v>60074303.427473977</v>
      </c>
      <c r="K91" s="32">
        <f>+lgh_pref_equity!T47</f>
        <v>64275789.496023461</v>
      </c>
      <c r="L91" s="1">
        <f>+lgh_pref_equity!U47</f>
        <v>69417852.655705363</v>
      </c>
      <c r="M91" s="1">
        <f>+lgh_pref_equity!V47</f>
        <v>74971280.868161783</v>
      </c>
      <c r="N91" s="1">
        <f>+lgh_pref_equity!W47</f>
        <v>80968983.337614715</v>
      </c>
      <c r="O91" s="1">
        <f>+lgh_pref_equity!X47</f>
        <v>87446502.004623935</v>
      </c>
    </row>
    <row r="92" spans="1:15">
      <c r="A92" t="s">
        <v>170</v>
      </c>
      <c r="B92" t="s">
        <v>172</v>
      </c>
      <c r="C92" s="194">
        <f>+lgh_pref_equity!L55</f>
        <v>0</v>
      </c>
      <c r="D92" s="194">
        <f>+lgh_pref_equity!M55</f>
        <v>6050000</v>
      </c>
      <c r="E92" s="194">
        <f>+lgh_pref_equity!N55</f>
        <v>0</v>
      </c>
      <c r="F92" s="194">
        <f>+lgh_pref_equity!O55</f>
        <v>0</v>
      </c>
      <c r="G92" s="194">
        <f>+lgh_pref_equity!P55</f>
        <v>1200000</v>
      </c>
      <c r="H92" s="194">
        <f>+lgh_pref_equity!Q55</f>
        <v>1500000</v>
      </c>
      <c r="I92" s="194">
        <f>+lgh_pref_equity!R55</f>
        <v>1000000</v>
      </c>
      <c r="J92" s="194">
        <f>+lgh_pref_equity!S55</f>
        <v>0</v>
      </c>
      <c r="K92" s="194">
        <f>+lgh_pref_equity!T55</f>
        <v>3000000</v>
      </c>
      <c r="L92" s="43">
        <f>+lgh_pref_equity!U55</f>
        <v>0</v>
      </c>
      <c r="M92" s="43">
        <f>+lgh_pref_equity!V55</f>
        <v>0</v>
      </c>
      <c r="N92" s="43">
        <f>+lgh_pref_equity!W55</f>
        <v>0</v>
      </c>
      <c r="O92" s="43">
        <f>+lgh_pref_equity!X55</f>
        <v>0</v>
      </c>
    </row>
    <row r="94" spans="1:15">
      <c r="A94" s="5" t="s">
        <v>173</v>
      </c>
      <c r="B94" s="5"/>
    </row>
    <row r="95" spans="1:15">
      <c r="A95" t="s">
        <v>173</v>
      </c>
      <c r="B95" t="s">
        <v>174</v>
      </c>
      <c r="C95" s="32">
        <f>+lgh_debt!G33</f>
        <v>25387076.966665421</v>
      </c>
      <c r="D95" s="32">
        <f>+lgh_debt!I33</f>
        <v>29007182.318074383</v>
      </c>
      <c r="E95" s="32">
        <f>+lgh_debt!K33</f>
        <v>30149897.034891989</v>
      </c>
      <c r="F95" s="32">
        <f>+lgh_debt!M33</f>
        <v>9136912.2028022707</v>
      </c>
      <c r="G95" s="32">
        <f>+lgh_debt!O33</f>
        <v>8575632.538205862</v>
      </c>
      <c r="H95" s="32">
        <f>+lgh_debt!Q33</f>
        <v>7900128.8430335149</v>
      </c>
      <c r="I95" s="32">
        <f>+lgh_debt!S33</f>
        <v>12239223.025316527</v>
      </c>
      <c r="J95" s="32">
        <f>+lgh_debt!U33</f>
        <v>12195991.877848445</v>
      </c>
      <c r="K95" s="32">
        <f>+lgh_debt!W33</f>
        <v>7400513.4327920657</v>
      </c>
      <c r="L95" s="1">
        <f>+lgh_debt!Y33</f>
        <v>0</v>
      </c>
      <c r="M95" s="1">
        <f>+lgh_debt!AA33</f>
        <v>0</v>
      </c>
      <c r="N95" s="1">
        <f>+lgh_debt!AC33</f>
        <v>0</v>
      </c>
      <c r="O95" s="1">
        <f>+lgh_debt!AE33</f>
        <v>0</v>
      </c>
    </row>
    <row r="96" spans="1:15">
      <c r="A96" t="s">
        <v>173</v>
      </c>
      <c r="B96" t="s">
        <v>175</v>
      </c>
      <c r="C96" s="32">
        <f>+lgh_debt!G39</f>
        <v>23600000</v>
      </c>
      <c r="D96" s="32">
        <f>+lgh_debt!I39</f>
        <v>500000</v>
      </c>
      <c r="E96" s="32">
        <f>+lgh_debt!K39</f>
        <v>100000</v>
      </c>
      <c r="F96" s="32">
        <f>+lgh_debt!M39</f>
        <v>0</v>
      </c>
      <c r="G96" s="32">
        <f>+lgh_debt!O39</f>
        <v>2250000</v>
      </c>
      <c r="H96" s="32">
        <f>+lgh_debt!Q39</f>
        <v>250000</v>
      </c>
      <c r="I96" s="32">
        <f>+lgh_debt!S39</f>
        <v>4000000</v>
      </c>
      <c r="J96" s="32">
        <f>+lgh_debt!U39</f>
        <v>0</v>
      </c>
      <c r="K96" s="32">
        <f>+lgh_debt!W39</f>
        <v>0</v>
      </c>
      <c r="L96" s="1">
        <f>+lgh_debt!Y39</f>
        <v>0</v>
      </c>
      <c r="M96" s="1">
        <f>+lgh_debt!Z39</f>
        <v>0</v>
      </c>
      <c r="N96" s="1">
        <f>+lgh_debt!AA39</f>
        <v>0</v>
      </c>
      <c r="O96" s="1">
        <f>+lgh_debt!AB39</f>
        <v>0</v>
      </c>
    </row>
    <row r="97" spans="1:15">
      <c r="A97" t="s">
        <v>173</v>
      </c>
      <c r="B97" t="s">
        <v>176</v>
      </c>
      <c r="C97" s="32">
        <f>+lgh_debt!H43</f>
        <v>0</v>
      </c>
      <c r="D97" s="32">
        <f>+lgh_debt!J43</f>
        <v>-2098064.6920041367</v>
      </c>
      <c r="E97" s="32">
        <f>+lgh_debt!L43</f>
        <v>0</v>
      </c>
      <c r="F97" s="32">
        <f>+lgh_debt!N43</f>
        <v>0</v>
      </c>
      <c r="G97" s="32">
        <f>+lgh_debt!P43</f>
        <v>-3200000</v>
      </c>
      <c r="H97" s="32">
        <f>+lgh_debt!R43</f>
        <v>0</v>
      </c>
      <c r="I97" s="32">
        <f>+lgh_debt!T43</f>
        <v>0</v>
      </c>
      <c r="J97" s="32">
        <f>+lgh_debt!V43</f>
        <v>-517878.33639449568</v>
      </c>
      <c r="K97" s="32">
        <f>+lgh_debt!X43</f>
        <v>-5284163.4049663218</v>
      </c>
      <c r="L97" s="1">
        <f>+lgh_debt!Z43</f>
        <v>-8541128.1193504781</v>
      </c>
      <c r="M97" s="1">
        <f>+lgh_debt!AA43</f>
        <v>0</v>
      </c>
      <c r="N97" s="1">
        <f>+lgh_debt!AB43</f>
        <v>0</v>
      </c>
      <c r="O97" s="1">
        <f>+lgh_debt!AC43</f>
        <v>0</v>
      </c>
    </row>
    <row r="99" spans="1:15">
      <c r="A99" s="5" t="s">
        <v>177</v>
      </c>
      <c r="B99" s="5"/>
    </row>
    <row r="100" spans="1:15">
      <c r="A100" t="s">
        <v>177</v>
      </c>
      <c r="B100" t="s">
        <v>171</v>
      </c>
      <c r="C100" s="32">
        <f>+lgh_other_liabs!F23</f>
        <v>812241.1</v>
      </c>
      <c r="D100" s="32">
        <f>+lgh_other_liabs!H23</f>
        <v>3383115.7765908856</v>
      </c>
      <c r="E100" s="32">
        <f>+lgh_other_liabs!J23</f>
        <v>5020671.3604204301</v>
      </c>
      <c r="F100" s="32">
        <f>+lgh_other_liabs!L23</f>
        <v>5081889.2059414517</v>
      </c>
      <c r="G100" s="32">
        <f>+lgh_other_liabs!N23</f>
        <v>6989833.6678437497</v>
      </c>
      <c r="H100" s="32">
        <f>+lgh_other_liabs!P23</f>
        <v>8001344.413481757</v>
      </c>
      <c r="I100" s="32">
        <f>+lgh_other_liabs!R23</f>
        <v>8575801.243056858</v>
      </c>
      <c r="J100" s="32">
        <f>+lgh_other_liabs!T23</f>
        <v>8582691.7381072436</v>
      </c>
      <c r="K100" s="32">
        <f>+lgh_other_liabs!V23</f>
        <v>17286474.095939837</v>
      </c>
      <c r="L100" s="1">
        <f>+lgh_other_liabs!X23</f>
        <v>18797445.210330814</v>
      </c>
      <c r="M100" s="1">
        <f>+lgh_other_liabs!Z23</f>
        <v>21168561.991880435</v>
      </c>
      <c r="N100" s="1">
        <f>+lgh_other_liabs!AB23</f>
        <v>24343846.290662497</v>
      </c>
      <c r="O100" s="1">
        <f>+lgh_other_liabs!AD23</f>
        <v>27995423.23426187</v>
      </c>
    </row>
    <row r="101" spans="1:15">
      <c r="A101" t="s">
        <v>177</v>
      </c>
      <c r="B101" t="s">
        <v>178</v>
      </c>
      <c r="C101" s="32">
        <f>+lgh_other_liabs!F29</f>
        <v>62241.099999999977</v>
      </c>
      <c r="D101" s="32">
        <f>+lgh_other_liabs!H29</f>
        <v>-86000</v>
      </c>
      <c r="E101" s="32">
        <f>+lgh_other_liabs!J29</f>
        <v>142999.85000000009</v>
      </c>
      <c r="F101" s="32">
        <f>+lgh_other_liabs!L29</f>
        <v>0</v>
      </c>
      <c r="G101" s="32">
        <f>+lgh_other_liabs!N29</f>
        <v>1625000</v>
      </c>
      <c r="H101" s="32">
        <f>+lgh_other_liabs!P29</f>
        <v>0</v>
      </c>
      <c r="I101" s="32">
        <f>+lgh_other_liabs!R29</f>
        <v>0</v>
      </c>
      <c r="J101" s="32">
        <f>+lgh_other_liabs!T29</f>
        <v>0</v>
      </c>
      <c r="K101" s="32">
        <f>+lgh_other_liabs!V29</f>
        <v>16000000</v>
      </c>
      <c r="L101" s="1">
        <f>+lgh_other_liabs!X29</f>
        <v>0</v>
      </c>
      <c r="M101" s="1">
        <f>+lgh_other_liabs!Z29</f>
        <v>0</v>
      </c>
      <c r="N101" s="1">
        <f>+lgh_other_liabs!AB29</f>
        <v>0</v>
      </c>
      <c r="O101" s="1">
        <f>+lgh_other_liabs!AD29</f>
        <v>0</v>
      </c>
    </row>
    <row r="102" spans="1:15">
      <c r="A102" t="s">
        <v>177</v>
      </c>
      <c r="B102" t="s">
        <v>179</v>
      </c>
      <c r="C102" s="32">
        <f>+lgh_other_liabs!G33</f>
        <v>0</v>
      </c>
      <c r="D102" s="32">
        <f>+lgh_other_liabs!I33</f>
        <v>0</v>
      </c>
      <c r="E102" s="32">
        <f>+lgh_other_liabs!K33</f>
        <v>0</v>
      </c>
      <c r="F102" s="32">
        <f>+lgh_other_liabs!M33</f>
        <v>0</v>
      </c>
      <c r="G102" s="32">
        <f>+lgh_other_liabs!O33</f>
        <v>-2671203.5474885241</v>
      </c>
      <c r="H102" s="32">
        <f>+lgh_other_liabs!Q33</f>
        <v>-435000</v>
      </c>
      <c r="I102" s="32">
        <f>+lgh_other_liabs!S33</f>
        <v>-1052241.1000000001</v>
      </c>
      <c r="J102" s="32">
        <f>+lgh_other_liabs!U33</f>
        <v>0</v>
      </c>
      <c r="K102" s="32">
        <f>+lgh_other_liabs!W33</f>
        <v>-7309780.3348903265</v>
      </c>
      <c r="L102" s="1">
        <f>+lgh_other_liabs!Y33</f>
        <v>-890000</v>
      </c>
      <c r="M102" s="1">
        <f>+lgh_other_liabs!AA33</f>
        <v>-390000</v>
      </c>
      <c r="N102" s="1">
        <f>+lgh_other_liabs!AC33</f>
        <v>0</v>
      </c>
      <c r="O102" s="1">
        <f>+lgh_other_liabs!AE33</f>
        <v>0</v>
      </c>
    </row>
    <row r="103" spans="1:15">
      <c r="L103" s="1"/>
      <c r="M103" s="1"/>
      <c r="N103" s="1"/>
      <c r="O103" s="1"/>
    </row>
    <row r="104" spans="1:15">
      <c r="A104" t="s">
        <v>180</v>
      </c>
      <c r="B104" t="s">
        <v>181</v>
      </c>
      <c r="C104" s="32">
        <f>+lgh_cuda!B10</f>
        <v>9000000</v>
      </c>
      <c r="D104" s="32">
        <f>+lgh_cuda!C10</f>
        <v>-7450000</v>
      </c>
      <c r="E104" s="32">
        <f>+lgh_cuda!D10</f>
        <v>-1550000</v>
      </c>
      <c r="F104" s="32">
        <f>+lgh_cuda!E10</f>
        <v>0</v>
      </c>
      <c r="G104" s="32">
        <f>+lgh_cuda!F10</f>
        <v>0</v>
      </c>
      <c r="H104" s="32">
        <f>+lgh_cuda!G10</f>
        <v>0</v>
      </c>
      <c r="I104" s="32">
        <f>+lgh_cuda!H10</f>
        <v>0</v>
      </c>
      <c r="J104" s="32">
        <f>+lgh_cuda!I10</f>
        <v>0</v>
      </c>
      <c r="K104" s="32">
        <f>+lgh_cuda!J10</f>
        <v>0</v>
      </c>
      <c r="L104">
        <f>+lgh_cuda!K10</f>
        <v>0</v>
      </c>
      <c r="M104">
        <f>+lgh_cuda!L10</f>
        <v>0</v>
      </c>
      <c r="N104">
        <f>+lgh_cuda!M10</f>
        <v>0</v>
      </c>
      <c r="O104">
        <f>+lgh_cuda!N10</f>
        <v>0</v>
      </c>
    </row>
    <row r="106" spans="1:15">
      <c r="A106" s="5" t="s">
        <v>182</v>
      </c>
      <c r="B106" s="5"/>
    </row>
    <row r="107" spans="1:15">
      <c r="A107" t="s">
        <v>182</v>
      </c>
      <c r="B107" t="s">
        <v>183</v>
      </c>
      <c r="C107" s="32">
        <f>+lgh_other_assets!B47</f>
        <v>3570254</v>
      </c>
      <c r="D107" s="32">
        <f>+lgh_other_assets!C47</f>
        <v>4127899.1225000005</v>
      </c>
      <c r="E107" s="32">
        <f>+lgh_other_assets!D47</f>
        <v>5669544.2450000001</v>
      </c>
      <c r="F107" s="32">
        <f>+lgh_other_assets!E47</f>
        <v>3871434.3674999997</v>
      </c>
      <c r="G107" s="32">
        <f>+lgh_other_assets!F47</f>
        <v>4397214.49</v>
      </c>
      <c r="H107" s="32">
        <f>+lgh_other_assets!G47</f>
        <v>8130085.6322500007</v>
      </c>
      <c r="I107" s="32">
        <f>+lgh_other_assets!H47</f>
        <v>8361313.9869999997</v>
      </c>
      <c r="J107" s="32">
        <f>+lgh_other_assets!I47</f>
        <v>8205723.3417500006</v>
      </c>
      <c r="K107" s="32">
        <f>+lgh_other_assets!J47</f>
        <v>7808593.6465000007</v>
      </c>
      <c r="L107" s="1">
        <f>+lgh_other_assets!K47</f>
        <v>6597505.9230199996</v>
      </c>
      <c r="M107" s="1">
        <f>+lgh_other_assets!L47</f>
        <v>6303210.2286530994</v>
      </c>
      <c r="N107" s="1">
        <f>+lgh_other_assets!M47</f>
        <v>4448477.7518301923</v>
      </c>
      <c r="O107" s="1">
        <f>+lgh_other_assets!N47</f>
        <v>5600000.2333333343</v>
      </c>
    </row>
    <row r="108" spans="1:15">
      <c r="A108" t="s">
        <v>182</v>
      </c>
      <c r="B108" t="s">
        <v>184</v>
      </c>
      <c r="C108" s="32">
        <f>+sat_cs2!B33</f>
        <v>0</v>
      </c>
      <c r="D108" s="32">
        <f>+sat_cs2!C33</f>
        <v>0</v>
      </c>
      <c r="E108" s="32">
        <f>+sat_cs2!D33</f>
        <v>0</v>
      </c>
      <c r="F108" s="32">
        <f>+sat_cs2!E33</f>
        <v>0</v>
      </c>
      <c r="G108" s="32">
        <f>+sat_cs2!F33</f>
        <v>0</v>
      </c>
      <c r="H108" s="32">
        <f>+sat_cs2!G33</f>
        <v>0</v>
      </c>
      <c r="I108" s="32">
        <f>+sat_cs2!H33</f>
        <v>0</v>
      </c>
      <c r="J108" s="32">
        <f>+sat_cs2!I33</f>
        <v>0</v>
      </c>
      <c r="K108" s="32">
        <f>+sat_cs2!J33</f>
        <v>16000000</v>
      </c>
      <c r="L108" s="1">
        <f>+sat_cs2!K33</f>
        <v>16000000</v>
      </c>
      <c r="M108" s="1">
        <f>+sat_cs2!L33</f>
        <v>20333333.333333332</v>
      </c>
      <c r="N108" s="1">
        <f>+sat_cs2!M33</f>
        <v>22077380.952380951</v>
      </c>
      <c r="O108" s="1">
        <f>+sat_cs2!N33</f>
        <v>21709415.5844156</v>
      </c>
    </row>
    <row r="109" spans="1:15">
      <c r="A109" t="s">
        <v>182</v>
      </c>
      <c r="B109" t="s">
        <v>185</v>
      </c>
      <c r="C109" s="32">
        <f>+lgh_other_assets!B31</f>
        <v>0</v>
      </c>
      <c r="D109" s="32">
        <f>+lgh_other_assets!C31</f>
        <v>0</v>
      </c>
      <c r="E109" s="32">
        <f>+lgh_other_assets!D31</f>
        <v>0</v>
      </c>
      <c r="F109" s="32">
        <f>+lgh_other_assets!E31</f>
        <v>0</v>
      </c>
      <c r="G109" s="32">
        <f>+lgh_other_assets!F31</f>
        <v>0</v>
      </c>
      <c r="H109" s="32">
        <f>+lgh_other_assets!G31</f>
        <v>0</v>
      </c>
      <c r="I109" s="32">
        <f>+lgh_other_assets!H31</f>
        <v>0</v>
      </c>
      <c r="J109" s="32">
        <f>+lgh_other_assets!I31</f>
        <v>0</v>
      </c>
      <c r="K109" s="32">
        <f>+lgh_other_assets!J31</f>
        <v>0</v>
      </c>
      <c r="L109" s="1">
        <f>+lgh_other_assets!K31</f>
        <v>12500000</v>
      </c>
      <c r="M109" s="1">
        <f>+lgh_other_assets!L31</f>
        <v>18750000</v>
      </c>
      <c r="N109" s="1">
        <f>+lgh_other_assets!M31</f>
        <v>25000000</v>
      </c>
      <c r="O109" s="1">
        <f>+lgh_other_assets!N31</f>
        <v>45000000</v>
      </c>
    </row>
    <row r="110" spans="1:15">
      <c r="L110" s="1"/>
      <c r="M110" s="1"/>
      <c r="N110" s="1"/>
      <c r="O110" s="1"/>
    </row>
    <row r="111" spans="1:15">
      <c r="A111" s="5" t="s">
        <v>186</v>
      </c>
      <c r="B111" s="5"/>
      <c r="L111" s="1"/>
      <c r="M111" s="1"/>
      <c r="N111" s="1"/>
      <c r="O111" s="1"/>
    </row>
    <row r="112" spans="1:15">
      <c r="A112" t="s">
        <v>186</v>
      </c>
      <c r="B112" t="s">
        <v>187</v>
      </c>
      <c r="C112" s="32">
        <f>lgh_oc!D77</f>
        <v>251128</v>
      </c>
      <c r="D112" s="32">
        <f>lgh_oc!E77</f>
        <v>2157250.0604958632</v>
      </c>
      <c r="E112" s="32">
        <f>lgh_oc!F77</f>
        <v>-1901678.3370041354</v>
      </c>
      <c r="F112" s="32">
        <f>lgh_oc!G77</f>
        <v>-4449399.8520317376</v>
      </c>
      <c r="G112" s="32">
        <f>lgh_oc!H77</f>
        <v>421309.35297973827</v>
      </c>
      <c r="H112" s="32">
        <f>lgh_oc!I77</f>
        <v>3004754.9189604204</v>
      </c>
      <c r="I112" s="32">
        <f>lgh_oc!J77</f>
        <v>8121004.3843232896</v>
      </c>
      <c r="J112" s="32">
        <f>lgh_oc!K77</f>
        <v>4353548.6234584805</v>
      </c>
      <c r="K112" s="32">
        <f>lgh_oc!L77</f>
        <v>418312.49682895653</v>
      </c>
      <c r="L112" s="32">
        <f>lgh_oc!M77</f>
        <v>2435212.2214517216</v>
      </c>
      <c r="M112" s="32">
        <f>lgh_oc!N77</f>
        <v>6360563.7603085078</v>
      </c>
      <c r="N112" s="32">
        <f>lgh_oc!O77</f>
        <v>6861431.0546805738</v>
      </c>
      <c r="O112" s="32">
        <f>lgh_oc!P77</f>
        <v>9803960.4440200888</v>
      </c>
    </row>
    <row r="114" spans="1:16">
      <c r="A114" s="5" t="s">
        <v>188</v>
      </c>
      <c r="B114" s="5"/>
      <c r="K114" s="3"/>
    </row>
    <row r="115" spans="1:16">
      <c r="A115" t="s">
        <v>188</v>
      </c>
      <c r="B115" t="s">
        <v>189</v>
      </c>
      <c r="C115" s="32">
        <f>+lgh_ci!B11</f>
        <v>0</v>
      </c>
      <c r="D115" s="32">
        <f>+lgh_ci!C11</f>
        <v>0</v>
      </c>
      <c r="E115" s="32">
        <f>+lgh_ci!D11</f>
        <v>0</v>
      </c>
      <c r="F115" s="32">
        <f>+lgh_ci!E11</f>
        <v>2497177.7861014456</v>
      </c>
      <c r="G115" s="32">
        <f>+lgh_ci!F11</f>
        <v>960064.93923475733</v>
      </c>
      <c r="H115" s="32">
        <f>+lgh_ci!G11</f>
        <v>2881589.7153254538</v>
      </c>
      <c r="I115" s="32">
        <f>+lgh_ci!H11</f>
        <v>5188101.0901484545</v>
      </c>
      <c r="J115" s="32">
        <f>+lgh_ci!I11</f>
        <v>7778604.6408032831</v>
      </c>
      <c r="K115" s="32">
        <f>+lgh_ci!J11</f>
        <v>12453282.234157892</v>
      </c>
      <c r="L115" s="32">
        <f>+lgh_ci!K11</f>
        <v>21785685.056350663</v>
      </c>
      <c r="M115" s="32">
        <f>+lgh_ci!L11</f>
        <v>35391213.888476186</v>
      </c>
      <c r="N115" s="32">
        <f>+lgh_ci!M11</f>
        <v>49743793.99508965</v>
      </c>
      <c r="O115" s="32">
        <f>+lgh_ci!N11</f>
        <v>66050876.462106347</v>
      </c>
    </row>
    <row r="116" spans="1:16">
      <c r="A116" t="s">
        <v>188</v>
      </c>
      <c r="B116" t="s">
        <v>190</v>
      </c>
      <c r="C116" s="32">
        <f>+lgh_ci!B15</f>
        <v>0</v>
      </c>
      <c r="D116" s="32">
        <f>+lgh_ci!C15</f>
        <v>0</v>
      </c>
      <c r="E116" s="32">
        <f>+lgh_ci!D15</f>
        <v>0</v>
      </c>
      <c r="F116" s="32">
        <f>+lgh_ci!E15</f>
        <v>3000000</v>
      </c>
      <c r="G116" s="32">
        <f>+lgh_ci!F15</f>
        <v>-585090.93368916214</v>
      </c>
      <c r="H116" s="32">
        <f>+lgh_ci!G15</f>
        <v>-21893.995763110928</v>
      </c>
      <c r="I116" s="32">
        <f>+lgh_ci!H15</f>
        <v>1020668.3258750709</v>
      </c>
      <c r="J116" s="32">
        <f>+lgh_ci!I15</f>
        <v>3058469.6950972788</v>
      </c>
      <c r="K116" s="32">
        <f>+lgh_ci!J15</f>
        <v>4268047.8291666713</v>
      </c>
      <c r="L116" s="32">
        <f>+lgh_ci!K15</f>
        <v>8216193.9481176771</v>
      </c>
      <c r="M116" s="32">
        <f>+lgh_ci!L15</f>
        <v>21632166.449108385</v>
      </c>
      <c r="N116" s="32">
        <f>+lgh_ci!M15</f>
        <v>32809673.248752996</v>
      </c>
      <c r="O116" s="32">
        <f>+lgh_ci!N15</f>
        <v>54861763.199551404</v>
      </c>
      <c r="P116" s="32"/>
    </row>
    <row r="117" spans="1:16">
      <c r="K117" s="3"/>
    </row>
    <row r="118" spans="1:16">
      <c r="A118" s="5" t="s">
        <v>191</v>
      </c>
      <c r="B118" s="5"/>
      <c r="K118" s="3"/>
    </row>
    <row r="119" spans="1:16">
      <c r="A119" t="s">
        <v>191</v>
      </c>
      <c r="B119" t="s">
        <v>130</v>
      </c>
      <c r="C119" s="32">
        <f>+lgh_bs!D38</f>
        <v>119773010.1849418</v>
      </c>
      <c r="D119" s="32">
        <f>+lgh_bs!E38</f>
        <v>133270749.11738586</v>
      </c>
      <c r="E119" s="32">
        <f>+lgh_bs!F38</f>
        <v>135457214.35874093</v>
      </c>
      <c r="F119" s="32">
        <f>+lgh_bs!G38</f>
        <v>158323925.95367149</v>
      </c>
      <c r="G119" s="32">
        <f>+lgh_bs!H38</f>
        <v>153200216.46411586</v>
      </c>
      <c r="H119" s="32">
        <f>+lgh_bs!I38</f>
        <v>159605299.05108485</v>
      </c>
      <c r="I119" s="32">
        <f>+lgh_bs!J38</f>
        <v>167293670.30049485</v>
      </c>
      <c r="J119" s="32">
        <f>+lgh_bs!K38</f>
        <v>175928682.13601094</v>
      </c>
      <c r="K119" s="32">
        <f>+lgh_bs!L38</f>
        <v>191510940.78052631</v>
      </c>
      <c r="L119" s="32">
        <f>+lgh_bs!M38</f>
        <v>222618950.18783551</v>
      </c>
      <c r="M119" s="32">
        <f>+lgh_bs!N38</f>
        <v>267970712.96158728</v>
      </c>
      <c r="N119" s="32">
        <f>+lgh_bs!O38</f>
        <v>315812646.65029883</v>
      </c>
      <c r="O119" s="32">
        <f>+lgh_bs!P38</f>
        <v>370169588.20702118</v>
      </c>
    </row>
    <row r="120" spans="1:16">
      <c r="A120" t="s">
        <v>191</v>
      </c>
      <c r="B120" t="s">
        <v>192</v>
      </c>
      <c r="C120" s="32">
        <f>+lgh_bs!D43</f>
        <v>129773010.1849418</v>
      </c>
      <c r="D120" s="32">
        <f>+lgh_bs!E43</f>
        <v>143270749.11738586</v>
      </c>
      <c r="E120" s="32">
        <f>+lgh_bs!F43</f>
        <v>145457214.35874093</v>
      </c>
      <c r="F120" s="32">
        <f>+lgh_bs!G43</f>
        <v>168323925.95367149</v>
      </c>
      <c r="G120" s="32">
        <f>+lgh_bs!H43</f>
        <v>151249913.35181865</v>
      </c>
      <c r="H120" s="32">
        <f>+lgh_bs!I43</f>
        <v>159532319.06520781</v>
      </c>
      <c r="I120" s="32">
        <f>+lgh_bs!J43</f>
        <v>170695898.05341175</v>
      </c>
      <c r="J120" s="32">
        <f>+lgh_bs!K43</f>
        <v>186123581.11966854</v>
      </c>
      <c r="K120" s="32">
        <f>+lgh_bs!L43</f>
        <v>205737766.87774855</v>
      </c>
      <c r="L120" s="32">
        <f>+lgh_bs!M43</f>
        <v>250006263.3482278</v>
      </c>
      <c r="M120" s="32">
        <f>+lgh_bs!N43</f>
        <v>340077934.45861524</v>
      </c>
      <c r="N120" s="32">
        <f>+lgh_bs!O43</f>
        <v>425178224.14614218</v>
      </c>
      <c r="O120" s="32">
        <f>+lgh_bs!P43</f>
        <v>553042132.20552588</v>
      </c>
    </row>
    <row r="121" spans="1:16">
      <c r="K121" s="3"/>
    </row>
    <row r="122" spans="1:16">
      <c r="A122" s="5" t="s">
        <v>182</v>
      </c>
      <c r="B122" s="5"/>
      <c r="K122" s="3"/>
    </row>
    <row r="123" spans="1:16">
      <c r="A123" t="s">
        <v>182</v>
      </c>
      <c r="B123" t="s">
        <v>193</v>
      </c>
      <c r="C123" s="32">
        <f>+lgh_other_assets!B35</f>
        <v>0</v>
      </c>
      <c r="D123" s="32">
        <f>+lgh_other_assets!C35</f>
        <v>0</v>
      </c>
      <c r="E123" s="32">
        <f>+lgh_other_assets!D35</f>
        <v>0</v>
      </c>
      <c r="F123" s="32">
        <f>+lgh_other_assets!E35</f>
        <v>0</v>
      </c>
      <c r="G123" s="32">
        <f>+lgh_other_assets!F35</f>
        <v>0</v>
      </c>
      <c r="H123" s="32">
        <f>+lgh_other_assets!G35</f>
        <v>0</v>
      </c>
      <c r="I123" s="32">
        <f>+lgh_other_assets!H35</f>
        <v>0</v>
      </c>
      <c r="J123" s="32">
        <f>+lgh_other_assets!I35</f>
        <v>0</v>
      </c>
      <c r="K123" s="3">
        <f>+lgh_other_assets!J35</f>
        <v>0</v>
      </c>
      <c r="L123">
        <f>+lgh_other_assets!K35</f>
        <v>0</v>
      </c>
      <c r="M123">
        <f>+lgh_other_assets!L35</f>
        <v>0</v>
      </c>
      <c r="N123">
        <f>+lgh_other_assets!M35</f>
        <v>0</v>
      </c>
      <c r="O123">
        <f>+lgh_other_assets!N35</f>
        <v>0</v>
      </c>
    </row>
    <row r="124" spans="1:16">
      <c r="K124" s="3"/>
    </row>
    <row r="125" spans="1:16">
      <c r="A125" s="5" t="s">
        <v>194</v>
      </c>
      <c r="B125" s="5"/>
      <c r="K125" s="3"/>
    </row>
    <row r="126" spans="1:16">
      <c r="A126" t="s">
        <v>194</v>
      </c>
      <c r="B126" t="s">
        <v>195</v>
      </c>
      <c r="C126" s="32">
        <f>+lgh_cuda!B6</f>
        <v>6000000</v>
      </c>
      <c r="D126" s="32">
        <f>+lgh_cuda!C6</f>
        <v>-6050000</v>
      </c>
      <c r="E126" s="32">
        <f>+lgh_cuda!D6</f>
        <v>0</v>
      </c>
      <c r="F126" s="32">
        <f>+lgh_cuda!E6</f>
        <v>0</v>
      </c>
      <c r="G126" s="32">
        <f>+lgh_cuda!F6</f>
        <v>0</v>
      </c>
      <c r="H126" s="32">
        <f>+lgh_cuda!G6</f>
        <v>0</v>
      </c>
      <c r="I126" s="32">
        <f>+lgh_cuda!H6</f>
        <v>0</v>
      </c>
      <c r="J126" s="32">
        <f>+lgh_cuda!I6</f>
        <v>0</v>
      </c>
      <c r="K126" s="3">
        <f>+lgh_cuda!J6</f>
        <v>0</v>
      </c>
      <c r="L126">
        <f>+lgh_cuda!K6</f>
        <v>0</v>
      </c>
      <c r="M126">
        <f>+lgh_cuda!L6</f>
        <v>0</v>
      </c>
      <c r="N126">
        <f>+lgh_cuda!M6</f>
        <v>0</v>
      </c>
      <c r="O126">
        <f>+lgh_cuda!N6</f>
        <v>0</v>
      </c>
    </row>
    <row r="127" spans="1:16">
      <c r="A127" t="s">
        <v>140</v>
      </c>
      <c r="B127" t="s">
        <v>196</v>
      </c>
      <c r="C127" s="32">
        <f>+'c12_oc'!B40</f>
        <v>-5450569</v>
      </c>
      <c r="D127" s="32">
        <f>+'c12_oc'!C40</f>
        <v>-1637186</v>
      </c>
      <c r="E127" s="32">
        <f>+'c12_oc'!D40</f>
        <v>-1733477</v>
      </c>
      <c r="F127" s="32">
        <f>+'c12_oc'!E40</f>
        <v>-1694124</v>
      </c>
      <c r="G127" s="32">
        <f>+'c12_oc'!F40</f>
        <v>-3109273</v>
      </c>
      <c r="H127" s="32">
        <f>+'c12_oc'!G40</f>
        <v>-3917714.36</v>
      </c>
      <c r="I127" s="32">
        <f>+'c12_oc'!H40</f>
        <v>-4742246.5398626681</v>
      </c>
      <c r="J127" s="32">
        <f>+'c12_oc'!I40</f>
        <v>-2968724.1506860717</v>
      </c>
      <c r="K127" s="3">
        <f>+'c12_oc'!J40</f>
        <v>-4689321.0773</v>
      </c>
      <c r="L127">
        <f>+'c12_oc'!K40</f>
        <v>-13266364.132103998</v>
      </c>
      <c r="M127">
        <f>+'c12_oc'!L40</f>
        <v>-13803437.523463439</v>
      </c>
      <c r="N127">
        <f>+'c12_oc'!M40</f>
        <v>-13242450.65316527</v>
      </c>
      <c r="O127">
        <f>+'c12_oc'!N40</f>
        <v>-13524175.12502921</v>
      </c>
    </row>
    <row r="128" spans="1:16">
      <c r="A128" t="s">
        <v>140</v>
      </c>
      <c r="B128" t="s">
        <v>197</v>
      </c>
      <c r="C128" s="32">
        <f>+bermuda_cs2!B$32+elbow_cs2!B$30+austin_cs2!E$34+turks_cs2!B$33+frith_cs2!B$30</f>
        <v>0</v>
      </c>
      <c r="D128" s="32">
        <f>+bermuda_cs2!C$32+elbow_cs2!C$30+austin_cs2!F$34+turks_cs2!C$33+frith_cs2!C$30</f>
        <v>1250000</v>
      </c>
      <c r="E128" s="32">
        <f>+bermuda_cs2!D$32+elbow_cs2!D$30+austin_cs2!G$34+turks_cs2!D$33+frith_cs2!D$30</f>
        <v>2500000</v>
      </c>
      <c r="F128" s="32">
        <f>+bermuda_cs2!E$32+elbow_cs2!E$30+austin_cs2!H$34+turks_cs2!E$33+frith_cs2!E$30</f>
        <v>3750000</v>
      </c>
      <c r="G128" s="32">
        <f>+bermuda_cs2!F$32+elbow_cs2!F$30+austin_cs2!I$34+turks_cs2!F$33+frith_cs2!F$30</f>
        <v>5000000</v>
      </c>
      <c r="H128" s="32">
        <f>+bermuda_cs2!G$32+elbow_cs2!G$30+austin_cs2!J$34+turks_cs2!G$33+frith_cs2!G$30</f>
        <v>6250000</v>
      </c>
      <c r="I128" s="32">
        <f>+bermuda_cs2!H$32+elbow_cs2!H$30+austin_cs2!K$34+turks_cs2!H$33+frith_cs2!H$30</f>
        <v>7500000</v>
      </c>
      <c r="J128" s="32">
        <f>+bermuda_cs2!I$32+elbow_cs2!I$30+austin_cs2!L$34+turks_cs2!I$33+frith_cs2!I$30</f>
        <v>8750000</v>
      </c>
      <c r="K128" s="3">
        <f>+bermuda_cs2!J$32+elbow_cs2!J$30+austin_cs2!M$34+turks_cs2!J$33+frith_cs2!J$30</f>
        <v>9000000</v>
      </c>
      <c r="L128">
        <f>+bermuda_cs2!K$32+elbow_cs2!K$30+austin_cs2!N$34+turks_cs2!K$33+frith_cs2!K$30</f>
        <v>11700000</v>
      </c>
      <c r="M128">
        <f>+bermuda_cs2!L$32+elbow_cs2!L$30+austin_cs2!O$34+turks_cs2!L$33+frith_cs2!L$30</f>
        <v>16700000</v>
      </c>
      <c r="N128">
        <f>+bermuda_cs2!M$32+elbow_cs2!M$30+austin_cs2!P$34+turks_cs2!M$33+frith_cs2!M$30</f>
        <v>21700000</v>
      </c>
      <c r="O128">
        <f>+bermuda_cs2!N$32+elbow_cs2!N$30+austin_cs2!Q$34+turks_cs2!N$33+frith_cs2!N$30</f>
        <v>26700000</v>
      </c>
    </row>
    <row r="129" spans="1:15">
      <c r="A129" t="s">
        <v>198</v>
      </c>
      <c r="B129" t="s">
        <v>199</v>
      </c>
      <c r="C129" s="32">
        <f>+lgh_equity!B14</f>
        <v>0</v>
      </c>
      <c r="D129" s="32">
        <f>+lgh_equity!C14</f>
        <v>0</v>
      </c>
      <c r="E129" s="32">
        <f>+lgh_equity!D14</f>
        <v>23600000</v>
      </c>
      <c r="F129" s="32">
        <f>+lgh_equity!E14</f>
        <v>200000</v>
      </c>
      <c r="G129" s="32">
        <f>+lgh_equity!F14</f>
        <v>0</v>
      </c>
      <c r="H129" s="32">
        <f>+lgh_equity!G14</f>
        <v>0</v>
      </c>
      <c r="I129" s="32">
        <f>+lgh_equity!H14</f>
        <v>0</v>
      </c>
      <c r="J129" s="32">
        <f>+lgh_equity!I14</f>
        <v>0</v>
      </c>
      <c r="K129" s="3">
        <f>+lgh_equity!J14</f>
        <v>0</v>
      </c>
      <c r="L129">
        <f>+lgh_equity!K14</f>
        <v>0</v>
      </c>
      <c r="M129">
        <f>+lgh_equity!L14</f>
        <v>0</v>
      </c>
      <c r="N129">
        <f>+lgh_equity!M14</f>
        <v>0</v>
      </c>
      <c r="O129">
        <f>+lgh_equity!N14</f>
        <v>0</v>
      </c>
    </row>
    <row r="130" spans="1:15">
      <c r="A130" t="s">
        <v>198</v>
      </c>
      <c r="B130" t="s">
        <v>200</v>
      </c>
      <c r="C130" s="32">
        <f>+lgh_equity!B18</f>
        <v>0</v>
      </c>
      <c r="D130" s="32">
        <f>+lgh_equity!C18</f>
        <v>0</v>
      </c>
      <c r="E130" s="32">
        <f>+lgh_equity!D18</f>
        <v>-23600000</v>
      </c>
      <c r="F130" s="32">
        <f>+lgh_equity!E18</f>
        <v>0</v>
      </c>
      <c r="G130" s="32">
        <f>+lgh_equity!F18</f>
        <v>0</v>
      </c>
      <c r="H130" s="32">
        <f>+lgh_equity!G18</f>
        <v>0</v>
      </c>
      <c r="I130" s="32">
        <f>+lgh_equity!H18</f>
        <v>0</v>
      </c>
      <c r="J130" s="32">
        <f>+lgh_equity!I18</f>
        <v>0</v>
      </c>
      <c r="K130" s="3">
        <f>+lgh_equity!J18</f>
        <v>0</v>
      </c>
      <c r="L130">
        <f>+lgh_equity!K18</f>
        <v>0</v>
      </c>
      <c r="M130">
        <f>+lgh_equity!L18</f>
        <v>0</v>
      </c>
      <c r="N130">
        <f>+lgh_equity!M18</f>
        <v>0</v>
      </c>
      <c r="O130">
        <f>+lgh_equity!N18</f>
        <v>0</v>
      </c>
    </row>
    <row r="131" spans="1:15">
      <c r="A131" t="s">
        <v>194</v>
      </c>
      <c r="B131" t="s">
        <v>201</v>
      </c>
      <c r="C131" s="32">
        <f>+lgh_cuda!B19</f>
        <v>0</v>
      </c>
      <c r="D131" s="32">
        <f>+lgh_cuda!C19</f>
        <v>-6050000</v>
      </c>
      <c r="E131" s="32">
        <f>+lgh_cuda!D19</f>
        <v>-1200000</v>
      </c>
      <c r="F131" s="32">
        <f>+lgh_cuda!E19</f>
        <v>0</v>
      </c>
      <c r="G131" s="32">
        <f>+lgh_cuda!F19</f>
        <v>0</v>
      </c>
      <c r="H131" s="32">
        <f>+lgh_cuda!G19</f>
        <v>0</v>
      </c>
      <c r="I131" s="32">
        <f>+lgh_cuda!H19</f>
        <v>0</v>
      </c>
      <c r="J131" s="32">
        <f>+lgh_cuda!I19</f>
        <v>0</v>
      </c>
      <c r="K131" s="3">
        <f>+lgh_cuda!J19</f>
        <v>0</v>
      </c>
      <c r="L131">
        <f>+lgh_cuda!K19</f>
        <v>0</v>
      </c>
      <c r="M131">
        <f>+lgh_cuda!L19</f>
        <v>0</v>
      </c>
      <c r="N131">
        <f>+lgh_cuda!M19</f>
        <v>0</v>
      </c>
      <c r="O131">
        <f>+lgh_cuda!N19</f>
        <v>0</v>
      </c>
    </row>
    <row r="132" spans="1:15">
      <c r="A132" t="s">
        <v>194</v>
      </c>
      <c r="B132" t="s">
        <v>202</v>
      </c>
      <c r="C132" s="32">
        <f>+lgh_cuda!B16</f>
        <v>6000000</v>
      </c>
      <c r="D132" s="32">
        <f>+lgh_cuda!C16</f>
        <v>0</v>
      </c>
      <c r="E132" s="32">
        <f>+lgh_cuda!D16</f>
        <v>0</v>
      </c>
      <c r="F132" s="32">
        <f>+lgh_cuda!E16</f>
        <v>0</v>
      </c>
      <c r="G132" s="32">
        <f>+lgh_cuda!F16</f>
        <v>0</v>
      </c>
      <c r="H132" s="32">
        <f>+lgh_cuda!G16</f>
        <v>0</v>
      </c>
      <c r="I132" s="32">
        <f>+lgh_cuda!H16</f>
        <v>0</v>
      </c>
      <c r="J132" s="32">
        <f>+lgh_cuda!I16</f>
        <v>0</v>
      </c>
      <c r="K132" s="32">
        <f>+lgh_cuda!J16</f>
        <v>0</v>
      </c>
      <c r="L132" s="32">
        <f>+lgh_cuda!K16</f>
        <v>0</v>
      </c>
      <c r="M132" s="32">
        <f>+lgh_cuda!L16</f>
        <v>0</v>
      </c>
      <c r="N132" s="32">
        <f>+lgh_cuda!M16</f>
        <v>0</v>
      </c>
      <c r="O132" s="32">
        <f>+lgh_cuda!N16</f>
        <v>0</v>
      </c>
    </row>
    <row r="133" spans="1:15">
      <c r="A133" t="s">
        <v>182</v>
      </c>
      <c r="B133" t="s">
        <v>203</v>
      </c>
      <c r="C133" s="32">
        <f>+lgh_other_assets!B26</f>
        <v>-1540999</v>
      </c>
      <c r="D133" s="32">
        <f>+lgh_other_assets!C26</f>
        <v>-240715.49750000006</v>
      </c>
      <c r="E133" s="32">
        <f>+lgh_other_assets!D26</f>
        <v>1051116.5024999999</v>
      </c>
      <c r="F133" s="32">
        <f>+lgh_other_assets!E26</f>
        <v>1419284.5024999999</v>
      </c>
      <c r="G133" s="32">
        <f>+lgh_other_assets!F26</f>
        <v>98144.502499999944</v>
      </c>
      <c r="H133" s="32">
        <f>+lgh_other_assets!G26</f>
        <v>-755115.46625000006</v>
      </c>
      <c r="I133" s="32">
        <f>+lgh_other_assets!H26</f>
        <v>11779.310000000056</v>
      </c>
      <c r="J133" s="32">
        <f>+lgh_other_assets!I26</f>
        <v>-68674.990000000224</v>
      </c>
      <c r="K133" s="3">
        <f>+lgh_other_assets!J26</f>
        <v>1212477.3599999996</v>
      </c>
      <c r="L133">
        <f>+lgh_other_assets!K26</f>
        <v>-10995465.223749999</v>
      </c>
      <c r="M133">
        <f>+lgh_other_assets!L26</f>
        <v>0</v>
      </c>
      <c r="N133">
        <f>+lgh_other_assets!M26</f>
        <v>0</v>
      </c>
      <c r="O133">
        <f>+lgh_other_assets!N26</f>
        <v>0</v>
      </c>
    </row>
    <row r="134" spans="1:15">
      <c r="K134" s="7"/>
    </row>
    <row r="135" spans="1:15">
      <c r="A135" s="5" t="s">
        <v>204</v>
      </c>
      <c r="B135" s="5"/>
      <c r="K135" s="3"/>
    </row>
    <row r="136" spans="1:15" s="28" customFormat="1">
      <c r="A136" s="28" t="s">
        <v>123</v>
      </c>
      <c r="B136" s="28" t="s">
        <v>95</v>
      </c>
      <c r="C136" s="214">
        <f>+bermuda_cs2!B67</f>
        <v>1</v>
      </c>
      <c r="D136" s="214">
        <f>+bermuda_cs2!C67</f>
        <v>1</v>
      </c>
      <c r="E136" s="214">
        <f>+bermuda_cs2!D67</f>
        <v>1</v>
      </c>
      <c r="F136" s="214">
        <f>+bermuda_cs2!E67</f>
        <v>1</v>
      </c>
      <c r="G136" s="214">
        <f>+bermuda_cs2!F67</f>
        <v>1</v>
      </c>
      <c r="H136" s="214">
        <f>+bermuda_cs2!G67</f>
        <v>1</v>
      </c>
      <c r="I136" s="214">
        <f>+bermuda_cs2!H67</f>
        <v>1</v>
      </c>
      <c r="J136" s="214">
        <f>+bermuda_cs2!I67</f>
        <v>1</v>
      </c>
      <c r="K136" s="81">
        <f>+bermuda_cs2!J67</f>
        <v>1</v>
      </c>
      <c r="L136" s="28">
        <f>+bermuda_cs2!K67</f>
        <v>1</v>
      </c>
      <c r="M136" s="28">
        <f>+bermuda_cs2!L67</f>
        <v>1</v>
      </c>
      <c r="N136" s="28">
        <f>+bermuda_cs2!M67</f>
        <v>1</v>
      </c>
      <c r="O136" s="28">
        <f>+bermuda_cs2!N67</f>
        <v>1</v>
      </c>
    </row>
    <row r="137" spans="1:15" s="28" customFormat="1">
      <c r="A137" s="28" t="s">
        <v>129</v>
      </c>
      <c r="B137" s="28" t="s">
        <v>95</v>
      </c>
      <c r="C137" s="214">
        <f>+austin_cs2!E73</f>
        <v>0.58350000000000002</v>
      </c>
      <c r="D137" s="214">
        <f>+austin_cs2!F73</f>
        <v>0.58350000000000002</v>
      </c>
      <c r="E137" s="214">
        <f>+austin_cs2!G73</f>
        <v>0.58350000000000002</v>
      </c>
      <c r="F137" s="214">
        <f>+austin_cs2!H73</f>
        <v>0.58350000000000002</v>
      </c>
      <c r="G137" s="214">
        <f>+austin_cs2!I73</f>
        <v>0.58350000000000002</v>
      </c>
      <c r="H137" s="214">
        <f>+austin_cs2!J73</f>
        <v>0.58350000000000002</v>
      </c>
      <c r="I137" s="214">
        <f>+austin_cs2!K73</f>
        <v>0.58350000000000002</v>
      </c>
      <c r="J137" s="214">
        <f>+austin_cs2!L73</f>
        <v>0.58350000000000002</v>
      </c>
      <c r="K137" s="81">
        <f>+austin_cs2!M73</f>
        <v>0.58350000000000002</v>
      </c>
      <c r="L137" s="28">
        <f>+austin_cs2!N73</f>
        <v>0.58350000000000002</v>
      </c>
      <c r="M137" s="28">
        <f>+austin_cs2!O73</f>
        <v>0.58350000000000002</v>
      </c>
      <c r="N137" s="28">
        <f>+austin_cs2!P73</f>
        <v>0.58350000000000002</v>
      </c>
      <c r="O137" s="28">
        <f>+austin_cs2!Q73</f>
        <v>0.58350000000000002</v>
      </c>
    </row>
    <row r="138" spans="1:15" s="28" customFormat="1">
      <c r="A138" s="28" t="s">
        <v>136</v>
      </c>
      <c r="B138" s="28" t="s">
        <v>95</v>
      </c>
      <c r="C138" s="214">
        <f>+turks_cs2!B61</f>
        <v>0.5</v>
      </c>
      <c r="D138" s="214">
        <f>+turks_cs2!C61</f>
        <v>0.5</v>
      </c>
      <c r="E138" s="214">
        <f>+turks_cs2!D61</f>
        <v>0.5</v>
      </c>
      <c r="F138" s="214">
        <f>+turks_cs2!E61</f>
        <v>0.5</v>
      </c>
      <c r="G138" s="214">
        <f>+turks_cs2!F61</f>
        <v>0.5</v>
      </c>
      <c r="H138" s="214">
        <f>+turks_cs2!G61</f>
        <v>0.5</v>
      </c>
      <c r="I138" s="214">
        <f>+turks_cs2!H61</f>
        <v>0.5</v>
      </c>
      <c r="J138" s="214">
        <f>+turks_cs2!I61</f>
        <v>0.5</v>
      </c>
      <c r="K138" s="81">
        <f>+turks_cs2!J61</f>
        <v>0.5</v>
      </c>
      <c r="L138" s="28">
        <f>+turks_cs2!K61</f>
        <v>0.5</v>
      </c>
      <c r="M138" s="28">
        <f>+turks_cs2!L61</f>
        <v>0.5</v>
      </c>
      <c r="N138" s="28">
        <f>+turks_cs2!M61</f>
        <v>0.5</v>
      </c>
      <c r="O138" s="28">
        <f>+turks_cs2!N61</f>
        <v>0.5</v>
      </c>
    </row>
    <row r="139" spans="1:15" s="28" customFormat="1">
      <c r="A139" s="28" t="s">
        <v>138</v>
      </c>
      <c r="B139" s="28" t="s">
        <v>95</v>
      </c>
      <c r="C139" s="214">
        <f>+elbow_cs2!B55</f>
        <v>1</v>
      </c>
      <c r="D139" s="214">
        <f>+elbow_cs2!C55</f>
        <v>1</v>
      </c>
      <c r="E139" s="214">
        <f>+elbow_cs2!D55</f>
        <v>1</v>
      </c>
      <c r="F139" s="214">
        <f>+elbow_cs2!E55</f>
        <v>1</v>
      </c>
      <c r="G139" s="214">
        <f>+elbow_cs2!F55</f>
        <v>1</v>
      </c>
      <c r="H139" s="214">
        <f>+elbow_cs2!G55</f>
        <v>1</v>
      </c>
      <c r="I139" s="214">
        <f>+elbow_cs2!H55</f>
        <v>1</v>
      </c>
      <c r="J139" s="214">
        <f>+elbow_cs2!I55</f>
        <v>1</v>
      </c>
      <c r="K139" s="81">
        <f>+elbow_cs2!J55</f>
        <v>1</v>
      </c>
      <c r="L139" s="28">
        <f>+elbow_cs2!K55</f>
        <v>1</v>
      </c>
      <c r="M139" s="28">
        <f>+elbow_cs2!L55</f>
        <v>1</v>
      </c>
      <c r="N139" s="28">
        <f>+elbow_cs2!M55</f>
        <v>1</v>
      </c>
      <c r="O139" s="28">
        <f>+elbow_cs2!N55</f>
        <v>1</v>
      </c>
    </row>
    <row r="140" spans="1:15" s="28" customFormat="1">
      <c r="A140" s="28" t="s">
        <v>137</v>
      </c>
      <c r="B140" s="28" t="s">
        <v>95</v>
      </c>
      <c r="C140" s="214">
        <f>+frith_cs2!B56</f>
        <v>0</v>
      </c>
      <c r="D140" s="214">
        <f>+frith_cs2!C56</f>
        <v>0</v>
      </c>
      <c r="E140" s="214">
        <f>+frith_cs2!D56</f>
        <v>0.8</v>
      </c>
      <c r="F140" s="214">
        <f>+frith_cs2!E56</f>
        <v>0.8</v>
      </c>
      <c r="G140" s="214">
        <f>+frith_cs2!F56</f>
        <v>0.8</v>
      </c>
      <c r="H140" s="214">
        <f>+frith_cs2!G56</f>
        <v>0.8</v>
      </c>
      <c r="I140" s="214">
        <f>+frith_cs2!H56</f>
        <v>0.8</v>
      </c>
      <c r="J140" s="214">
        <f>+frith_cs2!I56</f>
        <v>0.8</v>
      </c>
      <c r="K140" s="81">
        <f>+frith_cs2!J56</f>
        <v>0.85599999999999998</v>
      </c>
      <c r="L140" s="28">
        <f>+frith_cs2!K56</f>
        <v>0</v>
      </c>
      <c r="M140" s="28">
        <f>+frith_cs2!L56</f>
        <v>0</v>
      </c>
      <c r="N140" s="28">
        <f>+frith_cs2!M56</f>
        <v>0</v>
      </c>
      <c r="O140" s="28">
        <f>+frith_cs2!N56</f>
        <v>0</v>
      </c>
    </row>
    <row r="141" spans="1:15">
      <c r="A141" t="s">
        <v>123</v>
      </c>
      <c r="B141" t="s">
        <v>66</v>
      </c>
      <c r="C141" s="32">
        <f>+bermuda_cs2!B63</f>
        <v>-42383101.198246583</v>
      </c>
      <c r="D141" s="32">
        <f>+bermuda_cs2!C63</f>
        <v>-50432124.865318701</v>
      </c>
      <c r="E141" s="32">
        <f>+bermuda_cs2!D63</f>
        <v>-50459320.397163279</v>
      </c>
      <c r="F141" s="32">
        <f>+bermuda_cs2!E63</f>
        <v>-48211197.438565403</v>
      </c>
      <c r="G141" s="32">
        <f>+bermuda_cs2!F63</f>
        <v>-56994393.024499379</v>
      </c>
      <c r="H141" s="32">
        <f>+bermuda_cs2!G63</f>
        <v>-57109853.854558602</v>
      </c>
      <c r="I141" s="32">
        <f>+bermuda_cs2!H63</f>
        <v>-56479791.341971025</v>
      </c>
      <c r="J141" s="32">
        <f>+bermuda_cs2!I63</f>
        <v>-56604401.167482145</v>
      </c>
      <c r="K141" s="7">
        <f>+bermuda_cs2!J63</f>
        <v>-52000000</v>
      </c>
      <c r="L141">
        <f>+bermuda_cs2!K63</f>
        <v>-52000000</v>
      </c>
      <c r="M141">
        <f>+bermuda_cs2!L63</f>
        <v>-52000000</v>
      </c>
      <c r="N141">
        <f>+bermuda_cs2!M63</f>
        <v>-69000000</v>
      </c>
      <c r="O141">
        <f>+bermuda_cs2!N63</f>
        <v>-69000000</v>
      </c>
    </row>
    <row r="142" spans="1:15">
      <c r="A142" t="s">
        <v>129</v>
      </c>
      <c r="B142" t="s">
        <v>66</v>
      </c>
      <c r="C142" s="32">
        <f>+austin_cs2!E65</f>
        <v>-78062512.762409881</v>
      </c>
      <c r="D142" s="32">
        <f>+austin_cs2!F65</f>
        <v>-79388413.706258461</v>
      </c>
      <c r="E142" s="32">
        <f>+austin_cs2!G65</f>
        <v>-80638527.849103272</v>
      </c>
      <c r="F142" s="32">
        <f>+austin_cs2!H65</f>
        <v>-84493602.972937971</v>
      </c>
      <c r="G142" s="32">
        <f>+austin_cs2!I65</f>
        <v>-86942240.934118971</v>
      </c>
      <c r="H142" s="32">
        <f>+austin_cs2!J65</f>
        <v>-89881627.490370005</v>
      </c>
      <c r="I142" s="32">
        <f>+austin_cs2!K65</f>
        <v>-91918215.688455299</v>
      </c>
      <c r="J142" s="32">
        <f>+austin_cs2!L65</f>
        <v>-93418945.718449995</v>
      </c>
      <c r="K142" s="3">
        <f>+austin_cs2!M65</f>
        <v>-94888348.298556417</v>
      </c>
      <c r="L142">
        <f>+austin_cs2!N65</f>
        <v>-102313782.94730476</v>
      </c>
      <c r="M142">
        <f>+austin_cs2!O65</f>
        <v>-115320867.33124511</v>
      </c>
      <c r="N142">
        <f>+austin_cs2!P65</f>
        <v>-119898461.28172548</v>
      </c>
      <c r="O142">
        <f>+austin_cs2!Q65</f>
        <v>-129626915.60469303</v>
      </c>
    </row>
    <row r="143" spans="1:15">
      <c r="A143" t="s">
        <v>136</v>
      </c>
      <c r="B143" t="s">
        <v>66</v>
      </c>
      <c r="C143" s="32">
        <f>+turks_cs2!B55</f>
        <v>0</v>
      </c>
      <c r="D143" s="32">
        <f>+turks_cs2!C55</f>
        <v>0</v>
      </c>
      <c r="E143" s="32">
        <f>+turks_cs2!D55</f>
        <v>0</v>
      </c>
      <c r="F143" s="32">
        <f>+turks_cs2!E55</f>
        <v>0</v>
      </c>
      <c r="G143" s="32">
        <f>+turks_cs2!F55</f>
        <v>0</v>
      </c>
      <c r="H143" s="32">
        <f>+turks_cs2!G55</f>
        <v>0</v>
      </c>
      <c r="I143" s="32">
        <f>+turks_cs2!H55</f>
        <v>0</v>
      </c>
      <c r="J143" s="32">
        <f>+turks_cs2!I55</f>
        <v>0</v>
      </c>
      <c r="K143" s="3">
        <f>+turks_cs2!J55</f>
        <v>0</v>
      </c>
      <c r="L143">
        <f>+turks_cs2!K55</f>
        <v>-60000000</v>
      </c>
      <c r="M143">
        <f>+turks_cs2!L55</f>
        <v>-60000000</v>
      </c>
      <c r="N143">
        <f>+turks_cs2!M55</f>
        <v>-60000000</v>
      </c>
      <c r="O143">
        <f>+turks_cs2!N55</f>
        <v>-60000000</v>
      </c>
    </row>
    <row r="144" spans="1:15">
      <c r="A144" t="s">
        <v>138</v>
      </c>
      <c r="B144" t="s">
        <v>66</v>
      </c>
      <c r="C144" s="32">
        <f>+elbow_cs2!B51</f>
        <v>0</v>
      </c>
      <c r="D144" s="32">
        <f>+elbow_cs2!C51</f>
        <v>0</v>
      </c>
      <c r="E144" s="32">
        <f>+elbow_cs2!D51</f>
        <v>0</v>
      </c>
      <c r="F144" s="32">
        <f>+elbow_cs2!E51</f>
        <v>0</v>
      </c>
      <c r="G144" s="32">
        <f>+elbow_cs2!F51</f>
        <v>0</v>
      </c>
      <c r="H144" s="32">
        <f>+elbow_cs2!G51</f>
        <v>0</v>
      </c>
      <c r="I144" s="32">
        <f>+elbow_cs2!H51</f>
        <v>0</v>
      </c>
      <c r="J144" s="32">
        <f>+elbow_cs2!I51</f>
        <v>0</v>
      </c>
      <c r="K144" s="3">
        <f>+elbow_cs2!J51</f>
        <v>0</v>
      </c>
      <c r="L144">
        <f>+elbow_cs2!K51</f>
        <v>0</v>
      </c>
      <c r="M144">
        <f>+elbow_cs2!L51</f>
        <v>0</v>
      </c>
      <c r="N144">
        <f>+elbow_cs2!M51</f>
        <v>0</v>
      </c>
      <c r="O144">
        <f>+elbow_cs2!N51</f>
        <v>-45270375</v>
      </c>
    </row>
    <row r="145" spans="1:15">
      <c r="A145" t="s">
        <v>137</v>
      </c>
      <c r="B145" t="s">
        <v>66</v>
      </c>
      <c r="C145" s="32">
        <f>+frith_cs2!B52</f>
        <v>0</v>
      </c>
      <c r="D145" s="32">
        <f>+frith_cs2!C52</f>
        <v>0</v>
      </c>
      <c r="E145" s="32">
        <f>+frith_cs2!D52</f>
        <v>-58024067.007379785</v>
      </c>
      <c r="F145" s="32">
        <f>+frith_cs2!E52</f>
        <v>-58543107.099088304</v>
      </c>
      <c r="G145" s="32">
        <f>+frith_cs2!F52</f>
        <v>-60331020.761774279</v>
      </c>
      <c r="H145" s="32">
        <f>+frith_cs2!G52</f>
        <v>-60876162.368416443</v>
      </c>
      <c r="I145" s="32">
        <f>+frith_cs2!H52</f>
        <v>-59697072.130259402</v>
      </c>
      <c r="J145" s="32">
        <f>+frith_cs2!I52</f>
        <v>-56495128.01877477</v>
      </c>
      <c r="K145" s="3">
        <f>+frith_cs2!J52</f>
        <v>-47064930.686470971</v>
      </c>
      <c r="L145">
        <f>+frith_cs2!K52</f>
        <v>0</v>
      </c>
      <c r="M145">
        <f>+frith_cs2!L52</f>
        <v>0</v>
      </c>
      <c r="N145">
        <f>+frith_cs2!M52</f>
        <v>0</v>
      </c>
      <c r="O145">
        <f>+frith_cs2!N52</f>
        <v>0</v>
      </c>
    </row>
    <row r="146" spans="1:15">
      <c r="A146" t="s">
        <v>137</v>
      </c>
      <c r="B146" t="s">
        <v>205</v>
      </c>
      <c r="C146" s="32">
        <f>+SUM(frith_cs2!B47:B48)</f>
        <v>0</v>
      </c>
      <c r="D146" s="32">
        <f>+SUM(frith_cs2!C47:C48)</f>
        <v>0</v>
      </c>
      <c r="E146" s="32">
        <f>+SUM(frith_cs2!D47:D48)</f>
        <v>-14274067.007379787</v>
      </c>
      <c r="F146" s="32">
        <f>+SUM(frith_cs2!E47:E48)</f>
        <v>-14793107.099088302</v>
      </c>
      <c r="G146" s="32">
        <f>+SUM(frith_cs2!F47:F48)</f>
        <v>-15331020.761774277</v>
      </c>
      <c r="H146" s="32">
        <f>+SUM(frith_cs2!G47:G48)</f>
        <v>-15876162.368416442</v>
      </c>
      <c r="I146" s="32">
        <f>+SUM(frith_cs2!H47:H48)</f>
        <v>-16447072.130259402</v>
      </c>
      <c r="J146" s="32">
        <f>+SUM(frith_cs2!I47:I48)</f>
        <v>-17045128.01877477</v>
      </c>
      <c r="K146" s="3">
        <f>+SUM(frith_cs2!J47:J48)</f>
        <v>-17664930.686470967</v>
      </c>
      <c r="L146">
        <f>+SUM(frith_cs2!K47:K48)</f>
        <v>0</v>
      </c>
      <c r="M146">
        <f>+SUM(frith_cs2!L47:L48)</f>
        <v>0</v>
      </c>
      <c r="N146">
        <f>+SUM(frith_cs2!M47:M48)</f>
        <v>0</v>
      </c>
      <c r="O146">
        <f>+SUM(frith_cs2!N47:N48)</f>
        <v>0</v>
      </c>
    </row>
    <row r="147" spans="1:15">
      <c r="A147" t="s">
        <v>206</v>
      </c>
      <c r="B147" t="s">
        <v>207</v>
      </c>
      <c r="C147" s="32">
        <f>+lgh_manco!B19</f>
        <v>0</v>
      </c>
      <c r="D147" s="32">
        <f>+lgh_manco!C19</f>
        <v>30000000</v>
      </c>
      <c r="E147" s="32">
        <f>+lgh_manco!D19</f>
        <v>30000000</v>
      </c>
      <c r="F147" s="32">
        <f>+lgh_manco!E19</f>
        <v>30000000</v>
      </c>
      <c r="G147" s="32">
        <f>+lgh_manco!F19</f>
        <v>30000000</v>
      </c>
      <c r="H147" s="32">
        <f>+lgh_manco!G19</f>
        <v>30000000</v>
      </c>
      <c r="I147" s="32">
        <f>+lgh_manco!H19</f>
        <v>30900000</v>
      </c>
      <c r="J147" s="32">
        <f>+lgh_manco!I19</f>
        <v>33948800</v>
      </c>
      <c r="K147" s="3">
        <f>+lgh_manco!J19</f>
        <v>45652718</v>
      </c>
      <c r="L147">
        <f>+lgh_manco!K19</f>
        <v>49788317.159999996</v>
      </c>
      <c r="M147">
        <f>+lgh_manco!L19</f>
        <v>59828961.1206</v>
      </c>
      <c r="N147">
        <f>+lgh_manco!M19</f>
        <v>107427234.233392</v>
      </c>
      <c r="O147">
        <f>+lgh_manco!N19</f>
        <v>145512557.667943</v>
      </c>
    </row>
    <row r="148" spans="1:15">
      <c r="A148" t="s">
        <v>136</v>
      </c>
      <c r="B148" t="s">
        <v>208</v>
      </c>
      <c r="C148" s="32">
        <f>+turks_cs2!B59</f>
        <v>0</v>
      </c>
      <c r="D148" s="32">
        <f>+turks_cs2!C59</f>
        <v>0</v>
      </c>
      <c r="E148" s="32">
        <f>+turks_cs2!D59</f>
        <v>0</v>
      </c>
      <c r="F148" s="32">
        <f>+turks_cs2!E59</f>
        <v>0</v>
      </c>
      <c r="G148" s="32">
        <f>+turks_cs2!F59</f>
        <v>0</v>
      </c>
      <c r="H148" s="32">
        <f>+turks_cs2!G59</f>
        <v>0</v>
      </c>
      <c r="I148" s="32">
        <f>+turks_cs2!H59</f>
        <v>0</v>
      </c>
      <c r="J148" s="32">
        <f>+turks_cs2!I59</f>
        <v>0</v>
      </c>
      <c r="K148" s="3">
        <f>+turks_cs2!J59</f>
        <v>0</v>
      </c>
      <c r="L148">
        <f>+turks_cs2!K59</f>
        <v>0</v>
      </c>
      <c r="M148">
        <f>+turks_cs2!L59</f>
        <v>0</v>
      </c>
      <c r="N148">
        <f>+turks_cs2!M59</f>
        <v>0</v>
      </c>
      <c r="O148">
        <f>+turks_cs2!N59</f>
        <v>0</v>
      </c>
    </row>
    <row r="149" spans="1:15">
      <c r="K149" s="3"/>
    </row>
    <row r="150" spans="1:15">
      <c r="A150" t="s">
        <v>123</v>
      </c>
      <c r="B150" t="s">
        <v>209</v>
      </c>
      <c r="C150" s="32">
        <f>+bermuda_cs2!B52</f>
        <v>98775000</v>
      </c>
      <c r="D150" s="32">
        <f>+bermuda_cs2!C52</f>
        <v>98775000</v>
      </c>
      <c r="E150" s="32">
        <f>+bermuda_cs2!D52</f>
        <v>99690000</v>
      </c>
      <c r="F150" s="32">
        <f>+bermuda_cs2!E52</f>
        <v>100147500</v>
      </c>
      <c r="G150" s="32">
        <f>+bermuda_cs2!F52</f>
        <v>103798250</v>
      </c>
      <c r="H150" s="32">
        <f>+bermuda_cs2!G52</f>
        <v>103798250</v>
      </c>
      <c r="I150" s="32">
        <f>+bermuda_cs2!H52</f>
        <v>103798250</v>
      </c>
      <c r="J150" s="32">
        <f>+bermuda_cs2!I52</f>
        <v>103798250</v>
      </c>
      <c r="K150" s="7">
        <f>+bermuda_cs2!J52</f>
        <v>112232309.35681671</v>
      </c>
      <c r="L150">
        <f>+bermuda_cs2!K52</f>
        <v>120658852.64218013</v>
      </c>
      <c r="M150">
        <f>+bermuda_cs2!L52</f>
        <v>130031616.12997966</v>
      </c>
      <c r="N150">
        <f>+bermuda_cs2!M52</f>
        <v>142752764.6446254</v>
      </c>
      <c r="O150">
        <f>+bermuda_cs2!N52</f>
        <v>154421359.86438784</v>
      </c>
    </row>
    <row r="151" spans="1:15">
      <c r="A151" t="s">
        <v>129</v>
      </c>
      <c r="B151" t="s">
        <v>209</v>
      </c>
      <c r="C151" s="32">
        <f>+austin_cs2!E49</f>
        <v>105127419.42857143</v>
      </c>
      <c r="D151" s="32">
        <f>+austin_cs2!F49</f>
        <v>110388571.42857143</v>
      </c>
      <c r="E151" s="32">
        <f>+austin_cs2!G49</f>
        <v>110388571.42857143</v>
      </c>
      <c r="F151" s="32">
        <f>+austin_cs2!H49</f>
        <v>110388571.42857143</v>
      </c>
      <c r="G151" s="32">
        <f>+austin_cs2!I49</f>
        <v>100230000</v>
      </c>
      <c r="H151" s="32">
        <f>+austin_cs2!J49</f>
        <v>100230000</v>
      </c>
      <c r="I151" s="32">
        <f>+austin_cs2!K49</f>
        <v>100230000</v>
      </c>
      <c r="J151" s="32">
        <f>+austin_cs2!L49</f>
        <v>100230000</v>
      </c>
      <c r="K151" s="3">
        <f>+austin_cs2!M49</f>
        <v>100230000</v>
      </c>
      <c r="L151">
        <f>+austin_cs2!N49</f>
        <v>100230000</v>
      </c>
      <c r="M151">
        <f>+austin_cs2!O49</f>
        <v>108047569.7942857</v>
      </c>
      <c r="N151">
        <f>+austin_cs2!P49</f>
        <v>111784712.65142855</v>
      </c>
      <c r="O151">
        <f>+austin_cs2!Q49</f>
        <v>119156841.22285713</v>
      </c>
    </row>
    <row r="152" spans="1:15">
      <c r="A152" t="s">
        <v>136</v>
      </c>
      <c r="B152" t="s">
        <v>209</v>
      </c>
      <c r="C152" s="32">
        <f>+turks_cs2!B51</f>
        <v>77601356.298205227</v>
      </c>
      <c r="D152" s="32">
        <f>+turks_cs2!C51</f>
        <v>71446432.843541861</v>
      </c>
      <c r="E152" s="32">
        <f>+turks_cs2!D51</f>
        <v>77131856.849643618</v>
      </c>
      <c r="F152" s="32">
        <f>+turks_cs2!E51</f>
        <v>80759161.152772069</v>
      </c>
      <c r="G152" s="32">
        <f>+turks_cs2!F51</f>
        <v>76563440.115276083</v>
      </c>
      <c r="H152" s="32">
        <f>+turks_cs2!G51</f>
        <v>69293529.37761943</v>
      </c>
      <c r="I152" s="32">
        <f>+turks_cs2!H51</f>
        <v>74329796.226415098</v>
      </c>
      <c r="J152" s="32">
        <f>+turks_cs2!I51</f>
        <v>79793596.502069578</v>
      </c>
      <c r="K152" s="3">
        <f>+turks_cs2!J51</f>
        <v>96530899.288759202</v>
      </c>
      <c r="L152">
        <f>+turks_cs2!K51</f>
        <v>125274150</v>
      </c>
      <c r="M152">
        <f>+turks_cs2!L51</f>
        <v>127904374.5</v>
      </c>
      <c r="N152">
        <f>+turks_cs2!M51</f>
        <v>130546005.735</v>
      </c>
      <c r="O152">
        <f>+turks_cs2!N51</f>
        <v>134462385.90705001</v>
      </c>
    </row>
    <row r="153" spans="1:15">
      <c r="A153" t="s">
        <v>138</v>
      </c>
      <c r="B153" t="s">
        <v>209</v>
      </c>
      <c r="C153" s="32">
        <f>+elbow_cs2!B45</f>
        <v>5000000</v>
      </c>
      <c r="D153" s="32">
        <f>+elbow_cs2!C45</f>
        <v>17383391.370336019</v>
      </c>
      <c r="E153" s="32">
        <f>+elbow_cs2!D45</f>
        <v>19070671.377654947</v>
      </c>
      <c r="F153" s="32">
        <f>+elbow_cs2!E45</f>
        <v>20943032.234737165</v>
      </c>
      <c r="G153" s="32">
        <f>+elbow_cs2!F45</f>
        <v>22999221.710629381</v>
      </c>
      <c r="H153" s="32">
        <f>+elbow_cs2!G45</f>
        <v>28009536.136664666</v>
      </c>
      <c r="I153" s="32">
        <f>+elbow_cs2!H45</f>
        <v>30460556.806394603</v>
      </c>
      <c r="J153" s="32">
        <f>+elbow_cs2!I45</f>
        <v>33156609.146139551</v>
      </c>
      <c r="K153" s="3">
        <f>+elbow_cs2!J45</f>
        <v>36091288.056792036</v>
      </c>
      <c r="L153">
        <f>+elbow_cs2!K45</f>
        <v>56628545.428496853</v>
      </c>
      <c r="M153">
        <f>+elbow_cs2!L45</f>
        <v>76968139.315230623</v>
      </c>
      <c r="N153">
        <f>+elbow_cs2!M45</f>
        <v>97729625</v>
      </c>
      <c r="O153">
        <f>+elbow_cs2!N45</f>
        <v>150150000</v>
      </c>
    </row>
    <row r="154" spans="1:15">
      <c r="A154" t="s">
        <v>137</v>
      </c>
      <c r="B154" t="s">
        <v>209</v>
      </c>
      <c r="C154" s="32">
        <f>+frith_cs2!B42</f>
        <v>0</v>
      </c>
      <c r="D154" s="32">
        <f>+frith_cs2!C42</f>
        <v>0</v>
      </c>
      <c r="E154" s="32">
        <f>+frith_cs2!D42</f>
        <v>60650360.388301924</v>
      </c>
      <c r="F154" s="32">
        <f>+frith_cs2!E42</f>
        <v>62825010.159360722</v>
      </c>
      <c r="G154" s="32">
        <f>+frith_cs2!F42</f>
        <v>64425459.200000003</v>
      </c>
      <c r="H154" s="32">
        <f>+frith_cs2!G42</f>
        <v>64524248.844028488</v>
      </c>
      <c r="I154" s="32">
        <f>+frith_cs2!H42</f>
        <v>61826174.846628666</v>
      </c>
      <c r="J154" s="32">
        <f>+frith_cs2!I42</f>
        <v>60374518.75224378</v>
      </c>
      <c r="K154" s="3">
        <f>+frith_cs2!J42</f>
        <v>54039278.079999998</v>
      </c>
      <c r="L154">
        <f>+frith_cs2!K42</f>
        <v>0</v>
      </c>
      <c r="M154">
        <f>+frith_cs2!L42</f>
        <v>0</v>
      </c>
      <c r="N154">
        <f>+frith_cs2!M42</f>
        <v>0</v>
      </c>
      <c r="O154">
        <f>+frith_cs2!N42</f>
        <v>0</v>
      </c>
    </row>
    <row r="155" spans="1:15">
      <c r="K155" s="3"/>
    </row>
    <row r="156" spans="1:15">
      <c r="K156" s="3"/>
    </row>
    <row r="157" spans="1:15">
      <c r="K157" s="7"/>
    </row>
    <row r="158" spans="1:15">
      <c r="K158" s="3"/>
    </row>
    <row r="159" spans="1:15">
      <c r="K159" s="3"/>
    </row>
    <row r="160" spans="1:15">
      <c r="K160" s="3"/>
    </row>
    <row r="161" spans="11:11">
      <c r="K161" s="3"/>
    </row>
    <row r="162" spans="11:11">
      <c r="K162" s="219"/>
    </row>
    <row r="163" spans="11:11">
      <c r="K163" s="3"/>
    </row>
    <row r="164" spans="11:11">
      <c r="K164" s="3"/>
    </row>
    <row r="165" spans="11:11">
      <c r="K165" s="219"/>
    </row>
    <row r="166" spans="11:11">
      <c r="K166" s="3"/>
    </row>
    <row r="167" spans="11:11">
      <c r="K167" s="3"/>
    </row>
    <row r="168" spans="11:11">
      <c r="K168" s="3"/>
    </row>
    <row r="177" spans="11:11">
      <c r="K177" s="19"/>
    </row>
    <row r="187" spans="11:11">
      <c r="K187" s="7"/>
    </row>
    <row r="204" spans="11:11">
      <c r="K204" s="219"/>
    </row>
    <row r="206" spans="11:11">
      <c r="K206" s="219"/>
    </row>
    <row r="216" spans="11:11">
      <c r="K216" s="19"/>
    </row>
    <row r="228" spans="11:11">
      <c r="K228" s="7"/>
    </row>
    <row r="245" spans="11:11">
      <c r="K245" s="219"/>
    </row>
    <row r="247" spans="11:11">
      <c r="K247" s="219"/>
    </row>
    <row r="248" spans="11:11" hidden="1"/>
    <row r="249" spans="11:11" hidden="1"/>
  </sheetData>
  <pageMargins left="0.7" right="0.7" top="0.75" bottom="0.75" header="0.3" footer="0.3"/>
  <pageSetup scale="73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D9E1F2"/>
  </sheetPr>
  <dimension ref="B1:K16"/>
  <sheetViews>
    <sheetView topLeftCell="C1" workbookViewId="0">
      <selection activeCell="C22" sqref="C22"/>
    </sheetView>
  </sheetViews>
  <sheetFormatPr defaultRowHeight="14.4"/>
  <cols>
    <col min="3" max="3" width="43.578125" customWidth="1"/>
  </cols>
  <sheetData>
    <row r="1" spans="2:11">
      <c r="B1" s="23"/>
      <c r="C1" s="1876" t="s">
        <v>211</v>
      </c>
      <c r="D1" s="759"/>
      <c r="I1" s="747"/>
      <c r="J1" s="15"/>
      <c r="K1" s="15"/>
    </row>
    <row r="2" spans="2:11">
      <c r="B2" s="23"/>
      <c r="C2" s="1877" t="s">
        <v>212</v>
      </c>
      <c r="D2" s="1883">
        <v>0.3</v>
      </c>
      <c r="K2" s="15"/>
    </row>
    <row r="3" spans="2:11">
      <c r="B3" s="23"/>
      <c r="C3" s="131"/>
      <c r="I3" s="747"/>
      <c r="J3" s="15"/>
    </row>
    <row r="4" spans="2:11">
      <c r="C4" s="1878" t="s">
        <v>213</v>
      </c>
      <c r="D4" s="1883">
        <v>0.3</v>
      </c>
      <c r="I4" s="747"/>
      <c r="J4" s="15"/>
      <c r="K4" s="15"/>
    </row>
    <row r="5" spans="2:11">
      <c r="B5" s="23"/>
      <c r="C5" s="131"/>
      <c r="I5" s="747"/>
      <c r="J5" s="15"/>
      <c r="K5" s="15"/>
    </row>
    <row r="6" spans="2:11">
      <c r="B6" s="23"/>
      <c r="C6" s="1878" t="s">
        <v>214</v>
      </c>
      <c r="D6" s="1885">
        <v>0.12</v>
      </c>
      <c r="I6" s="307"/>
      <c r="J6" s="15"/>
      <c r="K6" s="15"/>
    </row>
    <row r="7" spans="2:11">
      <c r="B7" s="23"/>
      <c r="C7" s="32"/>
    </row>
    <row r="8" spans="2:11">
      <c r="B8" s="23"/>
      <c r="C8" t="s">
        <v>215</v>
      </c>
      <c r="D8" s="1924">
        <v>0.03</v>
      </c>
      <c r="I8" s="15"/>
      <c r="K8" s="15"/>
    </row>
    <row r="10" spans="2:11" ht="15.6" customHeight="1">
      <c r="C10" t="s">
        <v>216</v>
      </c>
      <c r="D10" s="223">
        <v>25</v>
      </c>
    </row>
    <row r="11" spans="2:11">
      <c r="C11" t="s">
        <v>217</v>
      </c>
    </row>
    <row r="12" spans="2:11" ht="14.7" customHeight="1" thickBot="1"/>
    <row r="13" spans="2:11" ht="14.7" customHeight="1" thickBot="1">
      <c r="C13" s="44" t="s">
        <v>218</v>
      </c>
      <c r="D13" s="45"/>
    </row>
    <row r="14" spans="2:11">
      <c r="C14" s="425" t="s">
        <v>219</v>
      </c>
      <c r="D14" s="660">
        <v>0.03</v>
      </c>
    </row>
    <row r="15" spans="2:11">
      <c r="C15" s="41" t="s">
        <v>220</v>
      </c>
      <c r="D15" s="41"/>
    </row>
    <row r="16" spans="2:11">
      <c r="C16" s="41"/>
      <c r="D16" s="41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tabColor rgb="FFD9E1F2"/>
    <outlinePr summaryBelow="0"/>
  </sheetPr>
  <dimension ref="A1:AP136"/>
  <sheetViews>
    <sheetView showGridLines="0" zoomScale="80" zoomScaleNormal="80" workbookViewId="0">
      <pane xSplit="3" ySplit="3" topLeftCell="J19" activePane="bottomRight" state="frozen"/>
      <selection pane="topRight" activeCell="B1" sqref="B1"/>
      <selection pane="bottomLeft" activeCell="A4" sqref="A4"/>
      <selection pane="bottomRight" activeCell="K24" sqref="K24"/>
    </sheetView>
  </sheetViews>
  <sheetFormatPr defaultColWidth="9.26171875" defaultRowHeight="14.4" outlineLevelRow="1" outlineLevelCol="1"/>
  <cols>
    <col min="1" max="2" width="3.578125" style="25" customWidth="1"/>
    <col min="3" max="3" width="35" bestFit="1" customWidth="1"/>
    <col min="4" max="4" width="16.26171875" style="649" bestFit="1" customWidth="1"/>
    <col min="5" max="7" width="16.26171875" customWidth="1" outlineLevel="1"/>
    <col min="8" max="8" width="16.26171875" bestFit="1" customWidth="1"/>
    <col min="9" max="9" width="17.26171875" customWidth="1"/>
    <col min="10" max="11" width="16.26171875" customWidth="1"/>
    <col min="12" max="16" width="16.26171875" bestFit="1" customWidth="1"/>
    <col min="36" max="36" width="47.26171875" bestFit="1" customWidth="1"/>
    <col min="37" max="37" width="8.68359375" bestFit="1" customWidth="1"/>
    <col min="38" max="40" width="7.578125" bestFit="1" customWidth="1"/>
  </cols>
  <sheetData>
    <row r="1" spans="1:42" s="12" customFormat="1" ht="14.7" customHeight="1" thickBot="1">
      <c r="A1" s="1853" t="s">
        <v>121</v>
      </c>
      <c r="B1" s="1853" t="s">
        <v>221</v>
      </c>
      <c r="C1" s="42" t="str">
        <f t="array" aca="1" ref="C1" ca="1">_xlfn.TEXTAFTER(CELL("filename",C1),"]")</f>
        <v>lgh_bs</v>
      </c>
      <c r="D1" s="1969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</row>
    <row r="2" spans="1:42">
      <c r="C2" s="18" t="s">
        <v>120</v>
      </c>
      <c r="D2" s="1970">
        <v>45657</v>
      </c>
      <c r="E2" s="1864">
        <v>45747</v>
      </c>
      <c r="F2" s="1865">
        <v>45838</v>
      </c>
      <c r="G2" s="1866">
        <v>45930</v>
      </c>
      <c r="H2" s="1867">
        <v>46022</v>
      </c>
      <c r="I2" s="1864">
        <v>46112</v>
      </c>
      <c r="J2" s="1865">
        <v>46203</v>
      </c>
      <c r="K2" s="1866">
        <v>46295</v>
      </c>
      <c r="L2" s="1867">
        <v>46387</v>
      </c>
      <c r="M2" s="1864">
        <v>46752</v>
      </c>
      <c r="N2" s="1864">
        <v>47118</v>
      </c>
      <c r="O2" s="1868">
        <v>47483</v>
      </c>
      <c r="P2" s="1867">
        <v>47848</v>
      </c>
    </row>
    <row r="3" spans="1:42">
      <c r="C3" s="18" t="s">
        <v>222</v>
      </c>
      <c r="D3" s="1971" t="s">
        <v>2</v>
      </c>
      <c r="E3" s="1870" t="s">
        <v>3</v>
      </c>
      <c r="F3" s="1871" t="s">
        <v>4</v>
      </c>
      <c r="G3" s="1872" t="s">
        <v>5</v>
      </c>
      <c r="H3" s="1869" t="s">
        <v>2</v>
      </c>
      <c r="I3" s="1870" t="s">
        <v>3</v>
      </c>
      <c r="J3" s="1871" t="s">
        <v>4</v>
      </c>
      <c r="K3" s="1872" t="s">
        <v>5</v>
      </c>
      <c r="L3" s="1869" t="s">
        <v>2</v>
      </c>
      <c r="M3" s="1870" t="s">
        <v>2</v>
      </c>
      <c r="N3" s="1870" t="s">
        <v>2</v>
      </c>
      <c r="O3" s="1873" t="s">
        <v>2</v>
      </c>
      <c r="P3" s="1869" t="s">
        <v>2</v>
      </c>
    </row>
    <row r="4" spans="1:42">
      <c r="C4" s="1586" t="s">
        <v>223</v>
      </c>
      <c r="D4" s="1972"/>
      <c r="E4" s="1629"/>
      <c r="F4" s="1635"/>
      <c r="G4" s="1646"/>
      <c r="H4" s="400"/>
      <c r="I4" s="1647"/>
      <c r="J4" s="1649"/>
      <c r="K4" s="300"/>
      <c r="L4" s="17"/>
      <c r="M4" s="1611"/>
      <c r="N4" s="1611"/>
      <c r="O4" s="1596"/>
      <c r="P4" s="17"/>
    </row>
    <row r="5" spans="1:42">
      <c r="A5" s="25" t="s">
        <v>186</v>
      </c>
      <c r="B5" s="25" t="s">
        <v>187</v>
      </c>
      <c r="C5" s="1587" t="s">
        <v>224</v>
      </c>
      <c r="D5" s="1973">
        <v>251128</v>
      </c>
      <c r="E5" s="1612">
        <f>+registry_o!D112</f>
        <v>2157250.0604958632</v>
      </c>
      <c r="F5" s="1636">
        <f>+registry_o!E112</f>
        <v>-1901678.3370041354</v>
      </c>
      <c r="G5" s="1630">
        <f>+registry_o!F112</f>
        <v>-4449399.8520317376</v>
      </c>
      <c r="H5" s="1590">
        <f>+registry_o!G112</f>
        <v>421309.35297973827</v>
      </c>
      <c r="I5" s="1612">
        <f>+registry_o!H112</f>
        <v>3004754.9189604204</v>
      </c>
      <c r="J5" s="1636">
        <f>+registry_o!I112</f>
        <v>8121004.3843232896</v>
      </c>
      <c r="K5" s="1630">
        <f>+registry_o!J112</f>
        <v>4353548.6234584805</v>
      </c>
      <c r="L5" s="1590">
        <f>+registry_o!K112</f>
        <v>418312.49682895653</v>
      </c>
      <c r="M5" s="1612">
        <f>+registry_o!L112</f>
        <v>2435212.2214517216</v>
      </c>
      <c r="N5" s="1612">
        <f>+registry_o!M112</f>
        <v>6360563.7603085078</v>
      </c>
      <c r="O5" s="1597">
        <f>+registry_o!N112</f>
        <v>6861431.0546805738</v>
      </c>
      <c r="P5" s="1590">
        <f>+registry_o!O112</f>
        <v>9803960.4440200888</v>
      </c>
    </row>
    <row r="6" spans="1:42">
      <c r="C6" s="1587" t="s">
        <v>225</v>
      </c>
      <c r="D6" s="1974">
        <v>56391898.801753417</v>
      </c>
      <c r="E6" s="1613">
        <f t="shared" ref="E6:P6" si="0">SUBTOTAL(9,E7:E7)</f>
        <v>48342875.134681299</v>
      </c>
      <c r="F6" s="1637">
        <f t="shared" si="0"/>
        <v>49230679.602836721</v>
      </c>
      <c r="G6" s="220">
        <f t="shared" si="0"/>
        <v>51936302.561434597</v>
      </c>
      <c r="H6" s="34">
        <f t="shared" si="0"/>
        <v>46803856.975500621</v>
      </c>
      <c r="I6" s="1613">
        <f t="shared" si="0"/>
        <v>46688396.145441398</v>
      </c>
      <c r="J6" s="1637">
        <f t="shared" si="0"/>
        <v>47318458.658028975</v>
      </c>
      <c r="K6" s="220">
        <f t="shared" si="0"/>
        <v>47193848.832517855</v>
      </c>
      <c r="L6" s="34">
        <f t="shared" si="0"/>
        <v>60232309.356816709</v>
      </c>
      <c r="M6" s="1613">
        <f t="shared" si="0"/>
        <v>68658852.64218013</v>
      </c>
      <c r="N6" s="1613">
        <f t="shared" si="0"/>
        <v>78031616.129979655</v>
      </c>
      <c r="O6" s="1598">
        <f t="shared" si="0"/>
        <v>73752764.644625396</v>
      </c>
      <c r="P6" s="34">
        <f t="shared" si="0"/>
        <v>85421359.86438784</v>
      </c>
      <c r="AI6" s="6"/>
    </row>
    <row r="7" spans="1:42">
      <c r="A7" s="25" t="s">
        <v>123</v>
      </c>
      <c r="B7" s="25" t="s">
        <v>210</v>
      </c>
      <c r="C7" s="65" t="s">
        <v>226</v>
      </c>
      <c r="D7" s="1974">
        <v>56391898.801753417</v>
      </c>
      <c r="E7" s="1614">
        <f>+registry_o!D10</f>
        <v>48342875.134681299</v>
      </c>
      <c r="F7" s="1591">
        <f>+registry_o!E10</f>
        <v>49230679.602836721</v>
      </c>
      <c r="G7" s="153">
        <f>+registry_o!F10</f>
        <v>51936302.561434597</v>
      </c>
      <c r="H7" s="1">
        <f>+registry_o!G10</f>
        <v>46803856.975500621</v>
      </c>
      <c r="I7" s="1614">
        <f>+registry_o!H10</f>
        <v>46688396.145441398</v>
      </c>
      <c r="J7" s="1591">
        <f>+registry_o!I10</f>
        <v>47318458.658028975</v>
      </c>
      <c r="K7" s="153">
        <f>+registry_o!J10</f>
        <v>47193848.832517855</v>
      </c>
      <c r="L7" s="1">
        <f>+registry_o!K10</f>
        <v>60232309.356816709</v>
      </c>
      <c r="M7" s="1614">
        <f>+registry_o!L10</f>
        <v>68658852.64218013</v>
      </c>
      <c r="N7" s="1614">
        <f>+registry_o!M10</f>
        <v>78031616.129979655</v>
      </c>
      <c r="O7" s="1599">
        <f>+registry_o!N10</f>
        <v>73752764.644625396</v>
      </c>
      <c r="P7" s="1">
        <f>+registry_o!O10</f>
        <v>85421359.86438784</v>
      </c>
      <c r="AI7" s="187"/>
      <c r="AP7" s="161"/>
    </row>
    <row r="8" spans="1:42">
      <c r="C8" s="1587" t="s">
        <v>227</v>
      </c>
      <c r="D8" s="1974">
        <v>30156389.300751191</v>
      </c>
      <c r="E8" s="1613">
        <f t="shared" ref="E8:P8" si="1">SUBTOTAL(9,E9:E11)</f>
        <v>26572735.559039082</v>
      </c>
      <c r="F8" s="1637">
        <f t="shared" si="1"/>
        <v>26193397.788023833</v>
      </c>
      <c r="G8" s="220">
        <f t="shared" si="1"/>
        <v>24312674.64973608</v>
      </c>
      <c r="H8" s="34">
        <f t="shared" si="1"/>
        <v>18271405.092840675</v>
      </c>
      <c r="I8" s="1613">
        <f t="shared" si="1"/>
        <v>16879339.975128654</v>
      </c>
      <c r="J8" s="1637">
        <f t="shared" si="1"/>
        <v>18546256.332310468</v>
      </c>
      <c r="K8" s="220">
        <f t="shared" si="1"/>
        <v>18110130.632090211</v>
      </c>
      <c r="L8" s="34">
        <f t="shared" si="1"/>
        <v>17721374.458477151</v>
      </c>
      <c r="M8" s="1613">
        <f t="shared" si="1"/>
        <v>17469222.69701767</v>
      </c>
      <c r="N8" s="1613">
        <f t="shared" si="1"/>
        <v>14095544.005382499</v>
      </c>
      <c r="O8" s="1598">
        <f t="shared" si="1"/>
        <v>39638789.311446816</v>
      </c>
      <c r="P8" s="34">
        <f t="shared" si="1"/>
        <v>47083185.362348847</v>
      </c>
      <c r="AI8" s="747"/>
      <c r="AP8" s="161"/>
    </row>
    <row r="9" spans="1:42">
      <c r="A9" s="25" t="s">
        <v>129</v>
      </c>
      <c r="B9" s="25" t="s">
        <v>130</v>
      </c>
      <c r="C9" s="65" t="s">
        <v>226</v>
      </c>
      <c r="D9" s="1975">
        <v>15926855.202205271</v>
      </c>
      <c r="E9" s="1615">
        <f>+registry_o!D18</f>
        <v>18088592.03096962</v>
      </c>
      <c r="F9" s="1592">
        <f>+registry_o!E18</f>
        <v>17359150.428619672</v>
      </c>
      <c r="G9" s="152">
        <f>+registry_o!F18</f>
        <v>15109714.093862126</v>
      </c>
      <c r="H9" s="32">
        <f>+registry_o!G18</f>
        <v>7753407.414941581</v>
      </c>
      <c r="I9" s="1615">
        <f>+registry_o!H18</f>
        <v>6038275.3593691019</v>
      </c>
      <c r="J9" s="1592">
        <f>+registry_o!I18</f>
        <v>4849926.1457863338</v>
      </c>
      <c r="K9" s="152">
        <f>+registry_o!J18</f>
        <v>3974250.1732844282</v>
      </c>
      <c r="L9" s="32">
        <f>+registry_o!K18</f>
        <v>3116853.7677923306</v>
      </c>
      <c r="M9" s="1615">
        <f>+registry_o!L18</f>
        <v>0</v>
      </c>
      <c r="N9" s="1615">
        <f>+registry_o!M18</f>
        <v>0</v>
      </c>
      <c r="O9" s="1600">
        <f>+registry_o!N18</f>
        <v>0</v>
      </c>
      <c r="P9" s="32">
        <f>+registry_o!O18</f>
        <v>0</v>
      </c>
      <c r="AI9" s="747"/>
      <c r="AP9" s="161"/>
    </row>
    <row r="10" spans="1:42">
      <c r="A10" s="25" t="s">
        <v>129</v>
      </c>
      <c r="B10" s="25" t="s">
        <v>132</v>
      </c>
      <c r="C10" s="65" t="s">
        <v>110</v>
      </c>
      <c r="D10" s="1975">
        <v>5608281.3808370735</v>
      </c>
      <c r="E10" s="1615">
        <f>+registry_o!D21</f>
        <v>5792434.4566366132</v>
      </c>
      <c r="F10" s="1592">
        <f>+registry_o!E21</f>
        <v>5984782.4088378381</v>
      </c>
      <c r="G10" s="152">
        <f>+registry_o!F21</f>
        <v>6185737.7795300223</v>
      </c>
      <c r="H10" s="32">
        <f>+registry_o!G21</f>
        <v>6393440.7741542654</v>
      </c>
      <c r="I10" s="1615">
        <f>+registry_o!H21</f>
        <v>6603375.2805657405</v>
      </c>
      <c r="J10" s="1592">
        <f>+registry_o!I21</f>
        <v>6822651.9460751358</v>
      </c>
      <c r="K10" s="152">
        <f>+registry_o!J21</f>
        <v>7051741.0686642267</v>
      </c>
      <c r="L10" s="32">
        <f>+registry_o!K21</f>
        <v>7288522.4825358614</v>
      </c>
      <c r="M10" s="1615">
        <f>+registry_o!L21</f>
        <v>6806296.4560152246</v>
      </c>
      <c r="N10" s="1615">
        <f>+registry_o!M21</f>
        <v>4230778.4205505513</v>
      </c>
      <c r="O10" s="1600">
        <f>+registry_o!N21</f>
        <v>4951306.8763720598</v>
      </c>
      <c r="P10" s="32">
        <f>+registry_o!O21</f>
        <v>4764456.7915576464</v>
      </c>
      <c r="AI10" s="6"/>
      <c r="AP10" s="161"/>
    </row>
    <row r="11" spans="1:42">
      <c r="A11" s="25" t="s">
        <v>129</v>
      </c>
      <c r="B11" s="25" t="s">
        <v>131</v>
      </c>
      <c r="C11" s="65" t="s">
        <v>228</v>
      </c>
      <c r="D11" s="1973">
        <v>8621252.7177088577</v>
      </c>
      <c r="E11" s="1616">
        <f>+registry_o!D19</f>
        <v>2691709.0714328461</v>
      </c>
      <c r="F11" s="1593">
        <f>+registry_o!E19</f>
        <v>2849464.9505663249</v>
      </c>
      <c r="G11" s="193">
        <f>+registry_o!F19</f>
        <v>3017222.776343931</v>
      </c>
      <c r="H11" s="131">
        <f>+registry_o!G19</f>
        <v>4124556.903744827</v>
      </c>
      <c r="I11" s="1616">
        <f>+registry_o!H19</f>
        <v>4237689.3351938138</v>
      </c>
      <c r="J11" s="1593">
        <f>+registry_o!I19</f>
        <v>6873678.2404489974</v>
      </c>
      <c r="K11" s="193">
        <f>+registry_o!J19</f>
        <v>7084139.3901415551</v>
      </c>
      <c r="L11" s="131">
        <f>+registry_o!K19</f>
        <v>7315998.2081489582</v>
      </c>
      <c r="M11" s="1616">
        <f>+registry_o!L19</f>
        <v>10662926.241002446</v>
      </c>
      <c r="N11" s="1616">
        <f>+registry_o!M19</f>
        <v>9864765.5848319475</v>
      </c>
      <c r="O11" s="1601">
        <f>+registry_o!N19</f>
        <v>34687482.435074754</v>
      </c>
      <c r="P11" s="131">
        <f>+registry_o!O19</f>
        <v>42318728.5707912</v>
      </c>
      <c r="AI11" s="6"/>
      <c r="AP11" s="161"/>
    </row>
    <row r="12" spans="1:42">
      <c r="C12" s="1587" t="s">
        <v>229</v>
      </c>
      <c r="D12" s="1974">
        <v>30602658.149102628</v>
      </c>
      <c r="E12" s="1613">
        <f t="shared" ref="E12:P12" si="2">SUBTOTAL(9,E13)</f>
        <v>35723216.42177093</v>
      </c>
      <c r="F12" s="1637">
        <f t="shared" si="2"/>
        <v>38565928.424821809</v>
      </c>
      <c r="G12" s="220">
        <f t="shared" si="2"/>
        <v>40379580.576386034</v>
      </c>
      <c r="H12" s="34">
        <f t="shared" si="2"/>
        <v>40032700.798691444</v>
      </c>
      <c r="I12" s="1613">
        <f t="shared" si="2"/>
        <v>36265000.089758396</v>
      </c>
      <c r="J12" s="1637">
        <f t="shared" si="2"/>
        <v>38900747.169811323</v>
      </c>
      <c r="K12" s="220">
        <f t="shared" si="2"/>
        <v>41760245.297078438</v>
      </c>
      <c r="L12" s="34">
        <f t="shared" si="2"/>
        <v>50265874.093843371</v>
      </c>
      <c r="M12" s="1613">
        <f t="shared" si="2"/>
        <v>32637075</v>
      </c>
      <c r="N12" s="1613">
        <f t="shared" si="2"/>
        <v>33952187.25</v>
      </c>
      <c r="O12" s="1598">
        <f t="shared" si="2"/>
        <v>35273002.8675</v>
      </c>
      <c r="P12" s="34">
        <f t="shared" si="2"/>
        <v>37231192.953525007</v>
      </c>
      <c r="AI12" s="6"/>
      <c r="AP12" s="161"/>
    </row>
    <row r="13" spans="1:42">
      <c r="A13" s="25" t="s">
        <v>136</v>
      </c>
      <c r="B13" s="25" t="s">
        <v>130</v>
      </c>
      <c r="C13" s="65" t="s">
        <v>226</v>
      </c>
      <c r="D13" s="1974">
        <v>30602658.149102628</v>
      </c>
      <c r="E13" s="1614">
        <f>+registry_o!D32</f>
        <v>35723216.42177093</v>
      </c>
      <c r="F13" s="1591">
        <f>+registry_o!E32</f>
        <v>38565928.424821809</v>
      </c>
      <c r="G13" s="153">
        <f>+registry_o!F32</f>
        <v>40379580.576386034</v>
      </c>
      <c r="H13" s="1">
        <f>+registry_o!G32</f>
        <v>40032700.798691444</v>
      </c>
      <c r="I13" s="1614">
        <f>+registry_o!H32</f>
        <v>36265000.089758396</v>
      </c>
      <c r="J13" s="1591">
        <f>+registry_o!I32</f>
        <v>38900747.169811323</v>
      </c>
      <c r="K13" s="153">
        <f>+registry_o!J32</f>
        <v>41760245.297078438</v>
      </c>
      <c r="L13" s="1">
        <f>+registry_o!K32</f>
        <v>50265874.093843371</v>
      </c>
      <c r="M13" s="1614">
        <f>+registry_o!L32</f>
        <v>32637075</v>
      </c>
      <c r="N13" s="1614">
        <f>+registry_o!M32</f>
        <v>33952187.25</v>
      </c>
      <c r="O13" s="1599">
        <f>+registry_o!N32</f>
        <v>35273002.8675</v>
      </c>
      <c r="P13" s="1">
        <f>+registry_o!O32</f>
        <v>37231192.953525007</v>
      </c>
      <c r="AI13" s="187"/>
      <c r="AP13" s="161"/>
    </row>
    <row r="14" spans="1:42">
      <c r="C14" s="1587" t="s">
        <v>230</v>
      </c>
      <c r="D14" s="1975">
        <v>5000000</v>
      </c>
      <c r="E14" s="1617">
        <f t="shared" ref="E14:P14" si="3">SUBTOTAL(9,E15)</f>
        <v>17383391.370336019</v>
      </c>
      <c r="F14" s="1594">
        <f t="shared" si="3"/>
        <v>19070671.377654947</v>
      </c>
      <c r="G14" s="192">
        <f t="shared" si="3"/>
        <v>20943032.234737165</v>
      </c>
      <c r="H14" s="185">
        <f t="shared" si="3"/>
        <v>22999221.710629381</v>
      </c>
      <c r="I14" s="1617">
        <f t="shared" si="3"/>
        <v>28009536.136664666</v>
      </c>
      <c r="J14" s="1594">
        <f t="shared" si="3"/>
        <v>30460556.806394603</v>
      </c>
      <c r="K14" s="192">
        <f t="shared" si="3"/>
        <v>33156609.146139551</v>
      </c>
      <c r="L14" s="185">
        <f t="shared" si="3"/>
        <v>36091288.056792036</v>
      </c>
      <c r="M14" s="1617">
        <f t="shared" si="3"/>
        <v>56628545.428496853</v>
      </c>
      <c r="N14" s="1617">
        <f t="shared" si="3"/>
        <v>76968139.315230623</v>
      </c>
      <c r="O14" s="1602">
        <f t="shared" si="3"/>
        <v>97729625</v>
      </c>
      <c r="P14" s="185">
        <f t="shared" si="3"/>
        <v>104879625</v>
      </c>
      <c r="AI14" s="747"/>
      <c r="AP14" s="161"/>
    </row>
    <row r="15" spans="1:42">
      <c r="A15" s="25" t="s">
        <v>138</v>
      </c>
      <c r="B15" s="25" t="s">
        <v>130</v>
      </c>
      <c r="C15" s="65" t="s">
        <v>231</v>
      </c>
      <c r="D15" s="1974">
        <v>5000000</v>
      </c>
      <c r="E15" s="1614">
        <f>+registry_o!D45</f>
        <v>17383391.370336019</v>
      </c>
      <c r="F15" s="1591">
        <f>+registry_o!E45</f>
        <v>19070671.377654947</v>
      </c>
      <c r="G15" s="153">
        <f>+registry_o!F45</f>
        <v>20943032.234737165</v>
      </c>
      <c r="H15" s="1">
        <f>+registry_o!G45</f>
        <v>22999221.710629381</v>
      </c>
      <c r="I15" s="1614">
        <f>+registry_o!H45</f>
        <v>28009536.136664666</v>
      </c>
      <c r="J15" s="1591">
        <f>+registry_o!I45</f>
        <v>30460556.806394603</v>
      </c>
      <c r="K15" s="153">
        <f>+registry_o!J45</f>
        <v>33156609.146139551</v>
      </c>
      <c r="L15" s="1">
        <f>+registry_o!K45</f>
        <v>36091288.056792036</v>
      </c>
      <c r="M15" s="1614">
        <f>+registry_o!L45</f>
        <v>56628545.428496853</v>
      </c>
      <c r="N15" s="1614">
        <f>+registry_o!M45</f>
        <v>76968139.315230623</v>
      </c>
      <c r="O15" s="1599">
        <f>+registry_o!N45</f>
        <v>97729625</v>
      </c>
      <c r="P15" s="1">
        <f>+registry_o!O45</f>
        <v>104879625</v>
      </c>
      <c r="AI15" s="747"/>
      <c r="AP15" s="161"/>
    </row>
    <row r="16" spans="1:42">
      <c r="C16" s="1587" t="s">
        <v>137</v>
      </c>
      <c r="D16" s="1975">
        <v>0</v>
      </c>
      <c r="E16" s="1617">
        <f t="shared" ref="E16:P16" si="4">SUBTOTAL(9,E17)</f>
        <v>11353679.54322795</v>
      </c>
      <c r="F16" s="1594">
        <f t="shared" si="4"/>
        <v>13799239.652720192</v>
      </c>
      <c r="G16" s="192">
        <f t="shared" si="4"/>
        <v>15549102.824653054</v>
      </c>
      <c r="H16" s="185">
        <f t="shared" si="4"/>
        <v>15839974.24952361</v>
      </c>
      <c r="I16" s="1617">
        <f t="shared" si="4"/>
        <v>15929659.409396553</v>
      </c>
      <c r="J16" s="1594">
        <f t="shared" si="4"/>
        <v>15182357.230999554</v>
      </c>
      <c r="K16" s="192">
        <f t="shared" si="4"/>
        <v>17072719.878932104</v>
      </c>
      <c r="L16" s="185">
        <f t="shared" si="4"/>
        <v>0</v>
      </c>
      <c r="M16" s="1617">
        <f t="shared" si="4"/>
        <v>0</v>
      </c>
      <c r="N16" s="1617">
        <f t="shared" si="4"/>
        <v>0</v>
      </c>
      <c r="O16" s="1602">
        <f t="shared" si="4"/>
        <v>0</v>
      </c>
      <c r="P16" s="185">
        <f t="shared" si="4"/>
        <v>0</v>
      </c>
      <c r="AI16" s="161"/>
    </row>
    <row r="17" spans="1:36">
      <c r="A17" s="25" t="s">
        <v>137</v>
      </c>
      <c r="B17" s="25" t="s">
        <v>130</v>
      </c>
      <c r="C17" s="65" t="s">
        <v>137</v>
      </c>
      <c r="D17" s="1973">
        <v>0</v>
      </c>
      <c r="E17" s="1616">
        <f>+registry_o!D38</f>
        <v>11353679.54322795</v>
      </c>
      <c r="F17" s="1593">
        <f>+registry_o!E38</f>
        <v>13799239.652720192</v>
      </c>
      <c r="G17" s="193">
        <f>+registry_o!F38</f>
        <v>15549102.824653054</v>
      </c>
      <c r="H17" s="131">
        <f>+registry_o!G38</f>
        <v>15839974.24952361</v>
      </c>
      <c r="I17" s="1616">
        <f>+registry_o!H38</f>
        <v>15929659.409396553</v>
      </c>
      <c r="J17" s="1593">
        <f>+registry_o!I38</f>
        <v>15182357.230999554</v>
      </c>
      <c r="K17" s="193">
        <f>+registry_o!J38</f>
        <v>17072719.878932104</v>
      </c>
      <c r="L17" s="131">
        <f>+registry_o!K38</f>
        <v>0</v>
      </c>
      <c r="M17" s="1616">
        <f>+registry_o!L38</f>
        <v>0</v>
      </c>
      <c r="N17" s="1616">
        <f>+registry_o!M38</f>
        <v>0</v>
      </c>
      <c r="O17" s="1601">
        <f>+registry_o!N38</f>
        <v>0</v>
      </c>
      <c r="P17" s="131">
        <f>+registry_o!O38</f>
        <v>0</v>
      </c>
    </row>
    <row r="18" spans="1:36">
      <c r="C18" s="191" t="str">
        <f>+C19</f>
        <v>[LSAT]</v>
      </c>
      <c r="D18" s="1975">
        <v>0</v>
      </c>
      <c r="E18" s="1617">
        <f t="shared" ref="E18:P18" si="5">SUBTOTAL(9,E19)</f>
        <v>0</v>
      </c>
      <c r="F18" s="1594">
        <f t="shared" si="5"/>
        <v>0</v>
      </c>
      <c r="G18" s="192">
        <f t="shared" si="5"/>
        <v>0</v>
      </c>
      <c r="H18" s="185">
        <f t="shared" si="5"/>
        <v>0</v>
      </c>
      <c r="I18" s="1617">
        <f t="shared" si="5"/>
        <v>0</v>
      </c>
      <c r="J18" s="1594">
        <f t="shared" si="5"/>
        <v>0</v>
      </c>
      <c r="K18" s="192">
        <f t="shared" si="5"/>
        <v>0</v>
      </c>
      <c r="L18" s="185">
        <f t="shared" si="5"/>
        <v>16000000</v>
      </c>
      <c r="M18" s="1617">
        <f t="shared" si="5"/>
        <v>16000000</v>
      </c>
      <c r="N18" s="1617">
        <f t="shared" si="5"/>
        <v>20333333.333333332</v>
      </c>
      <c r="O18" s="1602">
        <f t="shared" si="5"/>
        <v>22077380.952380951</v>
      </c>
      <c r="P18" s="185">
        <f t="shared" si="5"/>
        <v>21709415.5844156</v>
      </c>
      <c r="AI18" s="8"/>
    </row>
    <row r="19" spans="1:36">
      <c r="A19" s="25" t="s">
        <v>182</v>
      </c>
      <c r="B19" s="25" t="s">
        <v>184</v>
      </c>
      <c r="C19" t="s">
        <v>232</v>
      </c>
      <c r="D19" s="1973">
        <v>0</v>
      </c>
      <c r="E19" s="1616">
        <f>+registry_o!D108</f>
        <v>0</v>
      </c>
      <c r="F19" s="1593">
        <f>+registry_o!E108</f>
        <v>0</v>
      </c>
      <c r="G19" s="193">
        <f>+registry_o!F108</f>
        <v>0</v>
      </c>
      <c r="H19" s="131">
        <f>+registry_o!G108</f>
        <v>0</v>
      </c>
      <c r="I19" s="1616">
        <f>+registry_o!H108</f>
        <v>0</v>
      </c>
      <c r="J19" s="1593">
        <f>+registry_o!I108</f>
        <v>0</v>
      </c>
      <c r="K19" s="193">
        <f>+registry_o!J108</f>
        <v>0</v>
      </c>
      <c r="L19" s="131">
        <f>+registry_o!K108</f>
        <v>16000000</v>
      </c>
      <c r="M19" s="1616">
        <f>+registry_o!L108</f>
        <v>16000000</v>
      </c>
      <c r="N19" s="1616">
        <f>+registry_o!M108</f>
        <v>20333333.333333332</v>
      </c>
      <c r="O19" s="1601">
        <f>+registry_o!N108</f>
        <v>22077380.952380951</v>
      </c>
      <c r="P19" s="131">
        <f>+registry_o!O108</f>
        <v>21709415.5844156</v>
      </c>
      <c r="AI19" s="187"/>
    </row>
    <row r="20" spans="1:36">
      <c r="C20" s="191" t="str">
        <f>+C21</f>
        <v>[L4]</v>
      </c>
      <c r="D20" s="1975">
        <v>0</v>
      </c>
      <c r="E20" s="1617">
        <f t="shared" ref="E20:P20" si="6">SUBTOTAL(9,E21)</f>
        <v>0</v>
      </c>
      <c r="F20" s="1594">
        <f t="shared" si="6"/>
        <v>0</v>
      </c>
      <c r="G20" s="192">
        <f t="shared" si="6"/>
        <v>0</v>
      </c>
      <c r="H20" s="185">
        <f t="shared" si="6"/>
        <v>0</v>
      </c>
      <c r="I20" s="1617">
        <f t="shared" si="6"/>
        <v>0</v>
      </c>
      <c r="J20" s="1594">
        <f t="shared" si="6"/>
        <v>0</v>
      </c>
      <c r="K20" s="192">
        <f t="shared" si="6"/>
        <v>0</v>
      </c>
      <c r="L20" s="185">
        <f t="shared" si="6"/>
        <v>0</v>
      </c>
      <c r="M20" s="1617">
        <f t="shared" si="6"/>
        <v>12500000</v>
      </c>
      <c r="N20" s="1617">
        <f t="shared" si="6"/>
        <v>18750000</v>
      </c>
      <c r="O20" s="1602">
        <f t="shared" si="6"/>
        <v>25000000</v>
      </c>
      <c r="P20" s="185">
        <f t="shared" si="6"/>
        <v>45000000</v>
      </c>
      <c r="AI20" s="747"/>
    </row>
    <row r="21" spans="1:36">
      <c r="A21" s="25" t="s">
        <v>182</v>
      </c>
      <c r="B21" s="25" t="s">
        <v>185</v>
      </c>
      <c r="C21" t="s">
        <v>233</v>
      </c>
      <c r="D21" s="1973">
        <v>0</v>
      </c>
      <c r="E21" s="1616">
        <f>+registry_o!D109</f>
        <v>0</v>
      </c>
      <c r="F21" s="1593">
        <f>+registry_o!E109</f>
        <v>0</v>
      </c>
      <c r="G21" s="193">
        <f>+registry_o!F109</f>
        <v>0</v>
      </c>
      <c r="H21" s="131">
        <f>+registry_o!G109</f>
        <v>0</v>
      </c>
      <c r="I21" s="1616">
        <f>+registry_o!H109</f>
        <v>0</v>
      </c>
      <c r="J21" s="1593">
        <f>+registry_o!I109</f>
        <v>0</v>
      </c>
      <c r="K21" s="193">
        <f>+registry_o!J109</f>
        <v>0</v>
      </c>
      <c r="L21" s="131">
        <f>+registry_o!K109</f>
        <v>0</v>
      </c>
      <c r="M21" s="1616">
        <f>+registry_o!L109</f>
        <v>12500000</v>
      </c>
      <c r="N21" s="1616">
        <f>+registry_o!M109</f>
        <v>18750000</v>
      </c>
      <c r="O21" s="1601">
        <f>+registry_o!N109</f>
        <v>25000000</v>
      </c>
      <c r="P21" s="131">
        <f>+registry_o!O109</f>
        <v>45000000</v>
      </c>
      <c r="AI21" s="747"/>
    </row>
    <row r="22" spans="1:36">
      <c r="C22" s="191" t="str">
        <f>+C23</f>
        <v>PV Loren fees (Key money)</v>
      </c>
      <c r="D22" s="1975">
        <v>20000000</v>
      </c>
      <c r="E22" s="1617">
        <f t="shared" ref="E22:P22" si="7">SUBTOTAL(9,E23)</f>
        <v>20000000</v>
      </c>
      <c r="F22" s="1594">
        <f t="shared" si="7"/>
        <v>20000000</v>
      </c>
      <c r="G22" s="192">
        <f t="shared" si="7"/>
        <v>20000000</v>
      </c>
      <c r="H22" s="185">
        <f t="shared" si="7"/>
        <v>20000000</v>
      </c>
      <c r="I22" s="1617">
        <f t="shared" si="7"/>
        <v>20600000</v>
      </c>
      <c r="J22" s="1594">
        <f t="shared" si="7"/>
        <v>21218000</v>
      </c>
      <c r="K22" s="192">
        <f t="shared" si="7"/>
        <v>26854540</v>
      </c>
      <c r="L22" s="185">
        <f t="shared" si="7"/>
        <v>27660176.199999999</v>
      </c>
      <c r="M22" s="1617">
        <f t="shared" si="7"/>
        <v>28489981.486000001</v>
      </c>
      <c r="N22" s="1617">
        <f t="shared" si="7"/>
        <v>34344680.930580005</v>
      </c>
      <c r="O22" s="1602">
        <f t="shared" si="7"/>
        <v>35375021.358497404</v>
      </c>
      <c r="P22" s="185">
        <f t="shared" si="7"/>
        <v>41436271.999252327</v>
      </c>
      <c r="AI22" s="161"/>
    </row>
    <row r="23" spans="1:36">
      <c r="A23" s="25" t="s">
        <v>153</v>
      </c>
      <c r="B23" s="25" t="s">
        <v>159</v>
      </c>
      <c r="C23" t="s">
        <v>159</v>
      </c>
      <c r="D23" s="1973">
        <v>20000000</v>
      </c>
      <c r="E23" s="1616">
        <f>+registry_o!D72</f>
        <v>20000000</v>
      </c>
      <c r="F23" s="1593">
        <f>+registry_o!E72</f>
        <v>20000000</v>
      </c>
      <c r="G23" s="193">
        <f>+registry_o!F72</f>
        <v>20000000</v>
      </c>
      <c r="H23" s="131">
        <f>+registry_o!G72</f>
        <v>20000000</v>
      </c>
      <c r="I23" s="1616">
        <f>+registry_o!H72</f>
        <v>20600000</v>
      </c>
      <c r="J23" s="1593">
        <f>+registry_o!I72</f>
        <v>21218000</v>
      </c>
      <c r="K23" s="193">
        <f>+registry_o!J72</f>
        <v>26854540</v>
      </c>
      <c r="L23" s="131">
        <f>+registry_o!K72</f>
        <v>27660176.199999999</v>
      </c>
      <c r="M23" s="1616">
        <f>+registry_o!L72</f>
        <v>28489981.486000001</v>
      </c>
      <c r="N23" s="1616">
        <f>+registry_o!M72</f>
        <v>34344680.930580005</v>
      </c>
      <c r="O23" s="1601">
        <f>+registry_o!N72</f>
        <v>35375021.358497404</v>
      </c>
      <c r="P23" s="131">
        <f>+registry_o!O72</f>
        <v>41436271.999252327</v>
      </c>
      <c r="AI23" s="307"/>
      <c r="AJ23" t="s">
        <v>234</v>
      </c>
    </row>
    <row r="24" spans="1:36">
      <c r="C24" s="191" t="s">
        <v>235</v>
      </c>
      <c r="D24" s="1975">
        <v>3570254</v>
      </c>
      <c r="E24" s="1617">
        <f t="shared" ref="E24:P24" si="8">SUBTOTAL(9,E25:E25)</f>
        <v>4127899.1225000005</v>
      </c>
      <c r="F24" s="1594">
        <f t="shared" si="8"/>
        <v>5669544.2450000001</v>
      </c>
      <c r="G24" s="192">
        <f t="shared" si="8"/>
        <v>3871434.3674999997</v>
      </c>
      <c r="H24" s="185">
        <f t="shared" si="8"/>
        <v>4397214.49</v>
      </c>
      <c r="I24" s="1617">
        <f t="shared" si="8"/>
        <v>8130085.6322500007</v>
      </c>
      <c r="J24" s="1594">
        <f t="shared" si="8"/>
        <v>8361313.9869999997</v>
      </c>
      <c r="K24" s="192">
        <f t="shared" si="8"/>
        <v>8205723.3417500006</v>
      </c>
      <c r="L24" s="185">
        <f t="shared" si="8"/>
        <v>7808593.6465000007</v>
      </c>
      <c r="M24" s="1617">
        <f t="shared" si="8"/>
        <v>6597505.9230199996</v>
      </c>
      <c r="N24" s="1617">
        <f t="shared" si="8"/>
        <v>6303210.2286530994</v>
      </c>
      <c r="O24" s="1602">
        <f t="shared" si="8"/>
        <v>4448477.7518301923</v>
      </c>
      <c r="P24" s="185">
        <f t="shared" si="8"/>
        <v>5600000.2333333343</v>
      </c>
      <c r="AI24" s="8"/>
    </row>
    <row r="25" spans="1:36">
      <c r="A25" s="25" t="s">
        <v>182</v>
      </c>
      <c r="B25" s="25" t="s">
        <v>183</v>
      </c>
      <c r="C25" t="s">
        <v>236</v>
      </c>
      <c r="D25" s="1973">
        <v>3570254</v>
      </c>
      <c r="E25" s="1616">
        <f>+registry_o!D107</f>
        <v>4127899.1225000005</v>
      </c>
      <c r="F25" s="1593">
        <f>+registry_o!E107</f>
        <v>5669544.2450000001</v>
      </c>
      <c r="G25" s="193">
        <f>+registry_o!F107</f>
        <v>3871434.3674999997</v>
      </c>
      <c r="H25" s="131">
        <f>+registry_o!G107</f>
        <v>4397214.49</v>
      </c>
      <c r="I25" s="1616">
        <f>+registry_o!H107</f>
        <v>8130085.6322500007</v>
      </c>
      <c r="J25" s="1593">
        <f>+registry_o!I107</f>
        <v>8361313.9869999997</v>
      </c>
      <c r="K25" s="193">
        <f>+registry_o!J107</f>
        <v>8205723.3417500006</v>
      </c>
      <c r="L25" s="131">
        <f>+registry_o!K107</f>
        <v>7808593.6465000007</v>
      </c>
      <c r="M25" s="1616">
        <f>+registry_o!L107</f>
        <v>6597505.9230199996</v>
      </c>
      <c r="N25" s="1616">
        <f>+registry_o!M107</f>
        <v>6303210.2286530994</v>
      </c>
      <c r="O25" s="1601">
        <f>+registry_o!N107</f>
        <v>4448477.7518301923</v>
      </c>
      <c r="P25" s="131">
        <f>+registry_o!O107</f>
        <v>5600000.2333333343</v>
      </c>
      <c r="AI25" s="748"/>
    </row>
    <row r="26" spans="1:36" s="5" customFormat="1">
      <c r="A26" s="25"/>
      <c r="B26" s="25"/>
      <c r="C26" s="154" t="s">
        <v>237</v>
      </c>
      <c r="D26" s="1976">
        <v>145972328.25160721</v>
      </c>
      <c r="E26" s="1618">
        <f t="shared" ref="E26:P26" si="9">SUBTOTAL(9,E5:E25)</f>
        <v>165661047.21205112</v>
      </c>
      <c r="F26" s="1638">
        <f t="shared" si="9"/>
        <v>170627782.75405335</v>
      </c>
      <c r="G26" s="629">
        <f t="shared" si="9"/>
        <v>172542727.36241519</v>
      </c>
      <c r="H26" s="155">
        <f t="shared" si="9"/>
        <v>168765682.67016548</v>
      </c>
      <c r="I26" s="1618">
        <f t="shared" si="9"/>
        <v>175506772.30760011</v>
      </c>
      <c r="J26" s="1638">
        <f t="shared" si="9"/>
        <v>188108694.56886822</v>
      </c>
      <c r="K26" s="629">
        <f t="shared" si="9"/>
        <v>196707365.75196663</v>
      </c>
      <c r="L26" s="155">
        <f t="shared" si="9"/>
        <v>216197928.30925822</v>
      </c>
      <c r="M26" s="1618">
        <f t="shared" si="9"/>
        <v>241416395.39816636</v>
      </c>
      <c r="N26" s="1618">
        <f t="shared" si="9"/>
        <v>289139274.95346773</v>
      </c>
      <c r="O26" s="1603">
        <f t="shared" si="9"/>
        <v>340156492.9409613</v>
      </c>
      <c r="P26" s="155">
        <f t="shared" si="9"/>
        <v>398165011.44128305</v>
      </c>
      <c r="AI26" s="747"/>
    </row>
    <row r="27" spans="1:36">
      <c r="A27" s="27"/>
      <c r="B27" s="27"/>
      <c r="C27" s="190" t="s">
        <v>238</v>
      </c>
      <c r="D27" s="1977"/>
      <c r="E27" s="1619"/>
      <c r="F27" s="1639"/>
      <c r="G27" s="222"/>
      <c r="H27" s="83"/>
      <c r="I27" s="1619"/>
      <c r="J27" s="1639"/>
      <c r="K27" s="222"/>
      <c r="L27" s="83"/>
      <c r="M27" s="1619"/>
      <c r="N27" s="1619"/>
      <c r="O27" s="1604"/>
      <c r="P27" s="83"/>
      <c r="AI27" s="747"/>
    </row>
    <row r="28" spans="1:36">
      <c r="A28" s="25" t="s">
        <v>173</v>
      </c>
      <c r="B28" s="25" t="s">
        <v>174</v>
      </c>
      <c r="C28" s="634" t="s">
        <v>239</v>
      </c>
      <c r="D28" s="1973">
        <v>25387076.966665421</v>
      </c>
      <c r="E28" s="1620">
        <f>+registry_o!D95</f>
        <v>29007182.318074383</v>
      </c>
      <c r="F28" s="1640">
        <f>+registry_o!E95</f>
        <v>30149897.034891989</v>
      </c>
      <c r="G28" s="631">
        <f>+registry_o!F95</f>
        <v>9136912.2028022707</v>
      </c>
      <c r="H28" s="632">
        <f>+registry_o!G95</f>
        <v>8575632.538205862</v>
      </c>
      <c r="I28" s="1620">
        <f>+registry_o!H95</f>
        <v>7900128.8430335149</v>
      </c>
      <c r="J28" s="1640">
        <f>+registry_o!I95</f>
        <v>12239223.025316527</v>
      </c>
      <c r="K28" s="631">
        <f>+registry_o!J95</f>
        <v>12195991.877848445</v>
      </c>
      <c r="L28" s="632">
        <f>+registry_o!K95</f>
        <v>7400513.4327920657</v>
      </c>
      <c r="M28" s="1620">
        <f>+registry_o!L95</f>
        <v>0</v>
      </c>
      <c r="N28" s="1620">
        <f>+registry_o!M95</f>
        <v>0</v>
      </c>
      <c r="O28" s="1605">
        <f>+registry_o!N95</f>
        <v>0</v>
      </c>
      <c r="P28" s="632">
        <f>+registry_o!O95</f>
        <v>0</v>
      </c>
      <c r="AI28" s="5"/>
    </row>
    <row r="29" spans="1:36">
      <c r="A29" s="25" t="s">
        <v>182</v>
      </c>
      <c r="B29" s="25" t="s">
        <v>193</v>
      </c>
      <c r="C29" s="634" t="s">
        <v>240</v>
      </c>
      <c r="D29" s="1973">
        <v>0</v>
      </c>
      <c r="E29" s="1620">
        <f>+registry_o!D123</f>
        <v>0</v>
      </c>
      <c r="F29" s="1640">
        <f>+registry_o!E123</f>
        <v>0</v>
      </c>
      <c r="G29" s="631">
        <f>+registry_o!F123</f>
        <v>0</v>
      </c>
      <c r="H29" s="632">
        <f>+registry_o!G123</f>
        <v>0</v>
      </c>
      <c r="I29" s="1620">
        <f>+registry_o!H123</f>
        <v>0</v>
      </c>
      <c r="J29" s="1640">
        <f>+registry_o!I123</f>
        <v>0</v>
      </c>
      <c r="K29" s="631">
        <f>+registry_o!J123</f>
        <v>0</v>
      </c>
      <c r="L29" s="632">
        <f>+registry_o!K123</f>
        <v>0</v>
      </c>
      <c r="M29" s="1620">
        <f>+registry_o!L123</f>
        <v>0</v>
      </c>
      <c r="N29" s="1620">
        <f>+registry_o!M123</f>
        <v>0</v>
      </c>
      <c r="O29" s="1605">
        <f>+registry_o!N123</f>
        <v>0</v>
      </c>
      <c r="P29" s="632">
        <f>+registry_o!O123</f>
        <v>0</v>
      </c>
      <c r="AI29" s="5"/>
    </row>
    <row r="30" spans="1:36">
      <c r="A30" s="25" t="s">
        <v>177</v>
      </c>
      <c r="B30" s="25" t="s">
        <v>171</v>
      </c>
      <c r="C30" s="634" t="s">
        <v>241</v>
      </c>
      <c r="D30" s="1973">
        <v>812241.1</v>
      </c>
      <c r="E30" s="1620">
        <f>+registry_o!D100</f>
        <v>3383115.7765908856</v>
      </c>
      <c r="F30" s="1640">
        <f>+registry_o!E100</f>
        <v>5020671.3604204301</v>
      </c>
      <c r="G30" s="631">
        <f>+registry_o!F100</f>
        <v>5081889.2059414517</v>
      </c>
      <c r="H30" s="632">
        <f>+registry_o!G100</f>
        <v>6989833.6678437497</v>
      </c>
      <c r="I30" s="1620">
        <f>+registry_o!H100</f>
        <v>8001344.413481757</v>
      </c>
      <c r="J30" s="1640">
        <f>+registry_o!I100</f>
        <v>8575801.243056858</v>
      </c>
      <c r="K30" s="631">
        <f>+registry_o!J100</f>
        <v>8582691.7381072436</v>
      </c>
      <c r="L30" s="632">
        <f>+registry_o!K100</f>
        <v>17286474.095939837</v>
      </c>
      <c r="M30" s="1620">
        <f>+registry_o!L100</f>
        <v>18797445.210330814</v>
      </c>
      <c r="N30" s="1620">
        <f>+registry_o!M100</f>
        <v>21168561.991880435</v>
      </c>
      <c r="O30" s="1605">
        <f>+registry_o!N100</f>
        <v>24343846.290662497</v>
      </c>
      <c r="P30" s="632">
        <f>+registry_o!O100</f>
        <v>27995423.23426187</v>
      </c>
    </row>
    <row r="31" spans="1:36">
      <c r="C31" s="1588" t="s">
        <v>242</v>
      </c>
      <c r="D31" s="1978">
        <v>26199318.066665418</v>
      </c>
      <c r="E31" s="1621">
        <f t="shared" ref="E31:P31" si="10">SUBTOTAL(9,E28:E30)</f>
        <v>32390298.094665267</v>
      </c>
      <c r="F31" s="1641">
        <f t="shared" si="10"/>
        <v>35170568.395312421</v>
      </c>
      <c r="G31" s="1631">
        <f t="shared" si="10"/>
        <v>14218801.408743722</v>
      </c>
      <c r="H31" s="628">
        <f t="shared" si="10"/>
        <v>15565466.206049612</v>
      </c>
      <c r="I31" s="1621">
        <f t="shared" si="10"/>
        <v>15901473.256515272</v>
      </c>
      <c r="J31" s="1641">
        <f t="shared" si="10"/>
        <v>20815024.268373385</v>
      </c>
      <c r="K31" s="1631">
        <f t="shared" si="10"/>
        <v>20778683.615955688</v>
      </c>
      <c r="L31" s="628">
        <f t="shared" si="10"/>
        <v>24686987.528731905</v>
      </c>
      <c r="M31" s="1621">
        <f t="shared" si="10"/>
        <v>18797445.210330814</v>
      </c>
      <c r="N31" s="1621">
        <f t="shared" si="10"/>
        <v>21168561.991880435</v>
      </c>
      <c r="O31" s="1606">
        <f t="shared" si="10"/>
        <v>24343846.290662497</v>
      </c>
      <c r="P31" s="628">
        <f t="shared" si="10"/>
        <v>27995423.23426187</v>
      </c>
      <c r="AI31" s="15"/>
    </row>
    <row r="32" spans="1:36">
      <c r="C32" s="154" t="s">
        <v>128</v>
      </c>
      <c r="D32" s="1976">
        <v>119773010.1849418</v>
      </c>
      <c r="E32" s="1618">
        <f t="shared" ref="E32:P32" si="11">+E26-E31</f>
        <v>133270749.11738586</v>
      </c>
      <c r="F32" s="1638">
        <f t="shared" si="11"/>
        <v>135457214.35874093</v>
      </c>
      <c r="G32" s="629">
        <f t="shared" si="11"/>
        <v>158323925.95367149</v>
      </c>
      <c r="H32" s="155">
        <f t="shared" si="11"/>
        <v>153200216.46411586</v>
      </c>
      <c r="I32" s="155">
        <f t="shared" si="11"/>
        <v>159605299.05108485</v>
      </c>
      <c r="J32" s="1638">
        <f t="shared" si="11"/>
        <v>167293670.30049485</v>
      </c>
      <c r="K32" s="629">
        <f t="shared" si="11"/>
        <v>175928682.13601094</v>
      </c>
      <c r="L32" s="155">
        <f t="shared" si="11"/>
        <v>191510940.78052631</v>
      </c>
      <c r="M32" s="1618">
        <f t="shared" si="11"/>
        <v>222618950.18783554</v>
      </c>
      <c r="N32" s="1618">
        <f t="shared" si="11"/>
        <v>267970712.96158728</v>
      </c>
      <c r="O32" s="1603">
        <f t="shared" si="11"/>
        <v>315812646.65029883</v>
      </c>
      <c r="P32" s="155">
        <f t="shared" si="11"/>
        <v>370169588.20702118</v>
      </c>
      <c r="AI32" s="15"/>
    </row>
    <row r="33" spans="1:35">
      <c r="C33" s="190" t="s">
        <v>243</v>
      </c>
      <c r="D33" s="1976"/>
      <c r="E33" s="1622"/>
      <c r="F33" s="1642"/>
      <c r="G33" s="401"/>
      <c r="H33" s="164"/>
      <c r="I33" s="1622"/>
      <c r="J33" s="1642"/>
      <c r="K33" s="401"/>
      <c r="L33" s="164"/>
      <c r="M33" s="1622"/>
      <c r="N33" s="1622"/>
      <c r="O33" s="1607"/>
      <c r="P33" s="164"/>
    </row>
    <row r="34" spans="1:35">
      <c r="A34" s="25" t="s">
        <v>188</v>
      </c>
      <c r="B34" s="25" t="s">
        <v>189</v>
      </c>
      <c r="C34" s="633" t="s">
        <v>244</v>
      </c>
      <c r="D34" s="1973">
        <v>0</v>
      </c>
      <c r="E34" s="1620">
        <f>+registry_o!D115</f>
        <v>0</v>
      </c>
      <c r="F34" s="1640">
        <f>+registry_o!E115</f>
        <v>0</v>
      </c>
      <c r="G34" s="631">
        <f>+registry_o!F115</f>
        <v>2497177.7861014456</v>
      </c>
      <c r="H34" s="632">
        <f>+registry_o!G115</f>
        <v>960064.93923475733</v>
      </c>
      <c r="I34" s="1620">
        <f>+registry_o!H115</f>
        <v>2881589.7153254538</v>
      </c>
      <c r="J34" s="1640">
        <f>+registry_o!I115</f>
        <v>5188101.0901484545</v>
      </c>
      <c r="K34" s="631">
        <f>+registry_o!J115</f>
        <v>7778604.6408032831</v>
      </c>
      <c r="L34" s="632">
        <f>+registry_o!K115</f>
        <v>12453282.234157892</v>
      </c>
      <c r="M34" s="1620">
        <f>+registry_o!L115</f>
        <v>21785685.056350663</v>
      </c>
      <c r="N34" s="1620">
        <f>+registry_o!M115</f>
        <v>35391213.888476186</v>
      </c>
      <c r="O34" s="1605">
        <f>+registry_o!N115</f>
        <v>49743793.99508965</v>
      </c>
      <c r="P34" s="632">
        <f>+registry_o!O115</f>
        <v>66050876.462106347</v>
      </c>
      <c r="AI34" s="15"/>
    </row>
    <row r="35" spans="1:35">
      <c r="A35" s="25" t="s">
        <v>170</v>
      </c>
      <c r="B35" s="25" t="s">
        <v>171</v>
      </c>
      <c r="C35" s="633" t="s">
        <v>110</v>
      </c>
      <c r="D35" s="1973">
        <v>51080209.386136912</v>
      </c>
      <c r="E35" s="1620">
        <f>+registry_o!D91</f>
        <v>49890886.391148508</v>
      </c>
      <c r="F35" s="1640">
        <f>+registry_o!E91</f>
        <v>50888704.118971482</v>
      </c>
      <c r="G35" s="631">
        <f>+registry_o!F91</f>
        <v>51906478.20135092</v>
      </c>
      <c r="H35" s="632">
        <f>+registry_o!G91</f>
        <v>54144868.927339561</v>
      </c>
      <c r="I35" s="1620">
        <f>+registry_o!H91</f>
        <v>56742197.629923344</v>
      </c>
      <c r="J35" s="1640">
        <f>+registry_o!I91</f>
        <v>58896375.909288213</v>
      </c>
      <c r="K35" s="631">
        <f>+registry_o!J91</f>
        <v>60074303.427473977</v>
      </c>
      <c r="L35" s="632">
        <f>+registry_o!K91</f>
        <v>64275789.496023461</v>
      </c>
      <c r="M35" s="1620">
        <f>+registry_o!L91</f>
        <v>69417852.655705363</v>
      </c>
      <c r="N35" s="1620">
        <f>+registry_o!M91</f>
        <v>74971280.868161783</v>
      </c>
      <c r="O35" s="1605">
        <f>+registry_o!N91</f>
        <v>80968983.337614715</v>
      </c>
      <c r="P35" s="632">
        <f>+registry_o!O91</f>
        <v>87446502.004623935</v>
      </c>
      <c r="AI35" s="15"/>
    </row>
    <row r="36" spans="1:35" outlineLevel="1">
      <c r="A36" s="25" t="s">
        <v>194</v>
      </c>
      <c r="B36" s="25" t="s">
        <v>195</v>
      </c>
      <c r="C36" s="633" t="s">
        <v>180</v>
      </c>
      <c r="D36" s="1973">
        <v>-6000000</v>
      </c>
      <c r="E36" s="1620">
        <f>-registry_o!D126</f>
        <v>6050000</v>
      </c>
      <c r="F36" s="1640">
        <f>-registry_o!E126</f>
        <v>0</v>
      </c>
      <c r="G36" s="631">
        <f>-registry_o!F126</f>
        <v>0</v>
      </c>
      <c r="H36" s="632">
        <f>-registry_o!G126</f>
        <v>0</v>
      </c>
      <c r="I36" s="1620">
        <f>-registry_o!H126</f>
        <v>0</v>
      </c>
      <c r="J36" s="1640">
        <f>-registry_o!I126</f>
        <v>0</v>
      </c>
      <c r="K36" s="631">
        <f>-registry_o!J126</f>
        <v>0</v>
      </c>
      <c r="L36" s="632">
        <f>-registry_o!K126</f>
        <v>0</v>
      </c>
      <c r="M36" s="1620">
        <f>-registry_o!L126</f>
        <v>0</v>
      </c>
      <c r="N36" s="1620">
        <f>-registry_o!M126</f>
        <v>0</v>
      </c>
      <c r="O36" s="1605">
        <f>-registry_o!N126</f>
        <v>0</v>
      </c>
      <c r="P36" s="632">
        <f>-registry_o!O126</f>
        <v>0</v>
      </c>
    </row>
    <row r="37" spans="1:35" outlineLevel="1">
      <c r="C37" s="633" t="s">
        <v>245</v>
      </c>
      <c r="D37" s="1973">
        <v>74692800.798804909</v>
      </c>
      <c r="E37" s="1620">
        <f t="shared" ref="E37:P37" si="12">+E32-E34-E35-E36</f>
        <v>77329862.726237357</v>
      </c>
      <c r="F37" s="1640">
        <f t="shared" si="12"/>
        <v>84568510.239769444</v>
      </c>
      <c r="G37" s="631">
        <f t="shared" si="12"/>
        <v>103920269.96621913</v>
      </c>
      <c r="H37" s="632">
        <f t="shared" si="12"/>
        <v>98095282.597541541</v>
      </c>
      <c r="I37" s="1620">
        <f t="shared" si="12"/>
        <v>99981511.705836058</v>
      </c>
      <c r="J37" s="1640">
        <f t="shared" si="12"/>
        <v>103209193.30105819</v>
      </c>
      <c r="K37" s="631">
        <f t="shared" si="12"/>
        <v>108075774.06773369</v>
      </c>
      <c r="L37" s="632">
        <f t="shared" si="12"/>
        <v>114781869.05034496</v>
      </c>
      <c r="M37" s="1620">
        <f t="shared" si="12"/>
        <v>131415412.4757795</v>
      </c>
      <c r="N37" s="1620">
        <f t="shared" si="12"/>
        <v>157608218.20494932</v>
      </c>
      <c r="O37" s="1605">
        <f t="shared" si="12"/>
        <v>185099869.31759447</v>
      </c>
      <c r="P37" s="632">
        <f t="shared" si="12"/>
        <v>216672209.74029088</v>
      </c>
      <c r="AI37" s="15"/>
    </row>
    <row r="38" spans="1:35">
      <c r="C38" s="1589" t="s">
        <v>246</v>
      </c>
      <c r="D38" s="1979">
        <v>119773010.1849418</v>
      </c>
      <c r="E38" s="1623">
        <f t="shared" ref="E38:P38" si="13">SUM(E34:E37)</f>
        <v>133270749.11738586</v>
      </c>
      <c r="F38" s="1643">
        <f t="shared" si="13"/>
        <v>135457214.35874093</v>
      </c>
      <c r="G38" s="1632">
        <f t="shared" si="13"/>
        <v>158323925.95367149</v>
      </c>
      <c r="H38" s="1595">
        <f t="shared" si="13"/>
        <v>153200216.46411586</v>
      </c>
      <c r="I38" s="1623">
        <f t="shared" si="13"/>
        <v>159605299.05108485</v>
      </c>
      <c r="J38" s="1643">
        <f t="shared" si="13"/>
        <v>167293670.30049485</v>
      </c>
      <c r="K38" s="1632">
        <f t="shared" si="13"/>
        <v>175928682.13601094</v>
      </c>
      <c r="L38" s="1595">
        <f t="shared" si="13"/>
        <v>191510940.78052631</v>
      </c>
      <c r="M38" s="1623">
        <f t="shared" si="13"/>
        <v>222618950.18783551</v>
      </c>
      <c r="N38" s="1623">
        <f t="shared" si="13"/>
        <v>267970712.96158728</v>
      </c>
      <c r="O38" s="1608">
        <f t="shared" si="13"/>
        <v>315812646.65029883</v>
      </c>
      <c r="P38" s="1595">
        <f t="shared" si="13"/>
        <v>370169588.20702118</v>
      </c>
      <c r="AI38" s="15"/>
    </row>
    <row r="39" spans="1:35">
      <c r="A39" s="25" t="s">
        <v>129</v>
      </c>
      <c r="B39" s="25" t="s">
        <v>134</v>
      </c>
      <c r="C39" t="s">
        <v>247</v>
      </c>
      <c r="D39" s="1975">
        <v>0</v>
      </c>
      <c r="E39" s="1615">
        <f>+registry_o!D26</f>
        <v>0</v>
      </c>
      <c r="F39" s="1592">
        <f>+registry_o!E26</f>
        <v>0</v>
      </c>
      <c r="G39" s="152">
        <f>+registry_o!F26</f>
        <v>0</v>
      </c>
      <c r="H39" s="32">
        <f>+registry_o!G26</f>
        <v>-4196895.6973556336</v>
      </c>
      <c r="I39" s="1615">
        <f>+registry_o!H26</f>
        <v>-4334704.6265079249</v>
      </c>
      <c r="J39" s="1592">
        <f>+registry_o!I26</f>
        <v>-4478646.1012967657</v>
      </c>
      <c r="K39" s="152">
        <f>+registry_o!J26</f>
        <v>-4629028.8430579603</v>
      </c>
      <c r="L39" s="32">
        <f>+registry_o!K26</f>
        <v>-4784461.0949854217</v>
      </c>
      <c r="M39" s="1615">
        <f>+registry_o!L26</f>
        <v>-3951666.4742077221</v>
      </c>
      <c r="N39" s="1615">
        <f>+registry_o!M26</f>
        <v>-975331.80578404618</v>
      </c>
      <c r="O39" s="1600">
        <f>+registry_o!N26</f>
        <v>-771958.81360219419</v>
      </c>
      <c r="P39" s="32">
        <f>+registry_o!O26</f>
        <v>0</v>
      </c>
      <c r="AI39" s="15"/>
    </row>
    <row r="40" spans="1:35">
      <c r="A40" s="25" t="s">
        <v>129</v>
      </c>
      <c r="B40" s="25" t="s">
        <v>135</v>
      </c>
      <c r="C40" t="s">
        <v>248</v>
      </c>
      <c r="D40" s="1975">
        <v>0</v>
      </c>
      <c r="E40" s="1615">
        <f>+registry_o!D27</f>
        <v>0</v>
      </c>
      <c r="F40" s="1592">
        <f>+registry_o!E27</f>
        <v>0</v>
      </c>
      <c r="G40" s="152">
        <f>+registry_o!F27</f>
        <v>0</v>
      </c>
      <c r="H40" s="32">
        <f>+registry_o!G27</f>
        <v>-7753407.414941581</v>
      </c>
      <c r="I40" s="1615">
        <f>+registry_o!H27</f>
        <v>-6038275.3593691019</v>
      </c>
      <c r="J40" s="1592">
        <f>+registry_o!I27</f>
        <v>-4849926.1457863338</v>
      </c>
      <c r="K40" s="152">
        <f>+registry_o!J27</f>
        <v>-3974250.1732844282</v>
      </c>
      <c r="L40" s="32">
        <f>+registry_o!K27</f>
        <v>-3116853.7677923306</v>
      </c>
      <c r="M40" s="1615">
        <f>+registry_o!L27</f>
        <v>0</v>
      </c>
      <c r="N40" s="1615">
        <f>+registry_o!M27</f>
        <v>0</v>
      </c>
      <c r="O40" s="1600">
        <f>+registry_o!N27</f>
        <v>0</v>
      </c>
      <c r="P40" s="32">
        <f>+registry_o!O27</f>
        <v>0</v>
      </c>
      <c r="AI40" s="15"/>
    </row>
    <row r="41" spans="1:35">
      <c r="A41" s="25" t="s">
        <v>153</v>
      </c>
      <c r="B41" s="25" t="s">
        <v>160</v>
      </c>
      <c r="C41" t="s">
        <v>249</v>
      </c>
      <c r="D41" s="1975">
        <v>10000000</v>
      </c>
      <c r="E41" s="1615">
        <f>+registry_o!D73</f>
        <v>10000000</v>
      </c>
      <c r="F41" s="1593">
        <f>+registry_o!E73</f>
        <v>10000000</v>
      </c>
      <c r="G41" s="193">
        <f>+registry_o!F73</f>
        <v>10000000</v>
      </c>
      <c r="H41" s="131">
        <f>+registry_o!G73</f>
        <v>10000000</v>
      </c>
      <c r="I41" s="1616">
        <f>+registry_o!H73</f>
        <v>10300000</v>
      </c>
      <c r="J41" s="1593">
        <f>+registry_o!I73</f>
        <v>12730800</v>
      </c>
      <c r="K41" s="193">
        <f>+registry_o!J73</f>
        <v>18798178</v>
      </c>
      <c r="L41" s="131">
        <f>+registry_o!K73</f>
        <v>22128140.960000001</v>
      </c>
      <c r="M41" s="1616">
        <f>+registry_o!L73</f>
        <v>31338979.634600002</v>
      </c>
      <c r="N41" s="1616">
        <f>+registry_o!M73</f>
        <v>48082553.302812003</v>
      </c>
      <c r="O41" s="1601">
        <f>+registry_o!N73</f>
        <v>60137536.309445582</v>
      </c>
      <c r="P41" s="131">
        <f>+registry_o!O73</f>
        <v>82872543.998504654</v>
      </c>
    </row>
    <row r="42" spans="1:35">
      <c r="A42" s="25" t="s">
        <v>153</v>
      </c>
      <c r="B42" s="25" t="s">
        <v>161</v>
      </c>
      <c r="C42" t="s">
        <v>250</v>
      </c>
      <c r="D42" s="1975">
        <v>0</v>
      </c>
      <c r="E42" s="1615">
        <f>+registry_o!D74</f>
        <v>0</v>
      </c>
      <c r="F42" s="1593">
        <f>+registry_o!E74</f>
        <v>0</v>
      </c>
      <c r="G42" s="193">
        <f>+registry_o!F74</f>
        <v>0</v>
      </c>
      <c r="H42" s="131">
        <f>+registry_o!G74</f>
        <v>0</v>
      </c>
      <c r="I42" s="1616">
        <f>+registry_o!H74</f>
        <v>0</v>
      </c>
      <c r="J42" s="1593">
        <f>+registry_o!I74</f>
        <v>0</v>
      </c>
      <c r="K42" s="193">
        <f>+registry_o!J74</f>
        <v>0</v>
      </c>
      <c r="L42" s="131">
        <f>+registry_o!K74</f>
        <v>0</v>
      </c>
      <c r="M42" s="1616">
        <f>+registry_o!L74</f>
        <v>0</v>
      </c>
      <c r="N42" s="1616">
        <f>+registry_o!M74</f>
        <v>25000000</v>
      </c>
      <c r="O42" s="1601">
        <f>+registry_o!N74</f>
        <v>50000000</v>
      </c>
      <c r="P42" s="131">
        <f>+registry_o!O74</f>
        <v>100000000</v>
      </c>
      <c r="AI42" s="15"/>
    </row>
    <row r="43" spans="1:35">
      <c r="C43" s="1582" t="s">
        <v>251</v>
      </c>
      <c r="D43" s="2236">
        <v>129773010.1849418</v>
      </c>
      <c r="E43" s="2237">
        <f t="shared" ref="E43:P43" si="14">SUM(E38:E42)</f>
        <v>143270749.11738586</v>
      </c>
      <c r="F43" s="1638">
        <f t="shared" si="14"/>
        <v>145457214.35874093</v>
      </c>
      <c r="G43" s="629">
        <f t="shared" si="14"/>
        <v>168323925.95367149</v>
      </c>
      <c r="H43" s="155">
        <f t="shared" si="14"/>
        <v>151249913.35181865</v>
      </c>
      <c r="I43" s="1618">
        <f t="shared" si="14"/>
        <v>159532319.06520781</v>
      </c>
      <c r="J43" s="1638">
        <f t="shared" si="14"/>
        <v>170695898.05341175</v>
      </c>
      <c r="K43" s="629">
        <f t="shared" si="14"/>
        <v>186123581.11966854</v>
      </c>
      <c r="L43" s="155">
        <f t="shared" si="14"/>
        <v>205737766.87774855</v>
      </c>
      <c r="M43" s="1618">
        <f t="shared" si="14"/>
        <v>250006263.3482278</v>
      </c>
      <c r="N43" s="1618">
        <f t="shared" si="14"/>
        <v>340077934.45861524</v>
      </c>
      <c r="O43" s="1603">
        <f t="shared" si="14"/>
        <v>425178224.14614218</v>
      </c>
      <c r="P43" s="155">
        <f t="shared" si="14"/>
        <v>553042132.20552588</v>
      </c>
    </row>
    <row r="44" spans="1:35">
      <c r="C44" t="s">
        <v>252</v>
      </c>
      <c r="D44" s="1975">
        <v>0</v>
      </c>
      <c r="E44" s="1615">
        <f>+registry_o!D116</f>
        <v>0</v>
      </c>
      <c r="F44" s="1593">
        <f>+registry_o!E116</f>
        <v>0</v>
      </c>
      <c r="G44" s="193">
        <f>+registry_o!F116</f>
        <v>3000000</v>
      </c>
      <c r="H44" s="131">
        <f>+registry_o!G116</f>
        <v>-585090.93368916214</v>
      </c>
      <c r="I44" s="1616">
        <f>+registry_o!H116</f>
        <v>-21893.995763110928</v>
      </c>
      <c r="J44" s="1593">
        <f>+registry_o!I116</f>
        <v>1020668.3258750709</v>
      </c>
      <c r="K44" s="193">
        <f>+registry_o!J116</f>
        <v>3058469.6950972788</v>
      </c>
      <c r="L44" s="131">
        <f>+registry_o!K116</f>
        <v>4268047.8291666713</v>
      </c>
      <c r="M44" s="1616">
        <f>+registry_o!L116</f>
        <v>8216193.9481176771</v>
      </c>
      <c r="N44" s="1616">
        <f>+registry_o!M116</f>
        <v>21632166.449108385</v>
      </c>
      <c r="O44" s="1601">
        <f>+registry_o!N116</f>
        <v>32809673.248752996</v>
      </c>
      <c r="P44" s="131">
        <f>+registry_o!O116</f>
        <v>54861763.199551404</v>
      </c>
      <c r="AI44" s="15"/>
    </row>
    <row r="45" spans="1:35">
      <c r="C45" t="s">
        <v>253</v>
      </c>
      <c r="D45" s="1975">
        <v>17817146.175523531</v>
      </c>
      <c r="E45" s="1615">
        <f>+E35*(1-((1+lgh_pref_equity!$C$49)/(1+lgh_inputs!$D$6))^(($P$2-E2)/365))</f>
        <v>9423344.8023181409</v>
      </c>
      <c r="F45" s="1592">
        <f>+F35*(1-((1+lgh_pref_equity!$C$49)/(1+lgh_inputs!$D$6))^(($P$2-F2)/365))</f>
        <v>9235852.2077021915</v>
      </c>
      <c r="G45" s="152">
        <f>+G35*(1-((1+lgh_pref_equity!$C$49)/(1+lgh_inputs!$D$6))^(($P$2-G2)/365))</f>
        <v>9029325.8044385687</v>
      </c>
      <c r="H45" s="32">
        <f>+H35*(1-((1+lgh_pref_equity!$C$49)/(1+lgh_inputs!$D$6))^(($P$2-H2)/365))</f>
        <v>9006828.7425699625</v>
      </c>
      <c r="I45" s="1615">
        <f>+I35*(1-((1+lgh_pref_equity!$C$49)/(1+lgh_inputs!$D$6))^(($P$2-I2)/365))</f>
        <v>9012792.5675587952</v>
      </c>
      <c r="J45" s="1592">
        <f>+J35*(1-((1+lgh_pref_equity!$C$49)/(1+lgh_inputs!$D$6))^(($P$2-J2)/365))</f>
        <v>8903722.2915154323</v>
      </c>
      <c r="K45" s="152">
        <f>+K35*(1-((1+lgh_pref_equity!$C$49)/(1+lgh_inputs!$D$6))^(($P$2-K2)/365))</f>
        <v>8612217.8910127003</v>
      </c>
      <c r="L45" s="32">
        <f>+L35*(1-((1+lgh_pref_equity!$C$49)/(1+lgh_inputs!$D$6))^(($P$2-L2)/365))</f>
        <v>8707493.5341523308</v>
      </c>
      <c r="M45" s="1615">
        <f>+M35*(1-((1+lgh_pref_equity!$C$49)/(1+lgh_inputs!$D$6))^(($P$2-M2)/365))</f>
        <v>7181361.1784096779</v>
      </c>
      <c r="N45" s="1615">
        <f>+N35*(1-((1+lgh_pref_equity!$C$49)/(1+lgh_inputs!$D$6))^(($P$2-N2)/365))</f>
        <v>5259464.856822568</v>
      </c>
      <c r="O45" s="1600">
        <f>+O35*(1-((1+lgh_pref_equity!$C$49)/(1+lgh_inputs!$D$6))^(($P$2-O2)/365))</f>
        <v>2891749.4049148099</v>
      </c>
      <c r="P45" s="32">
        <f>+P35*(1-((1+lgh_pref_equity!$C$49)/(1+lgh_inputs!$D$6))^(($P$2-P2)/365))</f>
        <v>0</v>
      </c>
    </row>
    <row r="46" spans="1:35">
      <c r="C46" s="1856" t="s">
        <v>254</v>
      </c>
      <c r="D46" s="1975">
        <v>43497765.475407854</v>
      </c>
      <c r="E46" s="1615">
        <f>+lgh_pref_equity!C184</f>
        <v>49423902.64560657</v>
      </c>
      <c r="F46" s="1855">
        <f>+lgh_pref_equity!D184</f>
        <v>13244706.308200227</v>
      </c>
      <c r="G46" s="1858">
        <f>+lgh_pref_equity!E184</f>
        <v>15431182.920337822</v>
      </c>
      <c r="H46" s="1854">
        <f>+lgh_pref_equity!F184</f>
        <v>14931795.996423746</v>
      </c>
      <c r="I46" s="1857">
        <f>+lgh_pref_equity!G184</f>
        <v>15979027.136789519</v>
      </c>
      <c r="J46" s="1855">
        <f>+lgh_pref_equity!H184</f>
        <v>16748755.294704337</v>
      </c>
      <c r="K46" s="1858">
        <f>+lgh_pref_equity!I184</f>
        <v>17613257.220809232</v>
      </c>
      <c r="L46" s="1854">
        <f>+lgh_pref_equity!J184</f>
        <v>19173288.969213083</v>
      </c>
      <c r="M46" s="1857">
        <f>+lgh_pref_equity!K184</f>
        <v>22287695.128947157</v>
      </c>
      <c r="N46" s="1857">
        <f>+lgh_pref_equity!L184</f>
        <v>26828127.385090936</v>
      </c>
      <c r="O46" s="1859">
        <f>+lgh_pref_equity!M184</f>
        <v>31617865.327586975</v>
      </c>
      <c r="P46" s="1854">
        <f>+lgh_pref_equity!N184</f>
        <v>37059859.104558893</v>
      </c>
    </row>
    <row r="47" spans="1:35">
      <c r="C47" s="25" t="s">
        <v>180</v>
      </c>
      <c r="D47" s="1975">
        <v>-6000000</v>
      </c>
      <c r="E47" s="1615">
        <f t="shared" ref="E47:P47" si="15">+E36</f>
        <v>6050000</v>
      </c>
      <c r="F47" s="1593">
        <f t="shared" si="15"/>
        <v>0</v>
      </c>
      <c r="G47" s="193">
        <f t="shared" si="15"/>
        <v>0</v>
      </c>
      <c r="H47" s="131">
        <f t="shared" si="15"/>
        <v>0</v>
      </c>
      <c r="I47" s="1616">
        <f t="shared" si="15"/>
        <v>0</v>
      </c>
      <c r="J47" s="1593">
        <f t="shared" si="15"/>
        <v>0</v>
      </c>
      <c r="K47" s="193">
        <f t="shared" si="15"/>
        <v>0</v>
      </c>
      <c r="L47" s="131">
        <f t="shared" si="15"/>
        <v>0</v>
      </c>
      <c r="M47" s="1616">
        <f t="shared" si="15"/>
        <v>0</v>
      </c>
      <c r="N47" s="1616">
        <f t="shared" si="15"/>
        <v>0</v>
      </c>
      <c r="O47" s="1601">
        <f t="shared" si="15"/>
        <v>0</v>
      </c>
      <c r="P47" s="131">
        <f t="shared" si="15"/>
        <v>0</v>
      </c>
    </row>
    <row r="48" spans="1:35">
      <c r="C48" t="s">
        <v>255</v>
      </c>
      <c r="D48" s="2238">
        <v>33263063.210613381</v>
      </c>
      <c r="E48" s="2239">
        <f t="shared" ref="E48:P48" si="16">+E35-E45</f>
        <v>40467541.588830367</v>
      </c>
      <c r="F48" s="1644">
        <f t="shared" si="16"/>
        <v>41652851.911269292</v>
      </c>
      <c r="G48" s="1633">
        <f t="shared" si="16"/>
        <v>42877152.396912351</v>
      </c>
      <c r="H48" s="2">
        <f t="shared" si="16"/>
        <v>45138040.184769601</v>
      </c>
      <c r="I48" s="1625">
        <f t="shared" si="16"/>
        <v>47729405.062364548</v>
      </c>
      <c r="J48" s="1644">
        <f t="shared" si="16"/>
        <v>49992653.61777278</v>
      </c>
      <c r="K48" s="1633">
        <f t="shared" si="16"/>
        <v>51462085.536461279</v>
      </c>
      <c r="L48" s="2">
        <f t="shared" si="16"/>
        <v>55568295.961871132</v>
      </c>
      <c r="M48" s="1625">
        <f t="shared" si="16"/>
        <v>62236491.477295682</v>
      </c>
      <c r="N48" s="1625">
        <f t="shared" si="16"/>
        <v>69711816.011339217</v>
      </c>
      <c r="O48" s="1609">
        <f t="shared" si="16"/>
        <v>78077233.932699904</v>
      </c>
      <c r="P48" s="2">
        <f t="shared" si="16"/>
        <v>87446502.004623935</v>
      </c>
    </row>
    <row r="49" spans="2:16">
      <c r="C49" t="s">
        <v>256</v>
      </c>
      <c r="D49" s="2238">
        <v>0</v>
      </c>
      <c r="E49" s="2239">
        <f t="shared" ref="E49:P49" si="17">+E34+E44</f>
        <v>0</v>
      </c>
      <c r="F49" s="1644">
        <f t="shared" si="17"/>
        <v>0</v>
      </c>
      <c r="G49" s="1633">
        <f t="shared" si="17"/>
        <v>5497177.7861014456</v>
      </c>
      <c r="H49" s="2">
        <f t="shared" si="17"/>
        <v>374974.0055455952</v>
      </c>
      <c r="I49" s="1625">
        <f t="shared" si="17"/>
        <v>2859695.7195623429</v>
      </c>
      <c r="J49" s="1644">
        <f t="shared" si="17"/>
        <v>6208769.4160235254</v>
      </c>
      <c r="K49" s="1633">
        <f t="shared" si="17"/>
        <v>10837074.335900562</v>
      </c>
      <c r="L49" s="2">
        <f t="shared" si="17"/>
        <v>16721330.063324563</v>
      </c>
      <c r="M49" s="1625">
        <f t="shared" si="17"/>
        <v>30001879.00446834</v>
      </c>
      <c r="N49" s="1625">
        <f t="shared" si="17"/>
        <v>57023380.33758457</v>
      </c>
      <c r="O49" s="1609">
        <f t="shared" si="17"/>
        <v>82553467.243842646</v>
      </c>
      <c r="P49" s="2">
        <f t="shared" si="17"/>
        <v>120912639.66165775</v>
      </c>
    </row>
    <row r="50" spans="2:16">
      <c r="C50" t="s">
        <v>257</v>
      </c>
      <c r="D50" s="1975">
        <v>102509946.9743284</v>
      </c>
      <c r="E50" s="1615">
        <f t="shared" ref="E50:P50" si="18">E37+SUM(E39:E42)+E45-E44</f>
        <v>96753207.528555498</v>
      </c>
      <c r="F50" s="1591">
        <f t="shared" si="18"/>
        <v>103804362.44747163</v>
      </c>
      <c r="G50" s="153">
        <f t="shared" si="18"/>
        <v>119949595.77065769</v>
      </c>
      <c r="H50" s="1">
        <f t="shared" si="18"/>
        <v>105736899.16150346</v>
      </c>
      <c r="I50" s="1614">
        <f t="shared" si="18"/>
        <v>108943218.28328094</v>
      </c>
      <c r="J50" s="1591">
        <f t="shared" si="18"/>
        <v>114494475.01961544</v>
      </c>
      <c r="K50" s="153">
        <f t="shared" si="18"/>
        <v>123824421.24730672</v>
      </c>
      <c r="L50" s="1">
        <f t="shared" si="18"/>
        <v>133448140.85255288</v>
      </c>
      <c r="M50" s="1614">
        <f t="shared" si="18"/>
        <v>157767892.86646378</v>
      </c>
      <c r="N50" s="1614">
        <f t="shared" si="18"/>
        <v>213342738.10969147</v>
      </c>
      <c r="O50" s="1599">
        <f t="shared" si="18"/>
        <v>264547522.9695996</v>
      </c>
      <c r="P50" s="1">
        <f t="shared" si="18"/>
        <v>344682990.53924412</v>
      </c>
    </row>
    <row r="51" spans="2:16">
      <c r="C51" s="18" t="s">
        <v>258</v>
      </c>
      <c r="D51" s="2240"/>
      <c r="E51" s="2241"/>
      <c r="F51" s="65"/>
      <c r="G51" s="14"/>
      <c r="I51" s="1624"/>
      <c r="J51" s="1650"/>
      <c r="K51" s="1648"/>
      <c r="L51" s="161">
        <f>+L50/I50-1</f>
        <v>0.22493297843976578</v>
      </c>
      <c r="M51" s="1628">
        <f>+M50/L50-1</f>
        <v>0.18224122013645627</v>
      </c>
      <c r="N51" s="1628">
        <f>+N50/M50-1</f>
        <v>0.3522570038396009</v>
      </c>
      <c r="O51" s="1627">
        <f>+O50/N50-1</f>
        <v>0.2400118481350928</v>
      </c>
      <c r="P51" s="161">
        <f>+P50/O50-1</f>
        <v>0.30291520657652593</v>
      </c>
    </row>
    <row r="52" spans="2:16">
      <c r="C52" s="1582" t="s">
        <v>259</v>
      </c>
      <c r="D52" s="2236">
        <v>129773010.1849418</v>
      </c>
      <c r="E52" s="1638">
        <f t="shared" ref="E52:P52" si="19">SUM(E47:E50)</f>
        <v>143270749.11738586</v>
      </c>
      <c r="F52" s="1638">
        <f t="shared" si="19"/>
        <v>145457214.35874093</v>
      </c>
      <c r="G52" s="629">
        <f t="shared" si="19"/>
        <v>168323925.95367149</v>
      </c>
      <c r="H52" s="155">
        <f t="shared" si="19"/>
        <v>151249913.35181865</v>
      </c>
      <c r="I52" s="1618">
        <f t="shared" si="19"/>
        <v>159532319.06520784</v>
      </c>
      <c r="J52" s="1638">
        <f t="shared" si="19"/>
        <v>170695898.05341175</v>
      </c>
      <c r="K52" s="629">
        <f t="shared" si="19"/>
        <v>186123581.11966854</v>
      </c>
      <c r="L52" s="155">
        <f t="shared" si="19"/>
        <v>205737766.87774855</v>
      </c>
      <c r="M52" s="1618">
        <f t="shared" si="19"/>
        <v>250006263.3482278</v>
      </c>
      <c r="N52" s="1618">
        <f t="shared" si="19"/>
        <v>340077934.45861524</v>
      </c>
      <c r="O52" s="1603">
        <f t="shared" si="19"/>
        <v>425178224.14614213</v>
      </c>
      <c r="P52" s="155">
        <f t="shared" si="19"/>
        <v>553042132.20552588</v>
      </c>
    </row>
    <row r="53" spans="2:16">
      <c r="C53" s="1899" t="s">
        <v>260</v>
      </c>
      <c r="D53" s="2236">
        <v>129773010.1849418</v>
      </c>
      <c r="E53" s="2242"/>
      <c r="F53" s="1902"/>
      <c r="G53" s="1903"/>
      <c r="H53" s="1900">
        <f t="shared" ref="H53:P53" si="20">+H52-H49</f>
        <v>150874939.34627306</v>
      </c>
      <c r="I53" s="1901">
        <f t="shared" si="20"/>
        <v>156672623.34564549</v>
      </c>
      <c r="J53" s="1902">
        <f t="shared" si="20"/>
        <v>164487128.63738823</v>
      </c>
      <c r="K53" s="1903">
        <f t="shared" si="20"/>
        <v>175286506.78376797</v>
      </c>
      <c r="L53" s="1900">
        <f t="shared" si="20"/>
        <v>189016436.81442398</v>
      </c>
      <c r="M53" s="1901">
        <f t="shared" si="20"/>
        <v>220004384.34375945</v>
      </c>
      <c r="N53" s="1901">
        <f t="shared" si="20"/>
        <v>283054554.12103069</v>
      </c>
      <c r="O53" s="1904">
        <f t="shared" si="20"/>
        <v>342624756.90229946</v>
      </c>
      <c r="P53" s="1900">
        <f t="shared" si="20"/>
        <v>432129492.54386812</v>
      </c>
    </row>
    <row r="54" spans="2:16">
      <c r="C54" s="18" t="s">
        <v>258</v>
      </c>
      <c r="D54" s="2240"/>
      <c r="E54" s="2241"/>
      <c r="F54" s="65"/>
      <c r="G54" s="14"/>
      <c r="I54" s="1624"/>
      <c r="J54" s="65"/>
      <c r="K54" s="14"/>
      <c r="L54" s="161">
        <f>+L52/I52-1</f>
        <v>0.28963064088383561</v>
      </c>
      <c r="M54" s="1628">
        <f>+M52/L52-1</f>
        <v>0.21516951963799635</v>
      </c>
      <c r="N54" s="1628">
        <f>+N52/M52-1</f>
        <v>0.36027765826382008</v>
      </c>
      <c r="O54" s="1627">
        <f>+O52/N52-1</f>
        <v>0.25023761045538495</v>
      </c>
      <c r="P54" s="161">
        <f>+P52/O52-1</f>
        <v>0.30073014279168353</v>
      </c>
    </row>
    <row r="55" spans="2:16">
      <c r="C55" s="18"/>
      <c r="D55" s="1980"/>
      <c r="E55" s="1624"/>
      <c r="F55" s="65"/>
      <c r="G55" s="14"/>
      <c r="I55" s="1625"/>
      <c r="J55" s="65"/>
      <c r="K55" s="14"/>
      <c r="L55" s="161"/>
      <c r="M55" s="1628"/>
      <c r="N55" s="1628"/>
      <c r="O55" s="1627"/>
      <c r="P55" s="161"/>
    </row>
    <row r="56" spans="2:16">
      <c r="C56" s="5" t="s">
        <v>261</v>
      </c>
      <c r="D56" s="1981">
        <v>4.2000790397265939E-2</v>
      </c>
      <c r="E56" s="1626"/>
      <c r="F56" s="1645"/>
      <c r="G56" s="1634"/>
      <c r="H56" s="196">
        <f>-SUM(lgh_oc!E25:H25)/lgh_bs!H43</f>
        <v>4.9319955527169924E-2</v>
      </c>
      <c r="I56" s="1626"/>
      <c r="J56" s="1645"/>
      <c r="K56" s="1634"/>
      <c r="L56" s="196">
        <f>-SUM(lgh_oc!I25:L25)/lgh_bs!L43</f>
        <v>1.9341384988055786E-2</v>
      </c>
      <c r="M56" s="1626">
        <f>-lgh_oc!M25/lgh_bs!M43</f>
        <v>9.9060084917036739E-4</v>
      </c>
      <c r="N56" s="1626">
        <f>-lgh_oc!N25/lgh_bs!N43</f>
        <v>1.2571976071964345E-2</v>
      </c>
      <c r="O56" s="1610">
        <f>-lgh_oc!O25/lgh_bs!O43</f>
        <v>8.2767335846523089E-3</v>
      </c>
      <c r="P56" s="196">
        <f>-lgh_oc!P25/lgh_bs!P43</f>
        <v>6.3436117033432923E-3</v>
      </c>
    </row>
    <row r="57" spans="2:16">
      <c r="C57" s="5" t="s">
        <v>262</v>
      </c>
      <c r="D57" s="1981">
        <v>0.36403287081764002</v>
      </c>
      <c r="E57" s="1626">
        <f>+'c12_oc'!C49/('c12_oc'!C22+'c12_oc'!C49)</f>
        <v>0.26336020315810243</v>
      </c>
      <c r="F57" s="1645">
        <f>+'c12_oc'!D49/('c12_oc'!D22+'c12_oc'!D49)</f>
        <v>0.25242383279429653</v>
      </c>
      <c r="G57" s="1634">
        <f>+'c12_oc'!E49/('c12_oc'!E22+'c12_oc'!E49)</f>
        <v>0.33287588402734691</v>
      </c>
      <c r="H57" s="196">
        <f>+'c12_oc'!F49/('c12_oc'!F22+'c12_oc'!F49)</f>
        <v>0.22912864351321852</v>
      </c>
      <c r="I57" s="1626">
        <f>+'c12_oc'!G49/('c12_oc'!G22+'c12_oc'!G49)</f>
        <v>1.7686328654551539E-2</v>
      </c>
      <c r="J57" s="1645">
        <f>+'c12_oc'!H49/('c12_oc'!H22+'c12_oc'!H49)</f>
        <v>0.15008611293472773</v>
      </c>
      <c r="K57" s="1634">
        <f>+'c12_oc'!I49/('c12_oc'!I22+'c12_oc'!I49)</f>
        <v>0.20317727433708918</v>
      </c>
      <c r="L57" s="196">
        <f>+'c12_oc'!J49/('c12_oc'!J22+'c12_oc'!J49)</f>
        <v>0.30295727572252601</v>
      </c>
      <c r="M57" s="1626">
        <f>+'c12_oc'!K49/('c12_oc'!K22+'c12_oc'!K49)</f>
        <v>0.22624982243276429</v>
      </c>
      <c r="N57" s="1626">
        <f>+'c12_oc'!L49/('c12_oc'!L22+'c12_oc'!L49)</f>
        <v>0.19507280954530143</v>
      </c>
      <c r="O57" s="1610">
        <f>+'c12_oc'!M49/('c12_oc'!M22+'c12_oc'!M49)</f>
        <v>0.20449606485401689</v>
      </c>
      <c r="P57" s="196">
        <f>+'c12_oc'!N49/('c12_oc'!N22+'c12_oc'!N49)</f>
        <v>0.20575281696942321</v>
      </c>
    </row>
    <row r="58" spans="2:16">
      <c r="B58" s="1886" t="s">
        <v>263</v>
      </c>
    </row>
    <row r="59" spans="2:16">
      <c r="C59" s="1887" t="s">
        <v>264</v>
      </c>
      <c r="D59" s="1967">
        <v>4200000</v>
      </c>
      <c r="E59" s="1892">
        <f t="shared" ref="E59:P59" si="21">D5</f>
        <v>251128</v>
      </c>
      <c r="F59" s="1892">
        <f t="shared" si="21"/>
        <v>2157250.0604958632</v>
      </c>
      <c r="G59" s="1892">
        <f t="shared" si="21"/>
        <v>-1901678.3370041354</v>
      </c>
      <c r="H59" s="1892">
        <f t="shared" si="21"/>
        <v>-4449399.8520317376</v>
      </c>
      <c r="I59" s="1892">
        <f t="shared" si="21"/>
        <v>421309.35297973827</v>
      </c>
      <c r="J59" s="1892">
        <f t="shared" si="21"/>
        <v>3004754.9189604204</v>
      </c>
      <c r="K59" s="1892">
        <f t="shared" si="21"/>
        <v>8121004.3843232896</v>
      </c>
      <c r="L59" s="1892">
        <f t="shared" si="21"/>
        <v>4353548.6234584805</v>
      </c>
      <c r="M59" s="1892">
        <f t="shared" si="21"/>
        <v>418312.49682895653</v>
      </c>
      <c r="N59" s="1892">
        <f t="shared" si="21"/>
        <v>2435212.2214517216</v>
      </c>
      <c r="O59" s="1892">
        <f t="shared" si="21"/>
        <v>6360563.7603085078</v>
      </c>
      <c r="P59" s="1892">
        <f t="shared" si="21"/>
        <v>6861431.0546805738</v>
      </c>
    </row>
    <row r="60" spans="2:16">
      <c r="C60" s="1888" t="s">
        <v>265</v>
      </c>
      <c r="D60" s="1967">
        <v>53328033.576910883</v>
      </c>
      <c r="E60" s="1892">
        <f t="shared" ref="E60:P60" si="22">(E26-E5)-(D26-D5)</f>
        <v>17782596.899948061</v>
      </c>
      <c r="F60" s="1892">
        <f t="shared" si="22"/>
        <v>9025663.9395022094</v>
      </c>
      <c r="G60" s="1892">
        <f t="shared" si="22"/>
        <v>4462666.1233894527</v>
      </c>
      <c r="H60" s="1892">
        <f t="shared" si="22"/>
        <v>-8647753.8972612023</v>
      </c>
      <c r="I60" s="1892">
        <f t="shared" si="22"/>
        <v>4157644.0714539587</v>
      </c>
      <c r="J60" s="1892">
        <f t="shared" si="22"/>
        <v>7485672.7959052324</v>
      </c>
      <c r="K60" s="1892">
        <f t="shared" si="22"/>
        <v>12366126.94396323</v>
      </c>
      <c r="L60" s="1892">
        <f t="shared" si="22"/>
        <v>23425798.683921129</v>
      </c>
      <c r="M60" s="1892">
        <f t="shared" si="22"/>
        <v>23201567.36428535</v>
      </c>
      <c r="N60" s="1892">
        <f t="shared" si="22"/>
        <v>43797528.016444594</v>
      </c>
      <c r="O60" s="1892">
        <f t="shared" si="22"/>
        <v>50516350.693121493</v>
      </c>
      <c r="P60" s="1892">
        <f t="shared" si="22"/>
        <v>55065989.110982239</v>
      </c>
    </row>
    <row r="61" spans="2:16">
      <c r="C61" s="1888" t="s">
        <v>266</v>
      </c>
      <c r="D61" s="1968">
        <v>11199318.06666542</v>
      </c>
      <c r="E61" s="1893">
        <f t="shared" ref="E61:P61" si="23">E31-D31</f>
        <v>6190980.0279998481</v>
      </c>
      <c r="F61" s="1893">
        <f t="shared" si="23"/>
        <v>2780270.3006471545</v>
      </c>
      <c r="G61" s="1893">
        <f t="shared" si="23"/>
        <v>-20951766.986568697</v>
      </c>
      <c r="H61" s="1893">
        <f t="shared" si="23"/>
        <v>1346664.7973058894</v>
      </c>
      <c r="I61" s="1893">
        <f t="shared" si="23"/>
        <v>336007.05046566017</v>
      </c>
      <c r="J61" s="1893">
        <f t="shared" si="23"/>
        <v>4913551.0118581131</v>
      </c>
      <c r="K61" s="1893">
        <f t="shared" si="23"/>
        <v>-36340.652417697012</v>
      </c>
      <c r="L61" s="1893">
        <f t="shared" si="23"/>
        <v>3908303.9127762169</v>
      </c>
      <c r="M61" s="1893">
        <f t="shared" si="23"/>
        <v>-5889542.3184010908</v>
      </c>
      <c r="N61" s="1893">
        <f t="shared" si="23"/>
        <v>2371116.7815496214</v>
      </c>
      <c r="O61" s="1893">
        <f t="shared" si="23"/>
        <v>3175284.2987820618</v>
      </c>
      <c r="P61" s="1893">
        <f t="shared" si="23"/>
        <v>3651576.9435993731</v>
      </c>
    </row>
    <row r="62" spans="2:16">
      <c r="C62" s="1889" t="s">
        <v>267</v>
      </c>
      <c r="D62" s="1967">
        <v>251128.00000000751</v>
      </c>
      <c r="E62" s="1892">
        <f t="shared" ref="E62:P62" si="24">E59+E61+(E38-D38)-E60</f>
        <v>2157250.0604958534</v>
      </c>
      <c r="F62" s="1892">
        <f t="shared" si="24"/>
        <v>-1901678.3370041307</v>
      </c>
      <c r="G62" s="1892">
        <f t="shared" si="24"/>
        <v>-4449399.8520317264</v>
      </c>
      <c r="H62" s="1892">
        <f t="shared" si="24"/>
        <v>421309.35297972709</v>
      </c>
      <c r="I62" s="1892">
        <f t="shared" si="24"/>
        <v>3004754.9189604279</v>
      </c>
      <c r="J62" s="1892">
        <f t="shared" si="24"/>
        <v>8121004.3843233045</v>
      </c>
      <c r="K62" s="1892">
        <f t="shared" si="24"/>
        <v>4353548.6234584581</v>
      </c>
      <c r="L62" s="1892">
        <f t="shared" si="24"/>
        <v>418312.49682893604</v>
      </c>
      <c r="M62" s="1892">
        <f t="shared" si="24"/>
        <v>2435212.2214517221</v>
      </c>
      <c r="N62" s="1892">
        <f t="shared" si="24"/>
        <v>6360563.760308519</v>
      </c>
      <c r="O62" s="1892">
        <f t="shared" si="24"/>
        <v>6861431.0546806306</v>
      </c>
      <c r="P62" s="1892">
        <f t="shared" si="24"/>
        <v>9803960.4440200478</v>
      </c>
    </row>
    <row r="63" spans="2:16">
      <c r="C63" s="1890" t="s">
        <v>268</v>
      </c>
      <c r="D63" s="1967">
        <v>251128</v>
      </c>
      <c r="E63" s="1892">
        <f t="shared" ref="E63:P63" si="25">E5</f>
        <v>2157250.0604958632</v>
      </c>
      <c r="F63" s="1892">
        <f t="shared" si="25"/>
        <v>-1901678.3370041354</v>
      </c>
      <c r="G63" s="1892">
        <f t="shared" si="25"/>
        <v>-4449399.8520317376</v>
      </c>
      <c r="H63" s="1892">
        <f t="shared" si="25"/>
        <v>421309.35297973827</v>
      </c>
      <c r="I63" s="1892">
        <f t="shared" si="25"/>
        <v>3004754.9189604204</v>
      </c>
      <c r="J63" s="1892">
        <f t="shared" si="25"/>
        <v>8121004.3843232896</v>
      </c>
      <c r="K63" s="1892">
        <f t="shared" si="25"/>
        <v>4353548.6234584805</v>
      </c>
      <c r="L63" s="1892">
        <f t="shared" si="25"/>
        <v>418312.49682895653</v>
      </c>
      <c r="M63" s="1892">
        <f t="shared" si="25"/>
        <v>2435212.2214517216</v>
      </c>
      <c r="N63" s="1892">
        <f t="shared" si="25"/>
        <v>6360563.7603085078</v>
      </c>
      <c r="O63" s="1892">
        <f t="shared" si="25"/>
        <v>6861431.0546805738</v>
      </c>
      <c r="P63" s="1892">
        <f t="shared" si="25"/>
        <v>9803960.4440200888</v>
      </c>
    </row>
    <row r="64" spans="2:16">
      <c r="C64" s="1890" t="s">
        <v>269</v>
      </c>
      <c r="D64" s="1967">
        <v>7.4505805969238281E-9</v>
      </c>
      <c r="E64" s="1892">
        <f t="shared" ref="E64:P64" si="26">E62-E63</f>
        <v>-9.7788870334625244E-9</v>
      </c>
      <c r="F64" s="1892">
        <f t="shared" si="26"/>
        <v>4.6566128730773926E-9</v>
      </c>
      <c r="G64" s="1892">
        <f t="shared" si="26"/>
        <v>1.1175870895385742E-8</v>
      </c>
      <c r="H64" s="1892">
        <f t="shared" si="26"/>
        <v>-1.1175870895385742E-8</v>
      </c>
      <c r="I64" s="1892">
        <f t="shared" si="26"/>
        <v>7.4505805969238281E-9</v>
      </c>
      <c r="J64" s="1892">
        <f t="shared" si="26"/>
        <v>1.4901161193847656E-8</v>
      </c>
      <c r="K64" s="1892">
        <f t="shared" si="26"/>
        <v>-2.2351741790771484E-8</v>
      </c>
      <c r="L64" s="1892">
        <f t="shared" si="26"/>
        <v>-2.0489096641540527E-8</v>
      </c>
      <c r="M64" s="1892">
        <f t="shared" si="26"/>
        <v>0</v>
      </c>
      <c r="N64" s="1892">
        <f t="shared" si="26"/>
        <v>1.1175870895385742E-8</v>
      </c>
      <c r="O64" s="1892">
        <f t="shared" si="26"/>
        <v>5.6810677051544189E-8</v>
      </c>
      <c r="P64" s="1892">
        <f t="shared" si="26"/>
        <v>-4.0978193283081055E-8</v>
      </c>
    </row>
    <row r="65" spans="3:16">
      <c r="C65" s="1891" t="s">
        <v>270</v>
      </c>
      <c r="D65" s="1982" t="s">
        <v>271</v>
      </c>
      <c r="E65" s="5" t="str">
        <f t="shared" ref="E65:P65" si="27">IF(ABS(E64)&lt;1,"OK","DIFF: "&amp;TEXT(E64,"$#,##0"))</f>
        <v>OK</v>
      </c>
      <c r="F65" s="5" t="str">
        <f t="shared" si="27"/>
        <v>OK</v>
      </c>
      <c r="G65" s="5" t="str">
        <f t="shared" si="27"/>
        <v>OK</v>
      </c>
      <c r="H65" s="5" t="str">
        <f t="shared" si="27"/>
        <v>OK</v>
      </c>
      <c r="I65" s="5" t="str">
        <f t="shared" si="27"/>
        <v>OK</v>
      </c>
      <c r="J65" s="5" t="str">
        <f t="shared" si="27"/>
        <v>OK</v>
      </c>
      <c r="K65" s="5" t="str">
        <f t="shared" si="27"/>
        <v>OK</v>
      </c>
      <c r="L65" s="5" t="str">
        <f t="shared" si="27"/>
        <v>OK</v>
      </c>
      <c r="M65" s="5" t="str">
        <f t="shared" si="27"/>
        <v>OK</v>
      </c>
      <c r="N65" s="5" t="str">
        <f t="shared" si="27"/>
        <v>OK</v>
      </c>
      <c r="O65" s="5" t="str">
        <f t="shared" si="27"/>
        <v>OK</v>
      </c>
      <c r="P65" s="5" t="str">
        <f t="shared" si="27"/>
        <v>OK</v>
      </c>
    </row>
    <row r="66" spans="3:16">
      <c r="D66" s="1982"/>
      <c r="E66" s="5"/>
      <c r="F66" s="5"/>
      <c r="G66" s="5"/>
      <c r="H66" s="5"/>
    </row>
    <row r="67" spans="3:16">
      <c r="D67" s="1982"/>
      <c r="E67" s="5"/>
      <c r="F67" s="5"/>
      <c r="G67" s="5"/>
      <c r="H67" s="5"/>
    </row>
    <row r="68" spans="3:16">
      <c r="D68" s="1982"/>
      <c r="E68" s="5"/>
      <c r="F68" s="5"/>
      <c r="G68" s="5"/>
      <c r="H68" s="5"/>
    </row>
    <row r="69" spans="3:16">
      <c r="D69" s="1982"/>
      <c r="E69" s="5"/>
      <c r="F69" s="5"/>
      <c r="G69" s="5"/>
      <c r="H69" s="5"/>
    </row>
    <row r="70" spans="3:16">
      <c r="D70" s="1982"/>
      <c r="E70" s="5"/>
      <c r="F70" s="5"/>
      <c r="G70" s="5"/>
      <c r="H70" s="5"/>
    </row>
    <row r="71" spans="3:16">
      <c r="D71" s="1982"/>
      <c r="E71" s="5"/>
      <c r="F71" s="5"/>
      <c r="G71" s="5"/>
      <c r="H71" s="5"/>
    </row>
    <row r="72" spans="3:16">
      <c r="D72" s="1982"/>
      <c r="E72" s="5"/>
      <c r="F72" s="5"/>
      <c r="G72" s="5"/>
      <c r="H72" s="5"/>
    </row>
    <row r="73" spans="3:16">
      <c r="D73" s="1982"/>
      <c r="E73" s="5"/>
      <c r="F73" s="5"/>
      <c r="G73" s="5"/>
      <c r="H73" s="5"/>
    </row>
    <row r="74" spans="3:16">
      <c r="D74" s="1982"/>
      <c r="E74" s="5"/>
      <c r="F74" s="5"/>
      <c r="G74" s="5"/>
      <c r="H74" s="5"/>
    </row>
    <row r="75" spans="3:16">
      <c r="D75" s="1982"/>
      <c r="E75" s="5"/>
      <c r="F75" s="5"/>
      <c r="G75" s="5"/>
      <c r="H75" s="5"/>
    </row>
    <row r="76" spans="3:16">
      <c r="D76" s="1982"/>
      <c r="E76" s="5"/>
      <c r="F76" s="5"/>
      <c r="G76" s="5"/>
      <c r="H76" s="5"/>
    </row>
    <row r="77" spans="3:16">
      <c r="D77" s="1982"/>
      <c r="E77" s="5"/>
      <c r="F77" s="5"/>
      <c r="G77" s="5"/>
      <c r="H77" s="5"/>
    </row>
    <row r="78" spans="3:16">
      <c r="D78" s="1982"/>
      <c r="E78" s="5"/>
      <c r="F78" s="5"/>
      <c r="G78" s="5"/>
      <c r="H78" s="5"/>
    </row>
    <row r="79" spans="3:16">
      <c r="D79" s="1982"/>
      <c r="E79" s="5"/>
      <c r="F79" s="5"/>
      <c r="G79" s="5"/>
      <c r="H79" s="5"/>
    </row>
    <row r="80" spans="3:16">
      <c r="D80" s="1982"/>
      <c r="E80" s="5"/>
      <c r="F80" s="5"/>
      <c r="G80" s="5"/>
      <c r="H80" s="5"/>
    </row>
    <row r="81" spans="4:8">
      <c r="D81" s="1982"/>
      <c r="E81" s="5"/>
      <c r="F81" s="5"/>
      <c r="G81" s="5"/>
      <c r="H81" s="5"/>
    </row>
    <row r="82" spans="4:8">
      <c r="D82" s="1982"/>
      <c r="E82" s="5"/>
      <c r="F82" s="5"/>
      <c r="G82" s="5"/>
      <c r="H82" s="5"/>
    </row>
    <row r="83" spans="4:8">
      <c r="D83" s="1982"/>
      <c r="E83" s="5"/>
      <c r="F83" s="5"/>
      <c r="G83" s="5"/>
      <c r="H83" s="5"/>
    </row>
    <row r="84" spans="4:8">
      <c r="D84" s="1982"/>
      <c r="E84" s="5"/>
      <c r="F84" s="5"/>
      <c r="G84" s="5"/>
      <c r="H84" s="5"/>
    </row>
    <row r="85" spans="4:8">
      <c r="D85" s="1982"/>
      <c r="E85" s="5"/>
      <c r="F85" s="5"/>
      <c r="G85" s="5"/>
      <c r="H85" s="5"/>
    </row>
    <row r="86" spans="4:8">
      <c r="D86" s="1982"/>
      <c r="E86" s="5"/>
      <c r="F86" s="5"/>
      <c r="G86" s="5"/>
      <c r="H86" s="5"/>
    </row>
    <row r="87" spans="4:8">
      <c r="D87" s="1982"/>
      <c r="E87" s="5"/>
      <c r="F87" s="5"/>
      <c r="G87" s="5"/>
      <c r="H87" s="5"/>
    </row>
    <row r="88" spans="4:8">
      <c r="D88" s="1982"/>
      <c r="E88" s="5"/>
      <c r="F88" s="5"/>
      <c r="G88" s="5"/>
      <c r="H88" s="5"/>
    </row>
    <row r="89" spans="4:8">
      <c r="D89" s="1982"/>
      <c r="E89" s="5"/>
      <c r="F89" s="5"/>
      <c r="G89" s="5"/>
      <c r="H89" s="5"/>
    </row>
    <row r="90" spans="4:8">
      <c r="D90" s="1982"/>
      <c r="E90" s="5"/>
      <c r="F90" s="5"/>
      <c r="G90" s="5"/>
      <c r="H90" s="5"/>
    </row>
    <row r="91" spans="4:8">
      <c r="D91" s="1982"/>
      <c r="E91" s="5"/>
      <c r="F91" s="5"/>
      <c r="G91" s="5"/>
      <c r="H91" s="5"/>
    </row>
    <row r="92" spans="4:8">
      <c r="D92" s="1982"/>
      <c r="E92" s="5"/>
      <c r="F92" s="5"/>
      <c r="G92" s="5"/>
      <c r="H92" s="5"/>
    </row>
    <row r="93" spans="4:8">
      <c r="D93" s="1982"/>
      <c r="E93" s="5"/>
      <c r="F93" s="5"/>
      <c r="G93" s="5"/>
      <c r="H93" s="5"/>
    </row>
    <row r="94" spans="4:8">
      <c r="D94" s="1982"/>
      <c r="E94" s="5"/>
      <c r="F94" s="5"/>
      <c r="G94" s="5"/>
      <c r="H94" s="5"/>
    </row>
    <row r="95" spans="4:8">
      <c r="D95" s="1982"/>
      <c r="E95" s="5"/>
      <c r="F95" s="5"/>
      <c r="G95" s="5"/>
      <c r="H95" s="5"/>
    </row>
    <row r="96" spans="4:8">
      <c r="D96" s="1982"/>
      <c r="E96" s="5"/>
      <c r="F96" s="5"/>
      <c r="G96" s="5"/>
      <c r="H96" s="5"/>
    </row>
    <row r="97" spans="2:8">
      <c r="D97" s="1982"/>
      <c r="E97" s="5"/>
      <c r="F97" s="5"/>
      <c r="G97" s="5"/>
      <c r="H97" s="5"/>
    </row>
    <row r="98" spans="2:8">
      <c r="D98" s="1982"/>
      <c r="E98" s="5"/>
      <c r="F98" s="5"/>
      <c r="G98" s="5"/>
      <c r="H98" s="5"/>
    </row>
    <row r="99" spans="2:8">
      <c r="D99" s="1982"/>
      <c r="E99" s="5"/>
      <c r="F99" s="5"/>
      <c r="G99" s="5"/>
      <c r="H99" s="5"/>
    </row>
    <row r="100" spans="2:8">
      <c r="D100" s="1982"/>
      <c r="E100" s="5"/>
      <c r="F100" s="5"/>
      <c r="G100" s="5"/>
      <c r="H100" s="5"/>
    </row>
    <row r="101" spans="2:8">
      <c r="D101" s="1982"/>
      <c r="E101" s="5"/>
      <c r="F101" s="5"/>
      <c r="G101" s="5"/>
      <c r="H101" s="5"/>
    </row>
    <row r="102" spans="2:8">
      <c r="D102" s="1982"/>
      <c r="E102" s="5"/>
      <c r="F102" s="5"/>
      <c r="G102" s="5"/>
      <c r="H102" s="5"/>
    </row>
    <row r="103" spans="2:8">
      <c r="D103" s="1982"/>
      <c r="E103" s="5"/>
      <c r="F103" s="5"/>
      <c r="G103" s="5"/>
      <c r="H103" s="5"/>
    </row>
    <row r="104" spans="2:8" ht="15.6" customHeight="1">
      <c r="B104" s="1895"/>
      <c r="D104" s="1982"/>
      <c r="E104" s="5"/>
      <c r="F104" s="5"/>
      <c r="G104" s="5"/>
      <c r="H104" s="5"/>
    </row>
    <row r="105" spans="2:8">
      <c r="B105" s="1896"/>
      <c r="C105" s="1908"/>
    </row>
    <row r="106" spans="2:8">
      <c r="C106" s="18"/>
    </row>
    <row r="107" spans="2:8">
      <c r="C107" s="18"/>
      <c r="E107" s="83"/>
      <c r="G107" s="83"/>
    </row>
    <row r="108" spans="2:8">
      <c r="C108" s="18"/>
      <c r="D108" s="1984"/>
      <c r="E108" s="1909"/>
      <c r="F108" s="1909"/>
      <c r="G108" s="1909"/>
      <c r="H108" s="1909"/>
    </row>
    <row r="109" spans="2:8">
      <c r="B109" s="1879"/>
      <c r="C109" s="18"/>
    </row>
    <row r="110" spans="2:8">
      <c r="C110" s="1910"/>
      <c r="D110" s="1985"/>
      <c r="E110" s="1911"/>
      <c r="F110" s="1911"/>
      <c r="G110" s="1911"/>
      <c r="H110" s="1911"/>
    </row>
    <row r="111" spans="2:8">
      <c r="C111" s="1912"/>
      <c r="D111" s="1985"/>
      <c r="E111" s="754"/>
      <c r="F111" s="1911"/>
      <c r="G111" s="754"/>
      <c r="H111" s="1911"/>
    </row>
    <row r="112" spans="2:8">
      <c r="C112" s="1913"/>
      <c r="D112" s="1985"/>
      <c r="E112" s="754"/>
      <c r="F112" s="1911"/>
      <c r="G112" s="754"/>
      <c r="H112" s="1911"/>
    </row>
    <row r="113" spans="2:8">
      <c r="C113" s="1913"/>
      <c r="D113" s="1985"/>
      <c r="E113" s="754"/>
      <c r="F113" s="1911"/>
      <c r="G113" s="754"/>
      <c r="H113" s="1911"/>
    </row>
    <row r="114" spans="2:8">
      <c r="C114" s="1914"/>
      <c r="D114" s="1986"/>
      <c r="E114" s="1915"/>
      <c r="F114" s="1915"/>
      <c r="G114" s="1915"/>
      <c r="H114" s="1915"/>
    </row>
    <row r="115" spans="2:8">
      <c r="C115" s="1581"/>
    </row>
    <row r="116" spans="2:8">
      <c r="B116" s="1879"/>
      <c r="C116" s="221"/>
      <c r="D116" s="1982"/>
      <c r="E116" s="5"/>
      <c r="F116" s="5"/>
      <c r="G116" s="5"/>
      <c r="H116" s="5"/>
    </row>
    <row r="117" spans="2:8">
      <c r="B117" s="1879"/>
      <c r="C117" s="221"/>
    </row>
    <row r="118" spans="2:8">
      <c r="C118" s="1910"/>
      <c r="E118" s="1911"/>
      <c r="G118" s="1911"/>
    </row>
    <row r="119" spans="2:8">
      <c r="C119" s="1913"/>
      <c r="D119" s="1985"/>
      <c r="F119" s="1911"/>
      <c r="H119" s="1911"/>
    </row>
    <row r="120" spans="2:8">
      <c r="C120" s="1916"/>
      <c r="D120" s="1986"/>
      <c r="E120" s="1915"/>
      <c r="F120" s="1915"/>
      <c r="G120" s="1915"/>
      <c r="H120" s="1915"/>
    </row>
    <row r="121" spans="2:8">
      <c r="C121" s="1916"/>
      <c r="D121" s="1987"/>
      <c r="E121" s="1917"/>
      <c r="F121" s="1917"/>
      <c r="G121" s="1917"/>
      <c r="H121" s="1917"/>
    </row>
    <row r="122" spans="2:8">
      <c r="C122" s="1916"/>
      <c r="D122" s="1988"/>
      <c r="E122" s="1918"/>
      <c r="F122" s="1918"/>
      <c r="G122" s="1918"/>
      <c r="H122" s="1918"/>
    </row>
    <row r="123" spans="2:8">
      <c r="C123" s="221"/>
    </row>
    <row r="124" spans="2:8">
      <c r="B124" s="1879"/>
      <c r="C124" s="221"/>
    </row>
    <row r="125" spans="2:8">
      <c r="C125" s="1916"/>
      <c r="D125" s="1985"/>
      <c r="E125" s="1911"/>
      <c r="F125" s="1911"/>
      <c r="G125" s="1911"/>
      <c r="H125" s="1911"/>
    </row>
    <row r="126" spans="2:8">
      <c r="C126" s="1916"/>
      <c r="D126" s="1985"/>
      <c r="E126" s="1911"/>
      <c r="F126" s="1911"/>
      <c r="G126" s="1911"/>
      <c r="H126" s="1911"/>
    </row>
    <row r="127" spans="2:8">
      <c r="C127" s="1916"/>
      <c r="D127" s="1985"/>
      <c r="E127" s="1911"/>
      <c r="F127" s="1911"/>
      <c r="G127" s="1911"/>
      <c r="H127" s="1911"/>
    </row>
    <row r="128" spans="2:8">
      <c r="C128" s="1916"/>
      <c r="D128" s="1985"/>
      <c r="E128" s="1911"/>
      <c r="F128" s="1911"/>
      <c r="G128" s="1911"/>
      <c r="H128" s="1911"/>
    </row>
    <row r="129" spans="3:8">
      <c r="C129" s="1916"/>
      <c r="D129" s="1989"/>
      <c r="E129" s="1911"/>
      <c r="F129" s="1919"/>
      <c r="G129" s="1911"/>
      <c r="H129" s="1919"/>
    </row>
    <row r="130" spans="3:8">
      <c r="C130" s="1916"/>
      <c r="D130" s="1989"/>
      <c r="E130" s="1911"/>
      <c r="F130" s="1919"/>
      <c r="G130" s="1911"/>
      <c r="H130" s="1919"/>
    </row>
    <row r="131" spans="3:8">
      <c r="C131" s="1916"/>
      <c r="D131" s="1989"/>
      <c r="E131" s="1920"/>
      <c r="F131" s="1919"/>
      <c r="G131" s="1920"/>
      <c r="H131" s="1919"/>
    </row>
    <row r="132" spans="3:8">
      <c r="C132" s="1916"/>
      <c r="D132" s="1986"/>
      <c r="E132" s="1915"/>
      <c r="F132" s="1915"/>
      <c r="G132" s="1915"/>
      <c r="H132" s="1915"/>
    </row>
    <row r="133" spans="3:8">
      <c r="C133" s="1916"/>
      <c r="D133" s="1987"/>
      <c r="E133" s="1917"/>
      <c r="F133" s="1917"/>
      <c r="G133" s="1917"/>
      <c r="H133" s="1917"/>
    </row>
    <row r="134" spans="3:8">
      <c r="C134" s="1916"/>
      <c r="D134" s="1988"/>
      <c r="E134" s="1918"/>
      <c r="F134" s="1918"/>
      <c r="G134" s="1918"/>
      <c r="H134" s="1918"/>
    </row>
    <row r="135" spans="3:8">
      <c r="C135" s="221"/>
    </row>
    <row r="136" spans="3:8">
      <c r="C136" s="1921"/>
      <c r="E136" s="1922"/>
      <c r="G136" s="1922"/>
    </row>
  </sheetData>
  <conditionalFormatting sqref="D65:P65">
    <cfRule type="containsText" dxfId="2" priority="1" operator="containsText" text="OK">
      <formula>NOT(ISERROR(SEARCH("OK",D65)))</formula>
    </cfRule>
    <cfRule type="containsText" dxfId="1" priority="2" operator="containsText" text="DIFF">
      <formula>NOT(ISERROR(SEARCH("DIFF",D65)))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D9E1F2"/>
  </sheetPr>
  <dimension ref="A2:U71"/>
  <sheetViews>
    <sheetView topLeftCell="G1" zoomScale="65" workbookViewId="0">
      <selection activeCell="I29" sqref="I29"/>
    </sheetView>
  </sheetViews>
  <sheetFormatPr defaultRowHeight="14.4"/>
  <cols>
    <col min="1" max="1" width="6.578125" bestFit="1" customWidth="1"/>
    <col min="2" max="2" width="8.578125" bestFit="1" customWidth="1"/>
    <col min="3" max="7" width="13.83984375" customWidth="1"/>
    <col min="8" max="8" width="13.26171875" customWidth="1"/>
    <col min="9" max="9" width="8.578125" bestFit="1" customWidth="1"/>
    <col min="10" max="14" width="13.83984375" customWidth="1"/>
    <col min="15" max="15" width="25.26171875" bestFit="1" customWidth="1"/>
    <col min="16" max="17" width="14" bestFit="1" customWidth="1"/>
  </cols>
  <sheetData>
    <row r="2" spans="2:21">
      <c r="D2" s="1905" t="s">
        <v>272</v>
      </c>
      <c r="E2" s="83"/>
      <c r="K2" s="1906" t="s">
        <v>273</v>
      </c>
      <c r="L2" s="83"/>
      <c r="P2" s="649"/>
      <c r="Q2" s="649"/>
      <c r="R2" s="1992" t="s">
        <v>273</v>
      </c>
      <c r="S2" s="1983"/>
      <c r="T2" s="649"/>
      <c r="U2" s="649"/>
    </row>
    <row r="3" spans="2:21">
      <c r="D3" s="1882" t="s">
        <v>274</v>
      </c>
      <c r="E3" s="1966">
        <f>(lgh_bs!I50*E4)/1000000</f>
        <v>108.94321828328094</v>
      </c>
      <c r="K3" s="1880" t="s">
        <v>275</v>
      </c>
      <c r="L3" s="1966">
        <f>(lgh_bs!I53*$L$4)/1000000</f>
        <v>156.67262334564549</v>
      </c>
      <c r="P3" s="649"/>
      <c r="Q3" s="649"/>
      <c r="R3" s="1993" t="s">
        <v>275</v>
      </c>
      <c r="S3" s="1994">
        <v>156.67262334564549</v>
      </c>
      <c r="T3" s="649"/>
      <c r="U3" s="649"/>
    </row>
    <row r="4" spans="2:21">
      <c r="D4" s="1882" t="s">
        <v>276</v>
      </c>
      <c r="E4" s="1990">
        <f>1-E5</f>
        <v>1</v>
      </c>
      <c r="K4" s="1907" t="s">
        <v>276</v>
      </c>
      <c r="L4" s="1990">
        <f>1-L5</f>
        <v>1</v>
      </c>
      <c r="P4" s="649"/>
      <c r="Q4" s="649"/>
      <c r="R4" s="1995" t="s">
        <v>276</v>
      </c>
      <c r="S4" s="1990">
        <v>1</v>
      </c>
      <c r="T4" s="649"/>
      <c r="U4" s="649"/>
    </row>
    <row r="5" spans="2:21">
      <c r="D5" s="1882" t="s">
        <v>277</v>
      </c>
      <c r="E5" s="1884">
        <v>0</v>
      </c>
      <c r="K5" s="1881" t="s">
        <v>277</v>
      </c>
      <c r="L5" s="1885">
        <v>0</v>
      </c>
      <c r="P5" s="649"/>
      <c r="Q5" s="649"/>
      <c r="R5" s="1996" t="s">
        <v>277</v>
      </c>
      <c r="S5" s="1997">
        <v>0</v>
      </c>
      <c r="T5" s="649"/>
      <c r="U5" s="649"/>
    </row>
    <row r="6" spans="2:21">
      <c r="P6" s="649"/>
      <c r="Q6" s="649"/>
      <c r="R6" s="649"/>
      <c r="S6" s="649"/>
      <c r="T6" s="649"/>
      <c r="U6" s="649"/>
    </row>
    <row r="7" spans="2:21">
      <c r="P7" s="649"/>
      <c r="Q7" s="649"/>
      <c r="R7" s="649"/>
      <c r="S7" s="649"/>
      <c r="T7" s="649"/>
      <c r="U7" s="649"/>
    </row>
    <row r="8" spans="2:21">
      <c r="E8" s="83" t="s">
        <v>278</v>
      </c>
      <c r="L8" s="83" t="s">
        <v>279</v>
      </c>
      <c r="P8" s="649"/>
      <c r="Q8" s="649"/>
      <c r="R8" s="649"/>
      <c r="S8" s="1983" t="s">
        <v>279</v>
      </c>
      <c r="T8" s="649"/>
      <c r="U8" s="649"/>
    </row>
    <row r="9" spans="2:21">
      <c r="C9" s="83">
        <v>2026</v>
      </c>
      <c r="D9" s="83">
        <v>2027</v>
      </c>
      <c r="E9" s="83">
        <v>2028</v>
      </c>
      <c r="F9" s="83">
        <v>2029</v>
      </c>
      <c r="G9" s="83">
        <v>2030</v>
      </c>
      <c r="J9" s="83">
        <v>2026</v>
      </c>
      <c r="K9" s="83">
        <v>2027</v>
      </c>
      <c r="L9" s="83">
        <v>2028</v>
      </c>
      <c r="M9" s="83">
        <v>2029</v>
      </c>
      <c r="N9" s="83">
        <v>2030</v>
      </c>
      <c r="P9" s="649"/>
      <c r="Q9" s="1983">
        <v>2026</v>
      </c>
      <c r="R9" s="1983">
        <v>2027</v>
      </c>
      <c r="S9" s="1983">
        <v>2028</v>
      </c>
      <c r="T9" s="1983">
        <v>2029</v>
      </c>
      <c r="U9" s="1983">
        <v>2030</v>
      </c>
    </row>
    <row r="10" spans="2:21">
      <c r="C10" s="1955" t="s">
        <v>245</v>
      </c>
      <c r="D10" s="1956"/>
      <c r="E10" s="1957"/>
      <c r="F10" s="1956"/>
      <c r="G10" s="1958"/>
      <c r="J10" s="1955" t="s">
        <v>280</v>
      </c>
      <c r="K10" s="1956"/>
      <c r="L10" s="1957"/>
      <c r="M10" s="1956"/>
      <c r="N10" s="1958"/>
      <c r="P10" s="649"/>
      <c r="Q10" s="1998" t="s">
        <v>280</v>
      </c>
      <c r="R10" s="1999"/>
      <c r="S10" s="2000"/>
      <c r="T10" s="1999"/>
      <c r="U10" s="2001"/>
    </row>
    <row r="11" spans="2:21" ht="14.7" customHeight="1" thickBot="1">
      <c r="B11" s="5"/>
      <c r="C11" s="1965">
        <f>(+lgh_bs!L37)/1000000</f>
        <v>114.78186905034497</v>
      </c>
      <c r="D11" s="1965">
        <f>(+lgh_bs!M37)/1000000</f>
        <v>131.4154124757795</v>
      </c>
      <c r="E11" s="1965">
        <f>(+lgh_bs!N37)/1000000</f>
        <v>157.60821820494931</v>
      </c>
      <c r="F11" s="1965">
        <f>(+lgh_bs!O37)/1000000</f>
        <v>185.09986931759448</v>
      </c>
      <c r="G11" s="1965">
        <f>(+lgh_bs!P37)/1000000</f>
        <v>216.67220974029087</v>
      </c>
      <c r="I11" s="5"/>
      <c r="J11" s="1965">
        <f>(lgh_bs!L38-lgh_bs!L34+lgh_bs!L40+lgh_bs!L39)/1000000</f>
        <v>171.15634368359065</v>
      </c>
      <c r="K11" s="1965">
        <f>(lgh_bs!M38-lgh_bs!M34+lgh_bs!M40+lgh_bs!M39)/1000000</f>
        <v>196.88159865727712</v>
      </c>
      <c r="L11" s="1965">
        <f>(lgh_bs!N38-lgh_bs!N34+lgh_bs!N40+lgh_bs!N39)/1000000</f>
        <v>231.60416726732703</v>
      </c>
      <c r="M11" s="1965">
        <f>(lgh_bs!O38-lgh_bs!O34+lgh_bs!O40+lgh_bs!O39)/1000000</f>
        <v>265.29689384160696</v>
      </c>
      <c r="N11" s="1965">
        <f>(lgh_bs!P38-lgh_bs!P34+lgh_bs!P40+lgh_bs!P39)/1000000</f>
        <v>304.11871174491483</v>
      </c>
      <c r="P11" s="1982"/>
      <c r="Q11" s="2002">
        <v>171.1608755507485</v>
      </c>
      <c r="R11" s="2002">
        <v>196.88681030450871</v>
      </c>
      <c r="S11" s="2002">
        <v>231.88316066164339</v>
      </c>
      <c r="T11" s="2002">
        <v>265.3119762450707</v>
      </c>
      <c r="U11" s="2002">
        <v>304.13507370889812</v>
      </c>
    </row>
    <row r="12" spans="2:21">
      <c r="B12" s="23" t="s">
        <v>281</v>
      </c>
      <c r="C12" s="1563">
        <f>+C11/$E3</f>
        <v>1.0535935220114574</v>
      </c>
      <c r="D12" s="1564">
        <f>+D11/$E3</f>
        <v>1.2062743743632116</v>
      </c>
      <c r="E12" s="1563">
        <f>+E11/$E3</f>
        <v>1.4467005903490624</v>
      </c>
      <c r="F12" s="1564">
        <f>+F11/$E3</f>
        <v>1.6990490297090937</v>
      </c>
      <c r="G12" s="1563">
        <f>+G11/$E3</f>
        <v>1.988854498284476</v>
      </c>
      <c r="I12" s="23" t="s">
        <v>281</v>
      </c>
      <c r="J12" s="1563">
        <f>+J11/$L$3</f>
        <v>1.0924457638396192</v>
      </c>
      <c r="K12" s="1564">
        <f>+K11/$L$3</f>
        <v>1.2566432759788801</v>
      </c>
      <c r="L12" s="1563">
        <f>+L11/$L$3</f>
        <v>1.478268266156304</v>
      </c>
      <c r="M12" s="1564">
        <f>+M11/$L$3</f>
        <v>1.6933200464532883</v>
      </c>
      <c r="N12" s="1563">
        <f>+N11/$L$3</f>
        <v>1.9411094628445653</v>
      </c>
      <c r="P12" s="2003" t="s">
        <v>281</v>
      </c>
      <c r="Q12" s="2004">
        <v>1.092474689551471</v>
      </c>
      <c r="R12" s="2005">
        <v>1.25667654054751</v>
      </c>
      <c r="S12" s="2004">
        <v>1.4800490073500021</v>
      </c>
      <c r="T12" s="2005">
        <v>1.693416313453493</v>
      </c>
      <c r="U12" s="2004">
        <v>1.941213896941818</v>
      </c>
    </row>
    <row r="13" spans="2:21">
      <c r="B13" s="23" t="s">
        <v>282</v>
      </c>
      <c r="C13" s="736">
        <f>+C11/E3-1</f>
        <v>5.3593522011457395E-2</v>
      </c>
      <c r="D13" s="737">
        <f>+D11/C11-1</f>
        <v>0.14491438032028237</v>
      </c>
      <c r="E13" s="736">
        <f>+E11/D11-1</f>
        <v>0.19931304278329809</v>
      </c>
      <c r="F13" s="737">
        <f>+F11/E11-1</f>
        <v>0.17443031477518378</v>
      </c>
      <c r="G13" s="736">
        <f>+G11/F11-1</f>
        <v>0.17056922049212542</v>
      </c>
      <c r="I13" s="23" t="s">
        <v>282</v>
      </c>
      <c r="J13" s="736">
        <f>+J11/L3-1</f>
        <v>9.2445763839619222E-2</v>
      </c>
      <c r="K13" s="737">
        <f>+K11/J11-1</f>
        <v>0.15030266725750829</v>
      </c>
      <c r="L13" s="736">
        <f>+L11/K11-1</f>
        <v>0.17636269131729998</v>
      </c>
      <c r="M13" s="737">
        <f>+M11/L11-1</f>
        <v>0.14547547642089875</v>
      </c>
      <c r="N13" s="736">
        <f>+N11/M11-1</f>
        <v>0.14633348073229269</v>
      </c>
      <c r="P13" s="2003" t="s">
        <v>282</v>
      </c>
      <c r="Q13" s="2006">
        <v>9.2474689551470535E-2</v>
      </c>
      <c r="R13" s="2007">
        <v>0.1503026592437158</v>
      </c>
      <c r="S13" s="2006">
        <v>0.17774857697683569</v>
      </c>
      <c r="T13" s="2007">
        <v>0.14416232506079041</v>
      </c>
      <c r="U13" s="2006">
        <v>0.1463299848475976</v>
      </c>
    </row>
    <row r="14" spans="2:21">
      <c r="B14" s="23" t="s">
        <v>283</v>
      </c>
      <c r="C14" s="1963">
        <f>(C11/$E3)^(1/((lgh_bs!L$2-lgh_bs!$I$2)/365))-1</f>
        <v>7.1749713967353967E-2</v>
      </c>
      <c r="D14" s="1964">
        <f>(D11/$E3)^(1/((lgh_bs!M$2-lgh_bs!$I$2)/365))-1</f>
        <v>0.11288356803485589</v>
      </c>
      <c r="E14" s="1963">
        <f>($E$11/$E$3)^(1/((lgh_bs!$N$2-lgh_bs!$I$2)/365))-1</f>
        <v>0.14337601062368832</v>
      </c>
      <c r="F14" s="1964">
        <f>(F11/$E3)^(1/((lgh_bs!O$2-lgh_bs!$I$2)/365))-1</f>
        <v>0.15156245395605694</v>
      </c>
      <c r="G14" s="1963">
        <f>($G$11/$E$3)^(1/((lgh_bs!$P$2-lgh_bs!$I$2)/365))-1</f>
        <v>0.15553290052675517</v>
      </c>
      <c r="I14" s="23" t="s">
        <v>283</v>
      </c>
      <c r="J14" s="1963">
        <f>+(J11/$L$3)^(1/((lgh_bs!L$2-lgh_bs!$I$2)/365))-1</f>
        <v>0.12451983455878901</v>
      </c>
      <c r="K14" s="1964">
        <f>+(K11/$L$3)^(1/((lgh_bs!M$2-lgh_bs!$I$2)/365))-1</f>
        <v>0.13915245503202933</v>
      </c>
      <c r="L14" s="1963">
        <f>+(L11/$L$3)^(1/((lgh_bs!N$2-lgh_bs!$I$2)/365))-1</f>
        <v>0.15236589175346738</v>
      </c>
      <c r="M14" s="1964">
        <f>+(M11/$L$3)^(1/((lgh_bs!O$2-lgh_bs!$I$2)/365))-1</f>
        <v>0.15052742493753435</v>
      </c>
      <c r="N14" s="1963">
        <f>+(N11/$L$3)^(1/((lgh_bs!P$2-lgh_bs!$I$2)/365))-1</f>
        <v>0.1496443616499803</v>
      </c>
      <c r="P14" s="2003" t="s">
        <v>283</v>
      </c>
      <c r="Q14" s="2006">
        <v>0.12455935423183841</v>
      </c>
      <c r="R14" s="2007">
        <v>0.13916965240678419</v>
      </c>
      <c r="S14" s="2006">
        <v>0.1528693532195724</v>
      </c>
      <c r="T14" s="2007">
        <v>0.15054483826294041</v>
      </c>
      <c r="U14" s="2006">
        <v>0.1496573660320695</v>
      </c>
    </row>
    <row r="15" spans="2:21">
      <c r="B15" s="5"/>
      <c r="C15" s="6"/>
      <c r="D15" s="6"/>
      <c r="E15" s="6"/>
      <c r="F15" s="6"/>
      <c r="G15" s="6"/>
      <c r="I15" s="6"/>
      <c r="J15" s="6"/>
      <c r="K15" s="6"/>
      <c r="L15" s="6"/>
      <c r="M15" s="6"/>
      <c r="N15" s="6"/>
      <c r="P15" s="2008"/>
      <c r="Q15" s="2008"/>
      <c r="R15" s="2008"/>
      <c r="S15" s="2008"/>
      <c r="T15" s="2008"/>
      <c r="U15" s="2008"/>
    </row>
    <row r="16" spans="2:21">
      <c r="B16" s="5"/>
      <c r="C16" s="1955" t="s">
        <v>284</v>
      </c>
      <c r="D16" s="1956"/>
      <c r="E16" s="1957"/>
      <c r="F16" s="1956"/>
      <c r="G16" s="1958"/>
      <c r="I16" s="5"/>
      <c r="J16" s="1955" t="s">
        <v>285</v>
      </c>
      <c r="K16" s="1959"/>
      <c r="L16" s="1959"/>
      <c r="M16" s="1959"/>
      <c r="N16" s="1960"/>
      <c r="P16" s="1982"/>
      <c r="Q16" s="1998" t="s">
        <v>285</v>
      </c>
      <c r="R16" s="2009"/>
      <c r="S16" s="2009"/>
      <c r="T16" s="2009"/>
      <c r="U16" s="2010"/>
    </row>
    <row r="17" spans="1:21" ht="14.7" customHeight="1" thickBot="1">
      <c r="B17" s="5"/>
      <c r="C17" s="1965">
        <f>C11+(SUM(lgh_bs!L39:L41)/1000000)*(1-lgh_inputs!$D$2)+(lgh_bs!L45/1000000)</f>
        <v>133.44814085255285</v>
      </c>
      <c r="D17" s="1965">
        <f>D11+(SUM(lgh_bs!M39:M41)/1000000)*(1-lgh_inputs!$D$2)+(lgh_bs!M45/1000000)</f>
        <v>157.76789286646377</v>
      </c>
      <c r="E17" s="1965">
        <f>E11+(SUM(lgh_bs!N39:N41)/1000000)*(1-lgh_inputs!$D$2)+(lgh_bs!N45/1000000)</f>
        <v>195.84273810969145</v>
      </c>
      <c r="F17" s="1965">
        <f>F11+(SUM(lgh_bs!O39:O41)/1000000)*(1-lgh_inputs!$D$2)+(lgh_bs!O45/1000000)</f>
        <v>229.54752296959967</v>
      </c>
      <c r="G17" s="1965">
        <f>G11+(SUM(lgh_bs!P39:P41)/1000000)*(1-lgh_inputs!$D$2)+(lgh_bs!P45/1000000)</f>
        <v>274.68299053924414</v>
      </c>
      <c r="I17" s="5"/>
      <c r="J17" s="1965">
        <f>J11+(lgh_bs!L41/1000000)*(1-lgh_inputs!$D$2)</f>
        <v>186.64604235559065</v>
      </c>
      <c r="K17" s="1965">
        <f>K11+(lgh_bs!M41/1000000)*(1-lgh_inputs!$D$2)</f>
        <v>218.81888440149712</v>
      </c>
      <c r="L17" s="1965">
        <f>L11+(lgh_bs!N41/1000000)*(1-lgh_inputs!$D$2)</f>
        <v>265.26195457929543</v>
      </c>
      <c r="M17" s="1965">
        <f>M11+(lgh_bs!O41/1000000)*(1-lgh_inputs!$D$2)</f>
        <v>307.39316925821885</v>
      </c>
      <c r="N17" s="1965">
        <f>N11+(lgh_bs!P41/1000000)*(1-lgh_inputs!$D$2)</f>
        <v>362.12949254386808</v>
      </c>
      <c r="P17" s="1982"/>
      <c r="Q17" s="2002">
        <v>186.6505742227485</v>
      </c>
      <c r="R17" s="2002">
        <v>218.82409604872871</v>
      </c>
      <c r="S17" s="2002">
        <v>265.54094797361182</v>
      </c>
      <c r="T17" s="2002">
        <v>307.40825166168258</v>
      </c>
      <c r="U17" s="2002">
        <v>362.14585450785131</v>
      </c>
    </row>
    <row r="18" spans="1:21">
      <c r="B18" s="23" t="s">
        <v>281</v>
      </c>
      <c r="C18" s="1563">
        <f>+C17/$E$3</f>
        <v>1.2249329784397656</v>
      </c>
      <c r="D18" s="1564">
        <f>+D17/$E$3</f>
        <v>1.448166259016012</v>
      </c>
      <c r="E18" s="1563">
        <f>+E17/$E$3</f>
        <v>1.7976588281103369</v>
      </c>
      <c r="F18" s="1564">
        <f>+F17/$E$3</f>
        <v>2.1070382038165598</v>
      </c>
      <c r="G18" s="1563">
        <f>+G17/$E$3</f>
        <v>2.5213408862678937</v>
      </c>
      <c r="I18" s="23" t="s">
        <v>281</v>
      </c>
      <c r="J18" s="1562">
        <f>+J17/$L$3</f>
        <v>1.1913124218506184</v>
      </c>
      <c r="K18" s="1562">
        <f>+K17/$L$3</f>
        <v>1.3966631803869576</v>
      </c>
      <c r="L18" s="1561">
        <f>+L17/$L$3</f>
        <v>1.6930970383644122</v>
      </c>
      <c r="M18" s="1562">
        <f>+M17/$L$3</f>
        <v>1.9620094608364291</v>
      </c>
      <c r="N18" s="1561">
        <f>+N17/$L$3</f>
        <v>2.3113769643401647</v>
      </c>
      <c r="P18" s="2003" t="s">
        <v>281</v>
      </c>
      <c r="Q18" s="2011">
        <v>1.1913413475624699</v>
      </c>
      <c r="R18" s="2011">
        <v>1.396696444955587</v>
      </c>
      <c r="S18" s="2012">
        <v>1.69487777955811</v>
      </c>
      <c r="T18" s="2011">
        <v>1.9621057278366341</v>
      </c>
      <c r="U18" s="2012">
        <v>2.311481398437417</v>
      </c>
    </row>
    <row r="19" spans="1:21">
      <c r="B19" s="23" t="s">
        <v>282</v>
      </c>
      <c r="C19" s="736">
        <f>+C17/E3-1</f>
        <v>0.22493297843976556</v>
      </c>
      <c r="D19" s="737">
        <f>+D17/C17-1</f>
        <v>0.18224122013645627</v>
      </c>
      <c r="E19" s="736">
        <f>+E17/D17-1</f>
        <v>0.24133456149696175</v>
      </c>
      <c r="F19" s="737">
        <f>+F17/E17-1</f>
        <v>0.1721012746514512</v>
      </c>
      <c r="G19" s="736">
        <f>+G17/F17-1</f>
        <v>0.1966279879030628</v>
      </c>
      <c r="I19" s="23" t="s">
        <v>282</v>
      </c>
      <c r="J19" s="736">
        <f>+J17/L3-1</f>
        <v>0.19131242185061836</v>
      </c>
      <c r="K19" s="737">
        <f>+K17/J17-1</f>
        <v>0.17237355606293558</v>
      </c>
      <c r="L19" s="736">
        <f>+L17/K17-1</f>
        <v>0.21224434218658583</v>
      </c>
      <c r="M19" s="737">
        <f>+M17/L17-1</f>
        <v>0.15882871234113982</v>
      </c>
      <c r="N19" s="736">
        <f>+N17/M17-1</f>
        <v>0.17806616658963303</v>
      </c>
      <c r="P19" s="2003" t="s">
        <v>282</v>
      </c>
      <c r="Q19" s="2006">
        <v>0.1913413475624697</v>
      </c>
      <c r="R19" s="2007">
        <v>0.17237301283404771</v>
      </c>
      <c r="S19" s="2006">
        <v>0.2134904371522226</v>
      </c>
      <c r="T19" s="2007">
        <v>0.15766797553284101</v>
      </c>
      <c r="U19" s="2006">
        <v>0.17806159252488141</v>
      </c>
    </row>
    <row r="20" spans="1:21">
      <c r="B20" s="23" t="s">
        <v>283</v>
      </c>
      <c r="C20" s="1963">
        <f>(C17/$E$3)^(1/((lgh_bs!L$2-lgh_bs!$I$2)/365))-1</f>
        <v>0.30902845995894435</v>
      </c>
      <c r="D20" s="1964">
        <f>(D17/$E$3)^(1/((lgh_bs!M$2-lgh_bs!$I$2)/365))-1</f>
        <v>0.23514162451427922</v>
      </c>
      <c r="E20" s="1963">
        <f>(E17/$E$3)^(1/((lgh_bs!N$2-lgh_bs!$I$2)/365))-1</f>
        <v>0.23712525330813317</v>
      </c>
      <c r="F20" s="1964">
        <f>(F17/$E$3)^(1/((lgh_bs!O$2-lgh_bs!$I$2)/365))-1</f>
        <v>0.21946963772325212</v>
      </c>
      <c r="G20" s="1963">
        <f>(G17/$E$3)^(1/((lgh_bs!P$2-lgh_bs!$I$2)/365))-1</f>
        <v>0.21463117874393056</v>
      </c>
      <c r="I20" s="23" t="s">
        <v>283</v>
      </c>
      <c r="J20" s="1963">
        <f>(J17/$L3)^(1/((lgh_bs!L$2-lgh_bs!$I$2)/365))-1</f>
        <v>0.26155677033295954</v>
      </c>
      <c r="K20" s="1963">
        <f>(K17/$L3)^(1/((lgh_bs!M$2-lgh_bs!$I$2)/365))-1</f>
        <v>0.20989477480660557</v>
      </c>
      <c r="L20" s="1963">
        <f>(L17/$L3)^(1/((lgh_bs!N$2-lgh_bs!$I$2)/365))-1</f>
        <v>0.21051743508287446</v>
      </c>
      <c r="M20" s="1963">
        <f>(M17/$L3)^(1/((lgh_bs!O$2-lgh_bs!$I$2)/365))-1</f>
        <v>0.19653533730028361</v>
      </c>
      <c r="N20" s="1963">
        <f>(N17/$L3)^(1/((lgh_bs!P$2-lgh_bs!$I$2)/365))-1</f>
        <v>0.19262824153022584</v>
      </c>
      <c r="P20" s="2003" t="s">
        <v>283</v>
      </c>
      <c r="Q20" s="2006">
        <v>0.26159742656067181</v>
      </c>
      <c r="R20" s="2006">
        <v>0.20991120900332061</v>
      </c>
      <c r="S20" s="2006">
        <v>0.21097921965941821</v>
      </c>
      <c r="T20" s="2006">
        <v>0.1965509669578378</v>
      </c>
      <c r="U20" s="2006">
        <v>0.19263957106354199</v>
      </c>
    </row>
    <row r="21" spans="1:21">
      <c r="B21" s="23"/>
      <c r="C21" s="161"/>
      <c r="D21" s="161"/>
      <c r="E21" s="161"/>
      <c r="F21" s="161"/>
      <c r="G21" s="161"/>
      <c r="I21" s="23"/>
      <c r="J21" s="161"/>
      <c r="K21" s="161"/>
      <c r="L21" s="161"/>
      <c r="M21" s="161"/>
      <c r="N21" s="161"/>
      <c r="P21" s="2003"/>
      <c r="Q21" s="2013"/>
      <c r="R21" s="2013"/>
      <c r="S21" s="2013"/>
      <c r="T21" s="2013"/>
      <c r="U21" s="2013"/>
    </row>
    <row r="22" spans="1:21">
      <c r="B22" s="23"/>
      <c r="C22" s="1955" t="s">
        <v>286</v>
      </c>
      <c r="D22" s="1956"/>
      <c r="E22" s="1957"/>
      <c r="F22" s="1956"/>
      <c r="G22" s="1958"/>
      <c r="I22" s="23"/>
      <c r="J22" s="1955" t="s">
        <v>287</v>
      </c>
      <c r="K22" s="1961"/>
      <c r="L22" s="1961"/>
      <c r="M22" s="1961"/>
      <c r="N22" s="1962"/>
      <c r="P22" s="2003"/>
      <c r="Q22" s="1998" t="s">
        <v>287</v>
      </c>
      <c r="R22" s="2014"/>
      <c r="S22" s="2014"/>
      <c r="T22" s="2014"/>
      <c r="U22" s="2015"/>
    </row>
    <row r="23" spans="1:21" ht="14.7" customHeight="1" thickBot="1">
      <c r="B23" s="23"/>
      <c r="C23" s="1965">
        <f>(+lgh_bs!L50)/1000000</f>
        <v>133.44814085255288</v>
      </c>
      <c r="D23" s="1965">
        <f>(+lgh_bs!M50)/1000000</f>
        <v>157.76789286646377</v>
      </c>
      <c r="E23" s="1965">
        <f>(+lgh_bs!N50)/1000000</f>
        <v>213.34273810969148</v>
      </c>
      <c r="F23" s="1965">
        <f>(+lgh_bs!O50)/1000000</f>
        <v>264.54752296959958</v>
      </c>
      <c r="G23" s="1965">
        <f>(+lgh_bs!P50)/1000000</f>
        <v>344.68299053924409</v>
      </c>
      <c r="I23" s="23"/>
      <c r="J23" s="1965">
        <f>+lgh_bs!L53/1000000</f>
        <v>189.01643681442397</v>
      </c>
      <c r="K23" s="1965">
        <f>+lgh_bs!M53/1000000</f>
        <v>220.00438434375945</v>
      </c>
      <c r="L23" s="1965">
        <f>+lgh_bs!N53/1000000</f>
        <v>283.05455412103066</v>
      </c>
      <c r="M23" s="1965">
        <f>+lgh_bs!O53/1000000</f>
        <v>342.62475690229945</v>
      </c>
      <c r="N23" s="1965">
        <f>+lgh_bs!P53/1000000</f>
        <v>432.12949254386814</v>
      </c>
      <c r="P23" s="2003"/>
      <c r="Q23" s="2002">
        <v>189.02096868158191</v>
      </c>
      <c r="R23" s="2002">
        <v>220.00959599099099</v>
      </c>
      <c r="S23" s="2002">
        <v>283.33354751534699</v>
      </c>
      <c r="T23" s="2002">
        <v>342.63983930576319</v>
      </c>
      <c r="U23" s="2002">
        <v>432.14585450785142</v>
      </c>
    </row>
    <row r="24" spans="1:21">
      <c r="B24" s="23" t="s">
        <v>281</v>
      </c>
      <c r="C24" s="1563">
        <f>+C23/$E3</f>
        <v>1.2249329784397658</v>
      </c>
      <c r="D24" s="1564">
        <f>+D23/$E3</f>
        <v>1.448166259016012</v>
      </c>
      <c r="E24" s="1563">
        <f>+E23/$E3</f>
        <v>1.9582929664785962</v>
      </c>
      <c r="F24" s="1564">
        <f>+F23/$E3</f>
        <v>2.428306480553077</v>
      </c>
      <c r="G24" s="1563">
        <f>+G23/$E3</f>
        <v>3.1638774397409293</v>
      </c>
      <c r="I24" s="23" t="s">
        <v>281</v>
      </c>
      <c r="J24" s="1562">
        <f>+J23/$L3</f>
        <v>1.2064420239994496</v>
      </c>
      <c r="K24" s="1562">
        <f>+K23/$L3</f>
        <v>1.404229913597564</v>
      </c>
      <c r="L24" s="1561">
        <f>+L23/$L3</f>
        <v>1.8066625047604259</v>
      </c>
      <c r="M24" s="1562">
        <f>+M23/$L3</f>
        <v>2.1868833851490002</v>
      </c>
      <c r="N24" s="1561">
        <f>+N23/$L3</f>
        <v>2.7581684873592729</v>
      </c>
      <c r="P24" s="2003" t="s">
        <v>281</v>
      </c>
      <c r="Q24" s="2011">
        <v>1.2064709497113011</v>
      </c>
      <c r="R24" s="2011">
        <v>1.4042631781661929</v>
      </c>
      <c r="S24" s="2012">
        <v>1.808443245954124</v>
      </c>
      <c r="T24" s="2011">
        <v>2.1869796521492049</v>
      </c>
      <c r="U24" s="2012">
        <v>2.7582729214565251</v>
      </c>
    </row>
    <row r="25" spans="1:21">
      <c r="B25" s="23" t="s">
        <v>282</v>
      </c>
      <c r="C25" s="736">
        <f>+C23/E3-1</f>
        <v>0.22493297843976578</v>
      </c>
      <c r="D25" s="737">
        <f>+D23/C23-1</f>
        <v>0.18224122013645605</v>
      </c>
      <c r="E25" s="736">
        <f>+E23/D23-1</f>
        <v>0.35225700383960112</v>
      </c>
      <c r="F25" s="737">
        <f>+F23/E23-1</f>
        <v>0.24001184813509258</v>
      </c>
      <c r="G25" s="736">
        <f>+G23/F23-1</f>
        <v>0.30291520657652593</v>
      </c>
      <c r="I25" s="23" t="s">
        <v>282</v>
      </c>
      <c r="J25" s="736">
        <f>+J23/L3-1</f>
        <v>0.20644202399944955</v>
      </c>
      <c r="K25" s="737">
        <f>+K23/J23-1</f>
        <v>0.16394313664773708</v>
      </c>
      <c r="L25" s="736">
        <f>+L23/K23-1</f>
        <v>0.28658596948120163</v>
      </c>
      <c r="M25" s="737">
        <f>+M23/L23-1</f>
        <v>0.21045484665050584</v>
      </c>
      <c r="N25" s="736">
        <f>+N23/M23-1</f>
        <v>0.26123254037679255</v>
      </c>
      <c r="P25" s="2003" t="s">
        <v>282</v>
      </c>
      <c r="Q25" s="2006">
        <v>0.20647094971130131</v>
      </c>
      <c r="R25" s="2007">
        <v>0.1639428023544387</v>
      </c>
      <c r="S25" s="2006">
        <v>0.28782358896267829</v>
      </c>
      <c r="T25" s="2007">
        <v>0.2093161657364413</v>
      </c>
      <c r="U25" s="2006">
        <v>0.26122477579793402</v>
      </c>
    </row>
    <row r="26" spans="1:21">
      <c r="B26" s="23" t="s">
        <v>283</v>
      </c>
      <c r="C26" s="1963">
        <f>(C23/$E3)^(1/((lgh_bs!L$2-lgh_bs!$I$2)/365))-1</f>
        <v>0.30902845995894479</v>
      </c>
      <c r="D26" s="1964">
        <f>(D23/$E3)^(1/((lgh_bs!M$2-lgh_bs!$I$2)/365))-1</f>
        <v>0.23514162451427922</v>
      </c>
      <c r="E26" s="1963">
        <f>(E23/$E3)^(1/((lgh_bs!N$2-lgh_bs!$I$2)/365))-1</f>
        <v>0.27614477807752524</v>
      </c>
      <c r="F26" s="1964">
        <f>(F23/$E3)^(1/((lgh_bs!O$2-lgh_bs!$I$2)/365))-1</f>
        <v>0.26642354649648525</v>
      </c>
      <c r="G26" s="1963">
        <f>(G23/$E3)^(1/((lgh_bs!P$2-lgh_bs!$I$2)/365))-1</f>
        <v>0.27401021636189293</v>
      </c>
      <c r="I26" s="23" t="s">
        <v>283</v>
      </c>
      <c r="J26" s="1963">
        <f>(J23/$L3)^(1/((lgh_bs!L$2-lgh_bs!$I$2)/365))-1</f>
        <v>0.28286600528813666</v>
      </c>
      <c r="K26" s="1963">
        <f>(K23/$L3)^(1/((lgh_bs!M$2-lgh_bs!$I$2)/365))-1</f>
        <v>0.21362876122656571</v>
      </c>
      <c r="L26" s="1963">
        <f>(L23/$L3)^(1/((lgh_bs!N$2-lgh_bs!$I$2)/365))-1</f>
        <v>0.2393698045328938</v>
      </c>
      <c r="M26" s="1963">
        <f>(M23/$L3)^(1/((lgh_bs!O$2-lgh_bs!$I$2)/365))-1</f>
        <v>0.23160500888489843</v>
      </c>
      <c r="N26" s="1963">
        <f>(N23/$L3)^(1/((lgh_bs!P$2-lgh_bs!$I$2)/365))-1</f>
        <v>0.23777596243492138</v>
      </c>
      <c r="P26" s="2003" t="s">
        <v>283</v>
      </c>
      <c r="Q26" s="2006">
        <v>0.28290682977836351</v>
      </c>
      <c r="R26" s="2006">
        <v>0.21364515731363179</v>
      </c>
      <c r="S26" s="2006">
        <v>0.23981288565257361</v>
      </c>
      <c r="T26" s="2006">
        <v>0.23161944238488391</v>
      </c>
      <c r="U26" s="2006">
        <v>0.2377858161549726</v>
      </c>
    </row>
    <row r="27" spans="1:21" ht="16.5" customHeight="1">
      <c r="B27" s="23"/>
      <c r="C27" s="747"/>
      <c r="D27" s="747"/>
      <c r="E27" s="747"/>
      <c r="F27" s="747"/>
      <c r="G27" s="747"/>
      <c r="J27" t="s">
        <v>288</v>
      </c>
      <c r="K27" s="161"/>
      <c r="L27" s="161"/>
      <c r="M27" s="161"/>
      <c r="N27" s="161"/>
      <c r="P27" s="649"/>
      <c r="Q27" s="649" t="s">
        <v>288</v>
      </c>
      <c r="R27" s="2013"/>
      <c r="S27" s="2013"/>
      <c r="T27" s="2013"/>
      <c r="U27" s="2013"/>
    </row>
    <row r="28" spans="1:21">
      <c r="B28" s="23"/>
      <c r="C28" s="747"/>
      <c r="D28" s="747"/>
      <c r="E28" s="747"/>
      <c r="F28" s="747"/>
      <c r="G28" s="747"/>
    </row>
    <row r="30" spans="1:21">
      <c r="A30" s="1909"/>
    </row>
    <row r="31" spans="1:21">
      <c r="B31" s="161"/>
      <c r="C31" s="307"/>
      <c r="D31" s="307"/>
      <c r="E31" s="307"/>
      <c r="F31" s="307"/>
      <c r="G31" s="307"/>
    </row>
    <row r="32" spans="1:21">
      <c r="A32" s="1911"/>
      <c r="B32" s="307"/>
      <c r="C32" s="1567" t="s">
        <v>289</v>
      </c>
      <c r="D32" s="1567"/>
      <c r="E32" s="1567"/>
      <c r="F32" s="1567"/>
      <c r="G32" s="1567"/>
    </row>
    <row r="33" spans="1:7">
      <c r="A33" s="1911"/>
      <c r="C33" s="5"/>
      <c r="E33" s="5"/>
      <c r="G33" s="5"/>
    </row>
    <row r="34" spans="1:7">
      <c r="A34" s="1911"/>
      <c r="C34" s="743" t="s">
        <v>225</v>
      </c>
      <c r="D34" s="73"/>
      <c r="E34" s="73"/>
      <c r="F34" s="73"/>
      <c r="G34" s="73"/>
    </row>
    <row r="35" spans="1:7">
      <c r="A35" s="1911"/>
      <c r="B35" s="23" t="s">
        <v>86</v>
      </c>
      <c r="C35" s="736">
        <f>+bermuda_cs2!J69</f>
        <v>0.26178081054397029</v>
      </c>
      <c r="D35" s="737">
        <f>+bermuda_cs2!K69</f>
        <v>0.15093625634552454</v>
      </c>
      <c r="E35" s="736">
        <f>+bermuda_cs2!L69</f>
        <v>0.19074329933068168</v>
      </c>
      <c r="F35" s="737">
        <f>+bermuda_cs2!M69</f>
        <v>0.18664163626171892</v>
      </c>
      <c r="G35" s="736">
        <f>+bermuda_cs2!N69</f>
        <v>0.21412457276492458</v>
      </c>
    </row>
    <row r="36" spans="1:7">
      <c r="A36" s="1915"/>
      <c r="B36" s="23" t="s">
        <v>87</v>
      </c>
      <c r="C36" s="740">
        <f>+bermuda_cs2!J70</f>
        <v>0.26178081631660455</v>
      </c>
      <c r="D36" s="741">
        <f>+bermuda_cs2!K70</f>
        <v>0.19514632821083069</v>
      </c>
      <c r="E36" s="740">
        <f>+bermuda_cs2!L70</f>
        <v>0.19351689219474788</v>
      </c>
      <c r="F36" s="741">
        <f>+bermuda_cs2!M70</f>
        <v>0.19172441363334658</v>
      </c>
      <c r="G36" s="740">
        <f>+bermuda_cs2!N70</f>
        <v>0.19554497599601744</v>
      </c>
    </row>
    <row r="37" spans="1:7">
      <c r="B37" s="23"/>
      <c r="C37" s="747"/>
      <c r="D37" s="161"/>
      <c r="E37" s="747"/>
      <c r="F37" s="161"/>
      <c r="G37" s="747"/>
    </row>
    <row r="38" spans="1:7">
      <c r="B38" s="23"/>
      <c r="C38" s="743" t="s">
        <v>230</v>
      </c>
      <c r="D38" s="73"/>
      <c r="E38" s="73"/>
      <c r="F38" s="73"/>
      <c r="G38" s="73"/>
    </row>
    <row r="39" spans="1:7">
      <c r="B39" s="23" t="s">
        <v>86</v>
      </c>
      <c r="C39" s="736">
        <f>+elbow_cs2!J62</f>
        <v>0.38200869612892752</v>
      </c>
      <c r="D39" s="737">
        <f>+elbow_cs2!K62</f>
        <v>0.56903642062838222</v>
      </c>
      <c r="E39" s="736">
        <f>+elbow_cs2!L62</f>
        <v>0.35803649295381201</v>
      </c>
      <c r="F39" s="737">
        <f>+elbow_cs2!M62</f>
        <v>7.4855462741182377E-2</v>
      </c>
      <c r="G39" s="736">
        <f>+elbow_cs2!N62</f>
        <v>7.3161029728703086E-2</v>
      </c>
    </row>
    <row r="40" spans="1:7">
      <c r="B40" s="23" t="s">
        <v>87</v>
      </c>
      <c r="C40" s="740">
        <f>+elbow_cs2!J63</f>
        <v>0.52550312876701344</v>
      </c>
      <c r="D40" s="741">
        <f>+elbow_cs2!K63</f>
        <v>0.55263251662254342</v>
      </c>
      <c r="E40" s="740">
        <f>+elbow_cs2!L63</f>
        <v>0.47439584136009216</v>
      </c>
      <c r="F40" s="741">
        <f>+elbow_cs2!M63</f>
        <v>0.35011807084083557</v>
      </c>
      <c r="G40" s="740">
        <f>+elbow_cs2!N63</f>
        <v>0.27445957064628601</v>
      </c>
    </row>
    <row r="41" spans="1:7">
      <c r="A41" s="1911"/>
      <c r="B41" s="23"/>
      <c r="C41" s="747"/>
      <c r="D41" s="161"/>
      <c r="E41" s="747"/>
      <c r="F41" s="161"/>
      <c r="G41" s="747"/>
    </row>
    <row r="42" spans="1:7">
      <c r="A42" s="1915"/>
      <c r="B42" s="23"/>
      <c r="C42" s="743" t="s">
        <v>227</v>
      </c>
      <c r="D42" s="73"/>
      <c r="E42" s="73"/>
      <c r="F42" s="73"/>
      <c r="G42" s="73"/>
    </row>
    <row r="43" spans="1:7">
      <c r="A43" s="1917"/>
      <c r="B43" s="23" t="s">
        <v>86</v>
      </c>
      <c r="C43" s="736">
        <f>+austin_cs2!M86</f>
        <v>-0.49301947338132956</v>
      </c>
      <c r="D43" s="737">
        <f>+austin_cs2!N86</f>
        <v>0.3765248663796128</v>
      </c>
      <c r="E43" s="736">
        <f>+austin_cs2!O86</f>
        <v>0</v>
      </c>
      <c r="F43" s="737">
        <f>+austin_cs2!P86</f>
        <v>1.9623629485988157</v>
      </c>
      <c r="G43" s="736">
        <f>+austin_cs2!Q86</f>
        <v>0.21139760457081436</v>
      </c>
    </row>
    <row r="44" spans="1:7">
      <c r="A44" s="1918"/>
      <c r="B44" s="23" t="s">
        <v>87</v>
      </c>
      <c r="C44" s="740">
        <f>+austin_cs2!M87</f>
        <v>-0.31103393211960806</v>
      </c>
      <c r="D44" s="741">
        <f>+austin_cs2!N87</f>
        <v>5.2652302384376543E-2</v>
      </c>
      <c r="E44" s="740">
        <f>+austin_cs2!O87</f>
        <v>0</v>
      </c>
      <c r="F44" s="741">
        <f>+austin_cs2!P87</f>
        <v>0.15998147130012522</v>
      </c>
      <c r="G44" s="740">
        <f>+austin_cs2!Q87</f>
        <v>0.17459253668785094</v>
      </c>
    </row>
    <row r="45" spans="1:7">
      <c r="B45" s="23"/>
      <c r="C45" s="747"/>
      <c r="D45" s="161"/>
      <c r="E45" s="747"/>
      <c r="F45" s="161"/>
      <c r="G45" s="747"/>
    </row>
    <row r="46" spans="1:7">
      <c r="B46" s="18"/>
      <c r="C46" s="743" t="s">
        <v>229</v>
      </c>
      <c r="D46" s="73"/>
      <c r="E46" s="73"/>
      <c r="F46" s="73"/>
      <c r="G46" s="73"/>
    </row>
    <row r="47" spans="1:7">
      <c r="A47" s="1911"/>
      <c r="B47" s="23" t="s">
        <v>86</v>
      </c>
      <c r="C47" s="736">
        <f>+turks_cs2!J71</f>
        <v>0.5029891114971623</v>
      </c>
      <c r="D47" s="737">
        <f>+turks_cs2!K71</f>
        <v>0.10713242558344849</v>
      </c>
      <c r="E47" s="736">
        <f>+turks_cs2!L71</f>
        <v>4.0182761599024897E-2</v>
      </c>
      <c r="F47" s="737">
        <f>+turks_cs2!M71</f>
        <v>6.7952997234839607E-2</v>
      </c>
      <c r="G47" s="736">
        <f>+turks_cs2!N71</f>
        <v>9.4391654108154643E-2</v>
      </c>
    </row>
    <row r="48" spans="1:7">
      <c r="A48" s="1911"/>
      <c r="B48" s="23" t="s">
        <v>87</v>
      </c>
      <c r="C48" s="740">
        <f>+turks_cs2!J72</f>
        <v>0.49766618609428404</v>
      </c>
      <c r="D48" s="741">
        <f>+turks_cs2!K72</f>
        <v>0.25941651463508619</v>
      </c>
      <c r="E48" s="740">
        <f>+turks_cs2!L72</f>
        <v>0.20140915513038635</v>
      </c>
      <c r="F48" s="741">
        <f>+turks_cs2!M72</f>
        <v>0.17460070252418522</v>
      </c>
      <c r="G48" s="740">
        <f>+turks_cs2!N72</f>
        <v>0.16179564595222473</v>
      </c>
    </row>
    <row r="49" spans="1:11">
      <c r="A49" s="1911"/>
      <c r="B49" s="23"/>
      <c r="C49" s="747"/>
      <c r="D49" s="161"/>
      <c r="E49" s="747"/>
      <c r="F49" s="161"/>
      <c r="G49" s="747"/>
    </row>
    <row r="50" spans="1:11">
      <c r="A50" s="1911"/>
      <c r="C50" s="743" t="s">
        <v>137</v>
      </c>
      <c r="D50" s="73"/>
      <c r="E50" s="73"/>
      <c r="F50" s="73"/>
      <c r="G50" s="73"/>
    </row>
    <row r="51" spans="1:11">
      <c r="A51" s="1919"/>
      <c r="B51" s="23" t="s">
        <v>86</v>
      </c>
      <c r="C51" s="1456" t="e">
        <f>+frith_cs2!#REF!</f>
        <v>#REF!</v>
      </c>
      <c r="D51" s="734" t="e">
        <f>+frith_cs2!#REF!</f>
        <v>#REF!</v>
      </c>
      <c r="E51" s="1456" t="e">
        <f>+frith_cs2!#REF!</f>
        <v>#REF!</v>
      </c>
      <c r="F51" s="734" t="e">
        <f>+frith_cs2!#REF!</f>
        <v>#REF!</v>
      </c>
      <c r="G51" s="1456" t="e">
        <f>+frith_cs2!#REF!</f>
        <v>#REF!</v>
      </c>
    </row>
    <row r="52" spans="1:11">
      <c r="A52" s="1919"/>
      <c r="B52" s="23" t="s">
        <v>87</v>
      </c>
      <c r="C52" s="1457" t="e">
        <f>+frith_cs2!#REF!</f>
        <v>#REF!</v>
      </c>
      <c r="D52" s="1058" t="e">
        <f>+frith_cs2!#REF!</f>
        <v>#REF!</v>
      </c>
      <c r="E52" s="1457" t="e">
        <f>+frith_cs2!#REF!</f>
        <v>#REF!</v>
      </c>
      <c r="F52" s="1058" t="e">
        <f>+frith_cs2!#REF!</f>
        <v>#REF!</v>
      </c>
      <c r="G52" s="1457" t="e">
        <f>+frith_cs2!#REF!</f>
        <v>#REF!</v>
      </c>
    </row>
    <row r="53" spans="1:11">
      <c r="A53" s="1919"/>
      <c r="B53" s="23"/>
      <c r="C53" s="307"/>
      <c r="D53" s="15"/>
      <c r="E53" s="307"/>
      <c r="F53" s="15"/>
      <c r="G53" s="307"/>
    </row>
    <row r="54" spans="1:11">
      <c r="A54" s="1915"/>
      <c r="B54" s="23"/>
      <c r="C54" s="743" t="s">
        <v>232</v>
      </c>
      <c r="D54" s="743"/>
      <c r="E54" s="743"/>
      <c r="F54" s="743"/>
      <c r="G54" s="1569"/>
    </row>
    <row r="55" spans="1:11">
      <c r="A55" s="1917"/>
      <c r="B55" s="23" t="s">
        <v>290</v>
      </c>
      <c r="C55" s="1457" t="e">
        <f>+lgh_other_assets!J36</f>
        <v>#NUM!</v>
      </c>
      <c r="D55" s="1058">
        <f>+lgh_other_assets!K36</f>
        <v>2.9802322387695314E-9</v>
      </c>
      <c r="E55" s="1457">
        <f>+lgh_other_assets!L36</f>
        <v>2.9802322387695314E-9</v>
      </c>
      <c r="F55" s="1058">
        <f>+lgh_other_assets!M36</f>
        <v>2.9802322387695314E-9</v>
      </c>
      <c r="G55" s="1457">
        <f>+lgh_other_assets!N36</f>
        <v>2.9802322387695314E-9</v>
      </c>
    </row>
    <row r="56" spans="1:11">
      <c r="A56" s="1918"/>
      <c r="B56" s="18"/>
    </row>
    <row r="57" spans="1:11">
      <c r="B57" s="23"/>
      <c r="C57" s="1568" t="s">
        <v>233</v>
      </c>
      <c r="D57" s="1568"/>
      <c r="E57" s="1568"/>
      <c r="F57" s="1568"/>
      <c r="G57" s="1568"/>
    </row>
    <row r="58" spans="1:11">
      <c r="B58" s="23" t="s">
        <v>290</v>
      </c>
      <c r="C58" s="1457">
        <f>+lgh_other_assets!J37</f>
        <v>0</v>
      </c>
      <c r="D58" s="1058">
        <f>+lgh_other_assets!K37</f>
        <v>0</v>
      </c>
      <c r="E58" s="1457">
        <f>+lgh_other_assets!L37</f>
        <v>0.49833918213844297</v>
      </c>
      <c r="F58" s="1058">
        <f>+lgh_other_assets!M37</f>
        <v>0.41354323029518125</v>
      </c>
      <c r="G58" s="1457">
        <f>+lgh_other_assets!N37</f>
        <v>0.53202190995216359</v>
      </c>
    </row>
    <row r="61" spans="1:11">
      <c r="E61" s="743" t="s">
        <v>291</v>
      </c>
      <c r="F61" s="73"/>
      <c r="I61" s="307"/>
      <c r="K61" s="15"/>
    </row>
    <row r="62" spans="1:11">
      <c r="C62" s="744">
        <f>+E3</f>
        <v>108.94321828328094</v>
      </c>
      <c r="D62" s="83" t="s">
        <v>292</v>
      </c>
      <c r="E62" s="1923">
        <v>2028</v>
      </c>
      <c r="F62" s="1923">
        <v>2030</v>
      </c>
      <c r="G62" s="83" t="s">
        <v>293</v>
      </c>
    </row>
    <row r="63" spans="1:11">
      <c r="C63" s="520" t="s">
        <v>294</v>
      </c>
      <c r="D63" s="745">
        <v>0</v>
      </c>
      <c r="E63" s="746">
        <f>(lgh_bs!$N$37/(lgh_bs!$I$50*(1-$D63)))^(1/((lgh_bs!$N$2-lgh_bs!$I$2)/365))-1</f>
        <v>0.14337601062368832</v>
      </c>
      <c r="F63" s="746">
        <f>(lgh_bs!$P$37/(lgh_bs!$I$50*(1-$D63)))^(1/((lgh_bs!$P$2-lgh_bs!$I$2)/365))-1</f>
        <v>0.15553290052675517</v>
      </c>
      <c r="G63" s="307">
        <v>0.15</v>
      </c>
    </row>
    <row r="64" spans="1:11">
      <c r="C64" t="s">
        <v>294</v>
      </c>
      <c r="D64" s="7">
        <v>0.1</v>
      </c>
      <c r="E64" s="742">
        <f>(lgh_bs!$N$37/(lgh_bs!$I$50*(1-$D64)))^(1/((lgh_bs!$N$2-lgh_bs!$I$2)/365))-1</f>
        <v>0.18793026979033267</v>
      </c>
      <c r="F64" s="742">
        <f>(lgh_bs!$P$37/(lgh_bs!$I$50*(1-$D64)))^(1/((lgh_bs!$P$2-lgh_bs!$I$2)/365))-1</f>
        <v>0.18141637429484225</v>
      </c>
    </row>
    <row r="65" spans="3:7">
      <c r="C65" s="1453" t="s">
        <v>294</v>
      </c>
      <c r="D65" s="1454">
        <v>0.2</v>
      </c>
      <c r="E65" s="1455">
        <f>(lgh_bs!$N$37/(lgh_bs!$I$50*(1-$D65)))^(1/((lgh_bs!$N$2-lgh_bs!$I$2)/365))-1</f>
        <v>0.23979609348858633</v>
      </c>
      <c r="F65" s="1455">
        <f>(lgh_bs!$P$37/(lgh_bs!$I$50*(1-$D65)))^(1/((lgh_bs!$P$2-lgh_bs!$I$2)/365))-1</f>
        <v>0.21103858505087736</v>
      </c>
    </row>
    <row r="66" spans="3:7">
      <c r="C66" s="520" t="s">
        <v>295</v>
      </c>
      <c r="D66" s="745">
        <v>0</v>
      </c>
      <c r="E66" s="746">
        <f>((lgh_bs!$N$50-lgh_bs!$N$42*(1-lgh_inputs!$D$2))/(lgh_bs!$I$50*(1-$D66)))^(1/((lgh_bs!$N$2-lgh_bs!$I$2)/365))-1</f>
        <v>0.23712525330813339</v>
      </c>
      <c r="F66" s="746">
        <f>((lgh_bs!$P$50-lgh_bs!$P$42*(1-lgh_inputs!$D$2))/(lgh_bs!$I$50*(1-$D66)))^(1/((lgh_bs!$P$2-lgh_bs!$I$2)/365))-1</f>
        <v>0.21463117874393056</v>
      </c>
      <c r="G66" s="307">
        <v>0.2</v>
      </c>
    </row>
    <row r="67" spans="3:7">
      <c r="C67" t="s">
        <v>295</v>
      </c>
      <c r="D67" s="7">
        <v>0.1</v>
      </c>
      <c r="E67" s="742">
        <f>((lgh_bs!$N$50-lgh_bs!$N$42*(1-lgh_inputs!$D$2))/(lgh_bs!$I$50*(1-$D67)))^(1/((lgh_bs!$N$2-lgh_bs!$I$2)/365))-1</f>
        <v>0.28533266595747242</v>
      </c>
      <c r="F67" s="742">
        <f>((lgh_bs!$P$50-lgh_bs!$P$42*(1-lgh_inputs!$D$2))/(lgh_bs!$I$50*(1-$D67)))^(1/((lgh_bs!$P$2-lgh_bs!$I$2)/365))-1</f>
        <v>0.24183843025411078</v>
      </c>
    </row>
    <row r="68" spans="3:7">
      <c r="C68" s="1453" t="s">
        <v>295</v>
      </c>
      <c r="D68" s="1454">
        <v>0.2</v>
      </c>
      <c r="E68" s="1455">
        <f>((lgh_bs!$N$50-lgh_bs!$N$42*(1-lgh_inputs!$D$2))/(lgh_bs!$I$50*(1-$D68)))^(1/((lgh_bs!$N$2-lgh_bs!$I$2)/365))-1</f>
        <v>0.34145114289292633</v>
      </c>
      <c r="F68" s="1455">
        <f>((lgh_bs!$P$50-lgh_bs!$P$42*(1-lgh_inputs!$D$2))/(lgh_bs!$I$50*(1-$D68)))^(1/((lgh_bs!$P$2-lgh_bs!$I$2)/365))-1</f>
        <v>0.27297563175759221</v>
      </c>
    </row>
    <row r="69" spans="3:7">
      <c r="C69" s="520" t="s">
        <v>296</v>
      </c>
      <c r="D69" s="745">
        <v>0</v>
      </c>
      <c r="E69" s="746">
        <f>(lgh_bs!$N$50/(lgh_bs!$I$50*(1-$D69)))^(1/((lgh_bs!$N$2-lgh_bs!$I$2)/365))-1</f>
        <v>0.27614477807752524</v>
      </c>
      <c r="F69" s="746">
        <f>(lgh_bs!$P$50/(lgh_bs!$I$50*(1-$D69)))^(1/((lgh_bs!$P$2-lgh_bs!$I$2)/365))-1</f>
        <v>0.27401021636189293</v>
      </c>
      <c r="G69" s="307">
        <v>0.25</v>
      </c>
    </row>
    <row r="70" spans="3:7">
      <c r="C70" t="s">
        <v>296</v>
      </c>
      <c r="D70" s="7">
        <v>0.1</v>
      </c>
      <c r="E70" s="742">
        <f>(lgh_bs!$N$50/(lgh_bs!$I$50*(1-$D70)))^(1/((lgh_bs!$N$2-lgh_bs!$I$2)/365))-1</f>
        <v>0.32587267567930489</v>
      </c>
      <c r="F70" s="742">
        <f>(lgh_bs!$P$50/(lgh_bs!$I$50*(1-$D70)))^(1/((lgh_bs!$P$2-lgh_bs!$I$2)/365))-1</f>
        <v>0.30254753451219907</v>
      </c>
    </row>
    <row r="71" spans="3:7">
      <c r="C71" t="s">
        <v>296</v>
      </c>
      <c r="D71" s="7">
        <v>0.2</v>
      </c>
      <c r="E71" s="742">
        <f>(lgh_bs!$N$50/(lgh_bs!$I$50*(1-$D71)))^(1/((lgh_bs!$N$2-lgh_bs!$I$2)/365))-1</f>
        <v>0.3837611563350356</v>
      </c>
      <c r="F71" s="742">
        <f>(lgh_bs!$P$50/(lgh_bs!$I$50*(1-$D71)))^(1/((lgh_bs!$P$2-lgh_bs!$I$2)/365))-1</f>
        <v>0.33520692406070118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>
    <tabColor rgb="FFD9E1F2"/>
    <outlinePr summaryBelow="0"/>
  </sheetPr>
  <dimension ref="A1:AC94"/>
  <sheetViews>
    <sheetView showGridLines="0" zoomScale="85" zoomScaleNormal="85" workbookViewId="0">
      <pane xSplit="3" ySplit="3" topLeftCell="I34" activePane="bottomRight" state="frozen"/>
      <selection activeCell="G55" sqref="G55"/>
      <selection pane="topRight" activeCell="G55" sqref="G55"/>
      <selection pane="bottomLeft" activeCell="G55" sqref="G55"/>
      <selection pane="bottomRight" activeCell="N44" sqref="N44"/>
    </sheetView>
  </sheetViews>
  <sheetFormatPr defaultRowHeight="14.4"/>
  <cols>
    <col min="1" max="2" width="21.68359375" style="25" customWidth="1"/>
    <col min="3" max="3" width="37.41796875" style="29" bestFit="1" customWidth="1"/>
    <col min="4" max="7" width="13.68359375" style="29" bestFit="1" customWidth="1"/>
    <col min="8" max="8" width="16" style="29" bestFit="1" customWidth="1"/>
    <col min="9" max="9" width="13.68359375" style="29" bestFit="1" customWidth="1"/>
    <col min="10" max="10" width="14.578125" style="29" bestFit="1" customWidth="1"/>
    <col min="11" max="11" width="13.68359375" style="29" bestFit="1" customWidth="1"/>
    <col min="12" max="12" width="14.26171875" style="29" bestFit="1" customWidth="1"/>
    <col min="13" max="16" width="15.26171875" bestFit="1" customWidth="1"/>
    <col min="17" max="17" width="26.68359375" bestFit="1" customWidth="1"/>
    <col min="18" max="18" width="24.26171875" bestFit="1" customWidth="1"/>
    <col min="19" max="19" width="17.68359375" style="43" bestFit="1" customWidth="1"/>
    <col min="20" max="20" width="21.578125" style="43" bestFit="1" customWidth="1"/>
    <col min="21" max="21" width="17.41796875" bestFit="1" customWidth="1"/>
    <col min="22" max="23" width="12.68359375" bestFit="1" customWidth="1"/>
    <col min="24" max="24" width="12.41796875" bestFit="1" customWidth="1"/>
    <col min="25" max="25" width="14.26171875" bestFit="1" customWidth="1"/>
    <col min="26" max="26" width="13.26171875" style="4" bestFit="1" customWidth="1"/>
    <col min="27" max="27" width="13.41796875" bestFit="1" customWidth="1"/>
    <col min="28" max="28" width="14.578125" bestFit="1" customWidth="1"/>
    <col min="29" max="29" width="14.26171875" bestFit="1" customWidth="1"/>
  </cols>
  <sheetData>
    <row r="1" spans="1:26" s="25" customFormat="1" ht="18.3" customHeight="1">
      <c r="A1" s="27" t="s">
        <v>121</v>
      </c>
      <c r="B1" s="27" t="s">
        <v>221</v>
      </c>
      <c r="C1" s="776" t="str">
        <f t="array" aca="1" ref="C1" ca="1">_xlfn.TEXTAFTER(CELL("filename",C1),"]")</f>
        <v>lgh_oc</v>
      </c>
      <c r="D1" s="777"/>
      <c r="E1" s="777"/>
      <c r="F1" s="777"/>
      <c r="G1" s="777"/>
      <c r="H1" s="777"/>
      <c r="I1" s="777"/>
      <c r="J1" s="777"/>
      <c r="K1" s="777"/>
      <c r="L1" s="777"/>
      <c r="M1" s="777"/>
      <c r="N1" s="777"/>
      <c r="O1" s="777"/>
      <c r="P1" s="777"/>
      <c r="R1" s="418"/>
      <c r="S1" s="204"/>
      <c r="T1" s="204"/>
      <c r="Z1" s="160"/>
    </row>
    <row r="2" spans="1:26" s="635" customFormat="1">
      <c r="A2" s="25"/>
      <c r="B2" s="25"/>
      <c r="C2" s="778" t="s">
        <v>120</v>
      </c>
      <c r="D2" s="2057">
        <v>45657</v>
      </c>
      <c r="E2" s="1665">
        <f>+lgh_bs!E2</f>
        <v>45747</v>
      </c>
      <c r="F2" s="1683">
        <f>+lgh_bs!F2</f>
        <v>45838</v>
      </c>
      <c r="G2" s="1683">
        <f>+lgh_bs!G2</f>
        <v>45930</v>
      </c>
      <c r="H2" s="1683">
        <f>+lgh_bs!H2</f>
        <v>46022</v>
      </c>
      <c r="I2" s="1665">
        <f>+lgh_bs!I2</f>
        <v>46112</v>
      </c>
      <c r="J2" s="1683">
        <f>+lgh_bs!J2</f>
        <v>46203</v>
      </c>
      <c r="K2" s="1683">
        <f>+lgh_bs!K2</f>
        <v>46295</v>
      </c>
      <c r="L2" s="1683">
        <f>+lgh_bs!L2</f>
        <v>46387</v>
      </c>
      <c r="M2" s="1665">
        <f>+lgh_bs!M2</f>
        <v>46752</v>
      </c>
      <c r="N2" s="1665">
        <f>+lgh_bs!N2</f>
        <v>47118</v>
      </c>
      <c r="O2" s="1665">
        <f>+lgh_bs!O2</f>
        <v>47483</v>
      </c>
      <c r="P2" s="1651">
        <f>+lgh_bs!P2</f>
        <v>47848</v>
      </c>
      <c r="R2" s="41"/>
      <c r="S2" s="413"/>
      <c r="T2" s="636"/>
      <c r="U2" s="637"/>
      <c r="Z2" s="638"/>
    </row>
    <row r="3" spans="1:26">
      <c r="C3" s="779" t="s">
        <v>222</v>
      </c>
      <c r="D3" s="2058" t="s">
        <v>2</v>
      </c>
      <c r="E3" s="1666" t="str">
        <f>+lgh_bs!E3</f>
        <v>Q1</v>
      </c>
      <c r="F3" s="1684" t="str">
        <f>+lgh_bs!F3</f>
        <v>Q2</v>
      </c>
      <c r="G3" s="1684" t="str">
        <f>+lgh_bs!G3</f>
        <v>Q3</v>
      </c>
      <c r="H3" s="1684" t="str">
        <f>+lgh_bs!H3</f>
        <v>Q4</v>
      </c>
      <c r="I3" s="1666" t="str">
        <f>+lgh_bs!I3</f>
        <v>Q1</v>
      </c>
      <c r="J3" s="1684" t="str">
        <f>+lgh_bs!J3</f>
        <v>Q2</v>
      </c>
      <c r="K3" s="1684" t="str">
        <f>+lgh_bs!K3</f>
        <v>Q3</v>
      </c>
      <c r="L3" s="1684" t="str">
        <f>+lgh_bs!L3</f>
        <v>Q4</v>
      </c>
      <c r="M3" s="1712" t="str">
        <f>+lgh_bs!M3</f>
        <v>Q4</v>
      </c>
      <c r="N3" s="1712" t="str">
        <f>+lgh_bs!N3</f>
        <v>Q4</v>
      </c>
      <c r="O3" s="1712" t="str">
        <f>+lgh_bs!O3</f>
        <v>Q4</v>
      </c>
      <c r="P3" s="1710" t="str">
        <f>+lgh_bs!P3</f>
        <v>Q4</v>
      </c>
      <c r="R3" s="3"/>
      <c r="S3" s="414"/>
      <c r="T3" s="414"/>
      <c r="U3" s="3"/>
    </row>
    <row r="4" spans="1:26">
      <c r="C4" s="765" t="s">
        <v>297</v>
      </c>
      <c r="D4" s="2059"/>
      <c r="E4" s="774"/>
      <c r="F4" s="1685"/>
      <c r="G4" s="1685"/>
      <c r="H4" s="1685"/>
      <c r="I4" s="774"/>
      <c r="J4" s="1685"/>
      <c r="K4" s="1685"/>
      <c r="L4" s="1685"/>
      <c r="M4" s="774"/>
      <c r="N4" s="774"/>
      <c r="O4" s="774"/>
      <c r="P4" s="1682"/>
      <c r="R4" s="41"/>
    </row>
    <row r="5" spans="1:26">
      <c r="A5" s="25" t="s">
        <v>153</v>
      </c>
      <c r="B5" s="25" t="s">
        <v>154</v>
      </c>
      <c r="C5" s="782" t="s">
        <v>298</v>
      </c>
      <c r="D5" s="1707">
        <v>1639651</v>
      </c>
      <c r="E5" s="834">
        <f>+registry_o!D66</f>
        <v>558947</v>
      </c>
      <c r="F5" s="1686">
        <f>+registry_o!E66</f>
        <v>558947</v>
      </c>
      <c r="G5" s="1686">
        <f>+registry_o!F66</f>
        <v>558947</v>
      </c>
      <c r="H5" s="1686">
        <f>+registry_o!G66</f>
        <v>447597</v>
      </c>
      <c r="I5" s="834">
        <f>+registry_o!H66</f>
        <v>256062.09250000003</v>
      </c>
      <c r="J5" s="1686">
        <f>+registry_o!I66</f>
        <v>876202.75</v>
      </c>
      <c r="K5" s="1686">
        <f>+registry_o!J66</f>
        <v>904421.5</v>
      </c>
      <c r="L5" s="1686">
        <f>+registry_o!K66</f>
        <v>2073421.5</v>
      </c>
      <c r="M5" s="834">
        <f>+registry_o!L66</f>
        <v>4197216.58</v>
      </c>
      <c r="N5" s="834">
        <f>+registry_o!M66</f>
        <v>5881683.0773999998</v>
      </c>
      <c r="O5" s="834">
        <f>+registry_o!N66</f>
        <v>8699126.3497219998</v>
      </c>
      <c r="P5" s="836">
        <f>+registry_o!O66</f>
        <v>8510972.976329349</v>
      </c>
      <c r="R5" s="41"/>
    </row>
    <row r="6" spans="1:26">
      <c r="A6" s="25" t="s">
        <v>162</v>
      </c>
      <c r="B6" s="25" t="s">
        <v>163</v>
      </c>
      <c r="C6" s="782" t="s">
        <v>299</v>
      </c>
      <c r="D6" s="1707">
        <v>0</v>
      </c>
      <c r="E6" s="834">
        <f>+registry_o!D77</f>
        <v>0</v>
      </c>
      <c r="F6" s="1686">
        <f>+registry_o!E77</f>
        <v>0</v>
      </c>
      <c r="G6" s="1686">
        <f>+registry_o!F77</f>
        <v>0</v>
      </c>
      <c r="H6" s="1686">
        <f>+registry_o!G77</f>
        <v>0</v>
      </c>
      <c r="I6" s="834">
        <f>+registry_o!H77</f>
        <v>30000</v>
      </c>
      <c r="J6" s="1686">
        <f>+registry_o!I77</f>
        <v>30000</v>
      </c>
      <c r="K6" s="1686">
        <f>+registry_o!J77</f>
        <v>30000</v>
      </c>
      <c r="L6" s="1686">
        <f>+registry_o!K77</f>
        <v>30000</v>
      </c>
      <c r="M6" s="834">
        <f>+registry_o!L77</f>
        <v>150000</v>
      </c>
      <c r="N6" s="834">
        <f>+registry_o!M77</f>
        <v>240000</v>
      </c>
      <c r="O6" s="834">
        <f>+registry_o!N77</f>
        <v>240000</v>
      </c>
      <c r="P6" s="836">
        <f>+registry_o!O77</f>
        <v>240000</v>
      </c>
      <c r="R6" s="41"/>
    </row>
    <row r="7" spans="1:26">
      <c r="A7" s="25" t="s">
        <v>166</v>
      </c>
      <c r="B7" s="25" t="s">
        <v>167</v>
      </c>
      <c r="C7" s="782" t="s">
        <v>300</v>
      </c>
      <c r="D7" s="1707">
        <v>1480300</v>
      </c>
      <c r="E7" s="834">
        <f>+registry_o!D84</f>
        <v>79187.75</v>
      </c>
      <c r="F7" s="1686">
        <f>+registry_o!E84</f>
        <v>79187.75</v>
      </c>
      <c r="G7" s="1686">
        <f>+registry_o!F84</f>
        <v>599187.75</v>
      </c>
      <c r="H7" s="1686">
        <f>+registry_o!G84</f>
        <v>949987.75</v>
      </c>
      <c r="I7" s="1707">
        <f>+registry_o!H84</f>
        <v>1508647.6533333333</v>
      </c>
      <c r="J7" s="1709">
        <f>+registry_o!I84</f>
        <v>2259708.333333333</v>
      </c>
      <c r="K7" s="1709">
        <f>+registry_o!J84</f>
        <v>1991527.3333333333</v>
      </c>
      <c r="L7" s="1709">
        <f>+registry_o!K84</f>
        <v>5794508.333333333</v>
      </c>
      <c r="M7" s="834">
        <f>+registry_o!L84</f>
        <v>10492723.013333332</v>
      </c>
      <c r="N7" s="834">
        <f>+registry_o!M84</f>
        <v>6993600.3066666666</v>
      </c>
      <c r="O7" s="834">
        <f>+registry_o!N84</f>
        <v>4430462.0658666659</v>
      </c>
      <c r="P7" s="836">
        <f>+registry_o!O84</f>
        <v>5010464.3293539463</v>
      </c>
      <c r="R7" s="41"/>
    </row>
    <row r="8" spans="1:26">
      <c r="C8" s="784" t="s">
        <v>301</v>
      </c>
      <c r="D8" s="2060">
        <v>3119951</v>
      </c>
      <c r="E8" s="1467">
        <f t="shared" ref="E8:P8" si="0">SUM(E5:E7)</f>
        <v>638134.75</v>
      </c>
      <c r="F8" s="1687">
        <f t="shared" si="0"/>
        <v>638134.75</v>
      </c>
      <c r="G8" s="1687">
        <f t="shared" si="0"/>
        <v>1158134.75</v>
      </c>
      <c r="H8" s="1687">
        <f t="shared" si="0"/>
        <v>1397584.75</v>
      </c>
      <c r="I8" s="1667">
        <f t="shared" si="0"/>
        <v>1794709.7458333333</v>
      </c>
      <c r="J8" s="1702">
        <f t="shared" si="0"/>
        <v>3165911.083333333</v>
      </c>
      <c r="K8" s="1702">
        <f t="shared" si="0"/>
        <v>2925948.833333333</v>
      </c>
      <c r="L8" s="1702">
        <f t="shared" si="0"/>
        <v>7897929.833333333</v>
      </c>
      <c r="M8" s="1667">
        <f t="shared" si="0"/>
        <v>14839939.593333332</v>
      </c>
      <c r="N8" s="1667">
        <f t="shared" si="0"/>
        <v>13115283.384066667</v>
      </c>
      <c r="O8" s="1667">
        <f t="shared" si="0"/>
        <v>13369588.415588666</v>
      </c>
      <c r="P8" s="1652">
        <f t="shared" si="0"/>
        <v>13761437.305683296</v>
      </c>
      <c r="Q8" s="2"/>
      <c r="R8" s="41"/>
      <c r="U8" s="187"/>
    </row>
    <row r="9" spans="1:26">
      <c r="C9" s="768"/>
      <c r="D9" s="2061"/>
      <c r="E9" s="1668"/>
      <c r="F9" s="1688"/>
      <c r="G9" s="1688"/>
      <c r="H9" s="1688"/>
      <c r="I9" s="1668"/>
      <c r="J9" s="1688"/>
      <c r="K9" s="1688"/>
      <c r="L9" s="1688"/>
      <c r="M9" s="1668"/>
      <c r="N9" s="1668"/>
      <c r="O9" s="1668"/>
      <c r="P9" s="1653"/>
      <c r="Q9" s="15"/>
      <c r="R9" s="41"/>
      <c r="S9" s="415"/>
      <c r="T9" s="415"/>
      <c r="U9" s="24"/>
    </row>
    <row r="10" spans="1:26">
      <c r="C10" s="765" t="s">
        <v>302</v>
      </c>
      <c r="D10" s="2062"/>
      <c r="E10" s="1669"/>
      <c r="F10" s="1689"/>
      <c r="G10" s="1689"/>
      <c r="H10" s="1689"/>
      <c r="I10" s="1708"/>
      <c r="J10" s="1689"/>
      <c r="K10" s="1689"/>
      <c r="L10" s="1689"/>
      <c r="M10" s="1708"/>
      <c r="N10" s="1708"/>
      <c r="O10" s="1708"/>
      <c r="P10" s="1711"/>
      <c r="Q10" s="750"/>
      <c r="R10" s="41"/>
      <c r="S10" s="416"/>
      <c r="T10" s="417"/>
      <c r="U10" s="751"/>
    </row>
    <row r="11" spans="1:26">
      <c r="A11" s="25" t="s">
        <v>140</v>
      </c>
      <c r="B11" s="25" t="s">
        <v>149</v>
      </c>
      <c r="C11" s="782" t="s">
        <v>303</v>
      </c>
      <c r="D11" s="2063">
        <v>0</v>
      </c>
      <c r="E11" s="783">
        <f>+registry_o!D60</f>
        <v>0</v>
      </c>
      <c r="F11" s="783">
        <f>+registry_o!E60</f>
        <v>0</v>
      </c>
      <c r="G11" s="783">
        <f>+registry_o!F60</f>
        <v>0</v>
      </c>
      <c r="H11" s="783">
        <f>+registry_o!G60</f>
        <v>0</v>
      </c>
      <c r="I11" s="783">
        <f>+registry_o!H60</f>
        <v>0</v>
      </c>
      <c r="J11" s="783">
        <f>+registry_o!I60</f>
        <v>0</v>
      </c>
      <c r="K11" s="783">
        <f>+registry_o!J60</f>
        <v>0</v>
      </c>
      <c r="L11" s="783">
        <f>+registry_o!K60</f>
        <v>1000000</v>
      </c>
      <c r="M11" s="783">
        <f>+registry_o!L60</f>
        <v>2300000</v>
      </c>
      <c r="N11" s="783">
        <f>+registry_o!M60</f>
        <v>0</v>
      </c>
      <c r="O11" s="783">
        <f>+registry_o!N60</f>
        <v>0</v>
      </c>
      <c r="P11" s="783">
        <f>+registry_o!O60</f>
        <v>0</v>
      </c>
      <c r="R11" s="41"/>
    </row>
    <row r="12" spans="1:26">
      <c r="C12" s="787" t="s">
        <v>304</v>
      </c>
      <c r="D12" s="2064">
        <v>0</v>
      </c>
      <c r="E12" s="1670">
        <v>0</v>
      </c>
      <c r="F12" s="1690">
        <v>0</v>
      </c>
      <c r="G12" s="1690">
        <v>0</v>
      </c>
      <c r="H12" s="1690">
        <v>0</v>
      </c>
      <c r="I12" s="1670">
        <v>62500</v>
      </c>
      <c r="J12" s="1690">
        <v>62500</v>
      </c>
      <c r="K12" s="1690">
        <v>62500</v>
      </c>
      <c r="L12" s="1690">
        <v>62500</v>
      </c>
      <c r="M12" s="1670">
        <v>250000</v>
      </c>
      <c r="N12" s="1670">
        <v>250000</v>
      </c>
      <c r="O12" s="1670">
        <v>250000</v>
      </c>
      <c r="P12" s="1654">
        <v>250000</v>
      </c>
      <c r="R12" s="41"/>
    </row>
    <row r="13" spans="1:26">
      <c r="C13" s="784" t="s">
        <v>305</v>
      </c>
      <c r="D13" s="2065">
        <v>0</v>
      </c>
      <c r="E13" s="856">
        <f t="shared" ref="E13:P13" si="1">SUM(E11:E12)</f>
        <v>0</v>
      </c>
      <c r="F13" s="1691">
        <f t="shared" si="1"/>
        <v>0</v>
      </c>
      <c r="G13" s="1691">
        <f t="shared" si="1"/>
        <v>0</v>
      </c>
      <c r="H13" s="1691">
        <f t="shared" si="1"/>
        <v>0</v>
      </c>
      <c r="I13" s="856">
        <f t="shared" si="1"/>
        <v>62500</v>
      </c>
      <c r="J13" s="1691">
        <f t="shared" si="1"/>
        <v>62500</v>
      </c>
      <c r="K13" s="1691">
        <f t="shared" si="1"/>
        <v>62500</v>
      </c>
      <c r="L13" s="1691">
        <f t="shared" si="1"/>
        <v>1062500</v>
      </c>
      <c r="M13" s="856">
        <f t="shared" si="1"/>
        <v>2550000</v>
      </c>
      <c r="N13" s="856">
        <f t="shared" si="1"/>
        <v>250000</v>
      </c>
      <c r="O13" s="856">
        <f t="shared" si="1"/>
        <v>250000</v>
      </c>
      <c r="P13" s="858">
        <f t="shared" si="1"/>
        <v>250000</v>
      </c>
      <c r="R13" s="41"/>
    </row>
    <row r="14" spans="1:26">
      <c r="C14" s="769"/>
      <c r="D14" s="1707"/>
      <c r="E14" s="834"/>
      <c r="F14" s="1686"/>
      <c r="G14" s="1686"/>
      <c r="H14" s="1686"/>
      <c r="I14" s="834"/>
      <c r="J14" s="1686"/>
      <c r="K14" s="1686"/>
      <c r="L14" s="1686"/>
      <c r="M14" s="834"/>
      <c r="N14" s="834"/>
      <c r="O14" s="834"/>
      <c r="P14" s="836"/>
      <c r="R14" s="41"/>
    </row>
    <row r="15" spans="1:26">
      <c r="C15" s="765" t="s">
        <v>306</v>
      </c>
      <c r="D15" s="2066"/>
      <c r="E15" s="1671"/>
      <c r="F15" s="1692"/>
      <c r="G15" s="1692"/>
      <c r="H15" s="1692"/>
      <c r="I15" s="1671"/>
      <c r="J15" s="1692"/>
      <c r="K15" s="1692"/>
      <c r="L15" s="1692"/>
      <c r="M15" s="1671"/>
      <c r="N15" s="1671"/>
      <c r="O15" s="1671"/>
      <c r="P15" s="1655"/>
      <c r="Q15" s="753"/>
      <c r="R15" s="41"/>
    </row>
    <row r="16" spans="1:26">
      <c r="A16" s="25" t="s">
        <v>153</v>
      </c>
      <c r="B16" s="25" t="s">
        <v>155</v>
      </c>
      <c r="C16" s="766" t="s">
        <v>307</v>
      </c>
      <c r="D16" s="1707">
        <v>-1639651</v>
      </c>
      <c r="E16" s="834">
        <f>-registry_o!D67</f>
        <v>-558947</v>
      </c>
      <c r="F16" s="1686">
        <f>-registry_o!E67</f>
        <v>-558947</v>
      </c>
      <c r="G16" s="1686">
        <f>-registry_o!F67</f>
        <v>-558947</v>
      </c>
      <c r="H16" s="1686">
        <f>-registry_o!G67</f>
        <v>-447597</v>
      </c>
      <c r="I16" s="834">
        <f>-registry_o!H67</f>
        <v>-14999.877750000007</v>
      </c>
      <c r="J16" s="1686">
        <f>-registry_o!I67</f>
        <v>-192576.44999999998</v>
      </c>
      <c r="K16" s="1686">
        <f>-registry_o!J67</f>
        <v>-192576.44999999998</v>
      </c>
      <c r="L16" s="1686">
        <f>-registry_o!K67</f>
        <v>-543276.44999999995</v>
      </c>
      <c r="M16" s="834">
        <f>-registry_o!L67</f>
        <v>-928414.97400000005</v>
      </c>
      <c r="N16" s="834">
        <f>-registry_o!M67</f>
        <v>-1417217.42322</v>
      </c>
      <c r="O16" s="834">
        <f>-registry_o!N67</f>
        <v>-2245086.0299165999</v>
      </c>
      <c r="P16" s="836">
        <f>-registry_o!O67</f>
        <v>-2170407.424148805</v>
      </c>
      <c r="Q16" s="15"/>
      <c r="R16" s="41"/>
    </row>
    <row r="17" spans="1:29">
      <c r="A17" s="25" t="s">
        <v>162</v>
      </c>
      <c r="B17" s="25" t="s">
        <v>164</v>
      </c>
      <c r="C17" s="766" t="s">
        <v>308</v>
      </c>
      <c r="D17" s="1707">
        <v>0</v>
      </c>
      <c r="E17" s="834">
        <f>-registry_o!D78</f>
        <v>0</v>
      </c>
      <c r="F17" s="1686">
        <f>-registry_o!E78</f>
        <v>0</v>
      </c>
      <c r="G17" s="1686">
        <f>-registry_o!F78</f>
        <v>0</v>
      </c>
      <c r="H17" s="1686">
        <f>-registry_o!G78</f>
        <v>0</v>
      </c>
      <c r="I17" s="834">
        <f>-registry_o!H78</f>
        <v>-9000</v>
      </c>
      <c r="J17" s="1686">
        <f>-registry_o!I78</f>
        <v>-9000</v>
      </c>
      <c r="K17" s="1686">
        <f>-registry_o!J78</f>
        <v>-9000</v>
      </c>
      <c r="L17" s="1686">
        <f>-registry_o!K78</f>
        <v>-9000</v>
      </c>
      <c r="M17" s="834">
        <f>-registry_o!L78</f>
        <v>-45000</v>
      </c>
      <c r="N17" s="834">
        <f>-registry_o!M78</f>
        <v>-72000</v>
      </c>
      <c r="O17" s="834">
        <f>-registry_o!N78</f>
        <v>-72000</v>
      </c>
      <c r="P17" s="836">
        <f>-registry_o!O78</f>
        <v>-72000</v>
      </c>
      <c r="Q17" s="187"/>
      <c r="R17" s="41"/>
    </row>
    <row r="18" spans="1:29">
      <c r="A18" s="25" t="s">
        <v>166</v>
      </c>
      <c r="B18" s="25" t="s">
        <v>168</v>
      </c>
      <c r="C18" s="766" t="s">
        <v>309</v>
      </c>
      <c r="D18" s="1707">
        <v>-1480300</v>
      </c>
      <c r="E18" s="834">
        <f>-registry_o!D85</f>
        <v>-68132.5</v>
      </c>
      <c r="F18" s="1686">
        <f>-registry_o!E85</f>
        <v>-68132.5</v>
      </c>
      <c r="G18" s="1686">
        <f>-registry_o!F85</f>
        <v>-328132.5</v>
      </c>
      <c r="H18" s="1686">
        <f>-registry_o!G85</f>
        <v>-528732.5</v>
      </c>
      <c r="I18" s="834">
        <f>-registry_o!H85</f>
        <v>-452594.29599999997</v>
      </c>
      <c r="J18" s="1686">
        <f>-registry_o!I85</f>
        <v>-677912.5</v>
      </c>
      <c r="K18" s="1686">
        <f>-registry_o!J85</f>
        <v>-597458.19999999995</v>
      </c>
      <c r="L18" s="1686">
        <f>-registry_o!K85</f>
        <v>-1738352.4999999998</v>
      </c>
      <c r="M18" s="834">
        <f>-registry_o!L85</f>
        <v>-3147816.9039999996</v>
      </c>
      <c r="N18" s="834">
        <f>-registry_o!M85</f>
        <v>-2098080.0919999997</v>
      </c>
      <c r="O18" s="834">
        <f>-registry_o!N85</f>
        <v>-1329138.6197599997</v>
      </c>
      <c r="P18" s="836">
        <f>-registry_o!O85</f>
        <v>-1503139.2988061837</v>
      </c>
      <c r="R18" s="41"/>
    </row>
    <row r="19" spans="1:29">
      <c r="C19" s="784" t="s">
        <v>310</v>
      </c>
      <c r="D19" s="2060">
        <v>-3119951</v>
      </c>
      <c r="E19" s="1467">
        <f t="shared" ref="E19:P19" si="2">SUM(E16:E18)</f>
        <v>-627079.5</v>
      </c>
      <c r="F19" s="1687">
        <f t="shared" si="2"/>
        <v>-627079.5</v>
      </c>
      <c r="G19" s="1687">
        <f t="shared" si="2"/>
        <v>-887079.5</v>
      </c>
      <c r="H19" s="1687">
        <f t="shared" si="2"/>
        <v>-976329.5</v>
      </c>
      <c r="I19" s="1667">
        <f t="shared" si="2"/>
        <v>-476594.17374999996</v>
      </c>
      <c r="J19" s="1702">
        <f t="shared" si="2"/>
        <v>-879488.95</v>
      </c>
      <c r="K19" s="1702">
        <f t="shared" si="2"/>
        <v>-799034.64999999991</v>
      </c>
      <c r="L19" s="1702">
        <f t="shared" si="2"/>
        <v>-2290628.9499999997</v>
      </c>
      <c r="M19" s="1667">
        <f t="shared" si="2"/>
        <v>-4121231.8779999996</v>
      </c>
      <c r="N19" s="1667">
        <f t="shared" si="2"/>
        <v>-3587297.5152199995</v>
      </c>
      <c r="O19" s="1667">
        <f t="shared" si="2"/>
        <v>-3646224.6496765995</v>
      </c>
      <c r="P19" s="1652">
        <f t="shared" si="2"/>
        <v>-3745546.7229549885</v>
      </c>
      <c r="Q19" s="752"/>
      <c r="R19" s="41"/>
    </row>
    <row r="20" spans="1:29">
      <c r="C20" s="786"/>
      <c r="D20" s="1707"/>
      <c r="E20" s="834"/>
      <c r="F20" s="1686"/>
      <c r="G20" s="1686"/>
      <c r="H20" s="1686"/>
      <c r="I20" s="834"/>
      <c r="J20" s="1686"/>
      <c r="K20" s="1686"/>
      <c r="L20" s="1686"/>
      <c r="M20" s="834"/>
      <c r="N20" s="834"/>
      <c r="O20" s="834"/>
      <c r="P20" s="836"/>
      <c r="R20" s="41"/>
    </row>
    <row r="21" spans="1:29">
      <c r="A21" s="25" t="s">
        <v>140</v>
      </c>
      <c r="B21" s="25" t="s">
        <v>196</v>
      </c>
      <c r="C21" s="790" t="s">
        <v>196</v>
      </c>
      <c r="D21" s="2067">
        <v>-5450569</v>
      </c>
      <c r="E21" s="789">
        <f>+registry_o!D127</f>
        <v>-1637186</v>
      </c>
      <c r="F21" s="789">
        <f>+registry_o!E127</f>
        <v>-1733477</v>
      </c>
      <c r="G21" s="789">
        <f>+registry_o!F127</f>
        <v>-1694124</v>
      </c>
      <c r="H21" s="789">
        <f>+registry_o!G127</f>
        <v>-3109273</v>
      </c>
      <c r="I21" s="789">
        <f>+registry_o!H127</f>
        <v>-3917714.36</v>
      </c>
      <c r="J21" s="789">
        <f>+registry_o!I127</f>
        <v>-4742246.5398626681</v>
      </c>
      <c r="K21" s="789">
        <f>+registry_o!J127</f>
        <v>-2968724.1506860717</v>
      </c>
      <c r="L21" s="789">
        <f>+registry_o!K127</f>
        <v>-4689321.0773</v>
      </c>
      <c r="M21" s="789">
        <f>+registry_o!L127</f>
        <v>-13266364.132103998</v>
      </c>
      <c r="N21" s="789">
        <f>+registry_o!M127</f>
        <v>-13803437.523463439</v>
      </c>
      <c r="O21" s="789">
        <f>+registry_o!N127</f>
        <v>-13242450.65316527</v>
      </c>
      <c r="P21" s="789">
        <f>+registry_o!O127</f>
        <v>-13524175.12502921</v>
      </c>
      <c r="R21" s="41"/>
      <c r="V21" s="4"/>
      <c r="W21" s="4"/>
      <c r="X21" s="4"/>
      <c r="Y21" s="4"/>
      <c r="AA21" s="4"/>
      <c r="AB21" s="4"/>
      <c r="AC21" s="4"/>
    </row>
    <row r="22" spans="1:29">
      <c r="C22" s="786"/>
      <c r="D22" s="1707"/>
      <c r="E22" s="834"/>
      <c r="F22" s="1686"/>
      <c r="G22" s="1686"/>
      <c r="H22" s="1686"/>
      <c r="I22" s="834"/>
      <c r="J22" s="1686"/>
      <c r="K22" s="1686"/>
      <c r="L22" s="1686"/>
      <c r="M22" s="834"/>
      <c r="N22" s="834"/>
      <c r="O22" s="834"/>
      <c r="P22" s="836"/>
      <c r="R22" s="41"/>
      <c r="V22" s="68"/>
      <c r="W22" s="68"/>
      <c r="X22" s="68"/>
      <c r="Y22" s="68"/>
      <c r="Z22" s="68"/>
      <c r="AA22" s="68"/>
      <c r="AB22" s="68"/>
      <c r="AC22" s="68"/>
    </row>
    <row r="23" spans="1:29" s="754" customFormat="1">
      <c r="A23" s="1875"/>
      <c r="B23" s="1875"/>
      <c r="C23" s="791" t="s">
        <v>311</v>
      </c>
      <c r="D23" s="2068">
        <v>-8570520</v>
      </c>
      <c r="E23" s="1672">
        <f t="shared" ref="E23:P23" si="3">+E19+E21</f>
        <v>-2264265.5</v>
      </c>
      <c r="F23" s="1693">
        <f t="shared" si="3"/>
        <v>-2360556.5</v>
      </c>
      <c r="G23" s="1693">
        <f t="shared" si="3"/>
        <v>-2581203.5</v>
      </c>
      <c r="H23" s="1693">
        <f t="shared" si="3"/>
        <v>-4085602.5</v>
      </c>
      <c r="I23" s="1672">
        <f t="shared" si="3"/>
        <v>-4394308.5337499995</v>
      </c>
      <c r="J23" s="1693">
        <f t="shared" si="3"/>
        <v>-5621735.4898626683</v>
      </c>
      <c r="K23" s="1693">
        <f t="shared" si="3"/>
        <v>-3767758.8006860716</v>
      </c>
      <c r="L23" s="1693">
        <f t="shared" si="3"/>
        <v>-6979950.0273000002</v>
      </c>
      <c r="M23" s="1672">
        <f t="shared" si="3"/>
        <v>-17387596.010103997</v>
      </c>
      <c r="N23" s="1672">
        <f t="shared" si="3"/>
        <v>-17390735.038683437</v>
      </c>
      <c r="O23" s="1672">
        <f t="shared" si="3"/>
        <v>-16888675.302841868</v>
      </c>
      <c r="P23" s="1656">
        <f t="shared" si="3"/>
        <v>-17269721.847984198</v>
      </c>
      <c r="R23" s="41"/>
      <c r="S23" s="43"/>
      <c r="T23" s="43"/>
      <c r="U23" s="187"/>
      <c r="Z23" s="755"/>
    </row>
    <row r="24" spans="1:29" s="754" customFormat="1">
      <c r="A24" s="1875"/>
      <c r="B24" s="1875"/>
      <c r="C24" s="792"/>
      <c r="D24" s="2069"/>
      <c r="E24" s="860"/>
      <c r="F24" s="1694"/>
      <c r="G24" s="1694"/>
      <c r="H24" s="1694"/>
      <c r="I24" s="860"/>
      <c r="J24" s="1694"/>
      <c r="K24" s="1694"/>
      <c r="L24" s="1694"/>
      <c r="M24" s="860"/>
      <c r="N24" s="860"/>
      <c r="O24" s="860"/>
      <c r="P24" s="862"/>
      <c r="R24" s="41"/>
      <c r="S24" s="43"/>
      <c r="T24" s="43"/>
      <c r="U24" s="68"/>
      <c r="Z24" s="755"/>
    </row>
    <row r="25" spans="1:29" ht="14.7" customHeight="1" thickBot="1">
      <c r="C25" s="794" t="s">
        <v>312</v>
      </c>
      <c r="D25" s="2070">
        <v>-5450569</v>
      </c>
      <c r="E25" s="838">
        <f t="shared" ref="E25:P25" si="4">+E8+E23+E11</f>
        <v>-1626130.75</v>
      </c>
      <c r="F25" s="1695">
        <f t="shared" si="4"/>
        <v>-1722421.75</v>
      </c>
      <c r="G25" s="1695">
        <f t="shared" si="4"/>
        <v>-1423068.75</v>
      </c>
      <c r="H25" s="1695">
        <f t="shared" si="4"/>
        <v>-2688017.75</v>
      </c>
      <c r="I25" s="838">
        <f t="shared" si="4"/>
        <v>-2599598.7879166659</v>
      </c>
      <c r="J25" s="1695">
        <f t="shared" si="4"/>
        <v>-2455824.4065293353</v>
      </c>
      <c r="K25" s="1695">
        <f t="shared" si="4"/>
        <v>-841809.9673527386</v>
      </c>
      <c r="L25" s="1695">
        <f t="shared" si="4"/>
        <v>1917979.8060333328</v>
      </c>
      <c r="M25" s="838">
        <f t="shared" si="4"/>
        <v>-247656.41677066498</v>
      </c>
      <c r="N25" s="838">
        <f t="shared" si="4"/>
        <v>-4275451.6546167694</v>
      </c>
      <c r="O25" s="838">
        <f t="shared" si="4"/>
        <v>-3519086.8872532025</v>
      </c>
      <c r="P25" s="840">
        <f t="shared" si="4"/>
        <v>-3508284.5423009023</v>
      </c>
      <c r="R25" s="41"/>
      <c r="U25" s="187"/>
    </row>
    <row r="26" spans="1:29">
      <c r="C26" s="765"/>
      <c r="D26" s="2069"/>
      <c r="E26" s="860"/>
      <c r="F26" s="1694"/>
      <c r="G26" s="1694"/>
      <c r="H26" s="1694"/>
      <c r="I26" s="860"/>
      <c r="J26" s="1694"/>
      <c r="K26" s="1694"/>
      <c r="L26" s="1694"/>
      <c r="M26" s="860"/>
      <c r="N26" s="860"/>
      <c r="O26" s="860"/>
      <c r="P26" s="862"/>
      <c r="R26" s="41"/>
      <c r="U26" s="187"/>
    </row>
    <row r="27" spans="1:29">
      <c r="C27" s="796" t="s">
        <v>313</v>
      </c>
      <c r="D27" s="2062"/>
      <c r="E27" s="1669"/>
      <c r="F27" s="1689"/>
      <c r="G27" s="1689"/>
      <c r="H27" s="1689">
        <f>-SUM(E25:H25)/lgh_bs!H43</f>
        <v>4.9319955527169924E-2</v>
      </c>
      <c r="I27" s="1708"/>
      <c r="J27" s="1689"/>
      <c r="K27" s="1689"/>
      <c r="L27" s="1689">
        <f>-SUM(I25:L25)/lgh_bs!L43</f>
        <v>1.9341384988055786E-2</v>
      </c>
      <c r="M27" s="1708">
        <f>-M25/lgh_bs!M43</f>
        <v>9.9060084917036739E-4</v>
      </c>
      <c r="N27" s="1708">
        <f>-N25/lgh_bs!N43</f>
        <v>1.2571976071964345E-2</v>
      </c>
      <c r="O27" s="1708">
        <f>-O25/lgh_bs!O43</f>
        <v>8.2767335846523089E-3</v>
      </c>
      <c r="P27" s="1711">
        <f>-P25/lgh_bs!P43</f>
        <v>6.3436117033432923E-3</v>
      </c>
      <c r="Q27" s="750"/>
      <c r="R27" s="41"/>
      <c r="S27" s="416"/>
      <c r="T27" s="417"/>
      <c r="U27" s="751"/>
    </row>
    <row r="28" spans="1:29">
      <c r="C28" s="796"/>
      <c r="D28" s="2062"/>
      <c r="E28" s="1669"/>
      <c r="F28" s="1689"/>
      <c r="G28" s="1689"/>
      <c r="H28" s="1689"/>
      <c r="I28" s="1708"/>
      <c r="J28" s="1689"/>
      <c r="K28" s="1689"/>
      <c r="L28" s="1689"/>
      <c r="M28" s="1708"/>
      <c r="N28" s="1708"/>
      <c r="O28" s="1708"/>
      <c r="P28" s="1711"/>
      <c r="Q28" s="750"/>
      <c r="R28" s="41"/>
      <c r="S28" s="416"/>
      <c r="T28" s="417"/>
      <c r="U28" s="751"/>
    </row>
    <row r="29" spans="1:29">
      <c r="C29" s="765" t="s">
        <v>149</v>
      </c>
      <c r="D29" s="2062"/>
      <c r="E29" s="1669"/>
      <c r="F29" s="1689"/>
      <c r="G29" s="1689"/>
      <c r="H29" s="1689"/>
      <c r="I29" s="1708"/>
      <c r="J29" s="1689"/>
      <c r="K29" s="1689"/>
      <c r="L29" s="1689"/>
      <c r="M29" s="1708"/>
      <c r="N29" s="1708"/>
      <c r="O29" s="1708"/>
      <c r="P29" s="1711"/>
      <c r="Q29" s="750"/>
      <c r="R29" s="41"/>
      <c r="S29" s="416"/>
      <c r="T29" s="417"/>
      <c r="U29" s="751"/>
    </row>
    <row r="30" spans="1:29">
      <c r="A30" s="25" t="s">
        <v>140</v>
      </c>
      <c r="B30" s="25" t="s">
        <v>197</v>
      </c>
      <c r="C30" s="782" t="s">
        <v>314</v>
      </c>
      <c r="D30" s="2063">
        <v>0</v>
      </c>
      <c r="E30" s="783">
        <f>+registry_o!D128</f>
        <v>1250000</v>
      </c>
      <c r="F30" s="783">
        <f>+registry_o!E128</f>
        <v>2500000</v>
      </c>
      <c r="G30" s="783">
        <f>+registry_o!F128</f>
        <v>3750000</v>
      </c>
      <c r="H30" s="783">
        <f>+registry_o!G128</f>
        <v>5000000</v>
      </c>
      <c r="I30" s="783">
        <f>+registry_o!H128</f>
        <v>6250000</v>
      </c>
      <c r="J30" s="783">
        <f>+registry_o!I128</f>
        <v>7500000</v>
      </c>
      <c r="K30" s="783">
        <f>+registry_o!J128</f>
        <v>8750000</v>
      </c>
      <c r="L30" s="783">
        <f>+registry_o!K128</f>
        <v>9000000</v>
      </c>
      <c r="M30" s="783">
        <f>+registry_o!L128</f>
        <v>11700000</v>
      </c>
      <c r="N30" s="783">
        <f>+registry_o!M128</f>
        <v>16700000</v>
      </c>
      <c r="O30" s="783">
        <f>+registry_o!N128</f>
        <v>21700000</v>
      </c>
      <c r="P30" s="783">
        <f>+registry_o!O128</f>
        <v>26700000</v>
      </c>
      <c r="R30" s="41"/>
    </row>
    <row r="31" spans="1:29">
      <c r="C31" s="782" t="s">
        <v>315</v>
      </c>
      <c r="D31" s="2071">
        <v>0</v>
      </c>
      <c r="E31" s="1670">
        <v>-250000</v>
      </c>
      <c r="F31" s="1690">
        <v>-250000</v>
      </c>
      <c r="G31" s="1690">
        <v>-250000</v>
      </c>
      <c r="H31" s="1690">
        <v>-250000</v>
      </c>
      <c r="I31" s="1670">
        <v>-250000</v>
      </c>
      <c r="J31" s="1690">
        <v>-250000</v>
      </c>
      <c r="K31" s="1690">
        <v>-250000</v>
      </c>
      <c r="L31" s="1690">
        <v>-250000</v>
      </c>
      <c r="M31" s="1670">
        <v>-1000000</v>
      </c>
      <c r="N31" s="1670">
        <v>-1000000</v>
      </c>
      <c r="O31" s="1670">
        <v>-1000000</v>
      </c>
      <c r="P31" s="1654">
        <v>-1000000</v>
      </c>
      <c r="R31" s="41"/>
    </row>
    <row r="32" spans="1:29">
      <c r="C32" s="782"/>
      <c r="D32" s="1707"/>
      <c r="E32" s="834"/>
      <c r="F32" s="1686"/>
      <c r="G32" s="1686"/>
      <c r="H32" s="1686"/>
      <c r="I32" s="834"/>
      <c r="J32" s="1686"/>
      <c r="K32" s="1686"/>
      <c r="L32" s="1686"/>
      <c r="M32" s="834"/>
      <c r="N32" s="834"/>
      <c r="O32" s="834"/>
      <c r="P32" s="836"/>
      <c r="R32" s="41"/>
    </row>
    <row r="33" spans="1:21">
      <c r="C33" s="797" t="s">
        <v>316</v>
      </c>
      <c r="D33" s="2072"/>
      <c r="E33" s="1673"/>
      <c r="F33" s="1696"/>
      <c r="G33" s="1696"/>
      <c r="H33" s="1696"/>
      <c r="I33" s="1673"/>
      <c r="J33" s="1696"/>
      <c r="K33" s="1696"/>
      <c r="L33" s="1696"/>
      <c r="M33" s="1673"/>
      <c r="N33" s="1673"/>
      <c r="O33" s="1673"/>
      <c r="P33" s="1657"/>
      <c r="R33" s="41"/>
    </row>
    <row r="34" spans="1:21">
      <c r="C34" s="5" t="s">
        <v>199</v>
      </c>
      <c r="D34" s="2073"/>
      <c r="E34" s="1674"/>
      <c r="F34" s="1697"/>
      <c r="G34" s="1591"/>
      <c r="H34" s="1697"/>
      <c r="I34" s="47"/>
      <c r="J34" s="1697"/>
      <c r="K34" s="1697"/>
      <c r="L34" s="1697"/>
      <c r="M34" s="56"/>
      <c r="N34" s="56"/>
      <c r="O34" s="56"/>
      <c r="P34" s="396"/>
      <c r="R34" s="41"/>
    </row>
    <row r="35" spans="1:21">
      <c r="A35" s="25" t="s">
        <v>123</v>
      </c>
      <c r="B35" s="25" t="s">
        <v>124</v>
      </c>
      <c r="C35" t="s">
        <v>317</v>
      </c>
      <c r="D35" s="2074">
        <v>1562074</v>
      </c>
      <c r="E35" s="1675">
        <f>+registry_o!D6</f>
        <v>3250000</v>
      </c>
      <c r="F35" s="1698">
        <f>+registry_o!E6</f>
        <v>3388588</v>
      </c>
      <c r="G35" s="1698">
        <f>+registry_o!F6</f>
        <v>1475962</v>
      </c>
      <c r="H35" s="1698">
        <f>+registry_o!G6</f>
        <v>8336733</v>
      </c>
      <c r="I35" s="1675">
        <f>+registry_o!H6</f>
        <v>0</v>
      </c>
      <c r="J35" s="1698">
        <f>+registry_o!I6</f>
        <v>0</v>
      </c>
      <c r="K35" s="1698">
        <f>+registry_o!J6</f>
        <v>0</v>
      </c>
      <c r="L35" s="1698">
        <f>+registry_o!K6</f>
        <v>0</v>
      </c>
      <c r="M35" s="1675">
        <f>+registry_o!L6</f>
        <v>664696</v>
      </c>
      <c r="N35" s="1675">
        <f>+registry_o!M6</f>
        <v>3762565</v>
      </c>
      <c r="O35" s="1675">
        <f>+registry_o!N6</f>
        <v>20842800</v>
      </c>
      <c r="P35" s="1658">
        <f>+registry_o!O6</f>
        <v>4123684</v>
      </c>
      <c r="R35" s="41"/>
    </row>
    <row r="36" spans="1:21">
      <c r="A36" s="25" t="s">
        <v>129</v>
      </c>
      <c r="B36" s="25" t="s">
        <v>124</v>
      </c>
      <c r="C36" t="s">
        <v>227</v>
      </c>
      <c r="D36" s="2074">
        <v>814451.63400000008</v>
      </c>
      <c r="E36" s="1675">
        <f>+registry_o!D16</f>
        <v>5515000</v>
      </c>
      <c r="F36" s="1698">
        <f>+registry_o!E16</f>
        <v>0</v>
      </c>
      <c r="G36" s="1698">
        <f>+registry_o!F16</f>
        <v>525000</v>
      </c>
      <c r="H36" s="1698">
        <f>+registry_o!G16</f>
        <v>0</v>
      </c>
      <c r="I36" s="1675">
        <f>+registry_o!H16</f>
        <v>0</v>
      </c>
      <c r="J36" s="1698">
        <f>+registry_o!I16</f>
        <v>0</v>
      </c>
      <c r="K36" s="1698">
        <f>+registry_o!J16</f>
        <v>0</v>
      </c>
      <c r="L36" s="1698">
        <f>+registry_o!K16</f>
        <v>0</v>
      </c>
      <c r="M36" s="1675">
        <f>+registry_o!L16</f>
        <v>0</v>
      </c>
      <c r="N36" s="1675">
        <f>+registry_o!M16</f>
        <v>0</v>
      </c>
      <c r="O36" s="1675">
        <f>+registry_o!N16</f>
        <v>0</v>
      </c>
      <c r="P36" s="1658">
        <f>+registry_o!O16</f>
        <v>0</v>
      </c>
      <c r="R36" s="41"/>
    </row>
    <row r="37" spans="1:21">
      <c r="A37" s="25" t="s">
        <v>136</v>
      </c>
      <c r="B37" s="25" t="s">
        <v>124</v>
      </c>
      <c r="C37" t="s">
        <v>229</v>
      </c>
      <c r="D37" s="2074">
        <v>0</v>
      </c>
      <c r="E37" s="1675">
        <f>+registry_o!D30</f>
        <v>0</v>
      </c>
      <c r="F37" s="1698">
        <f>+registry_o!E30</f>
        <v>0</v>
      </c>
      <c r="G37" s="1698">
        <f>+registry_o!F30</f>
        <v>0</v>
      </c>
      <c r="H37" s="1698">
        <f>+registry_o!G30</f>
        <v>350000</v>
      </c>
      <c r="I37" s="1675">
        <f>+registry_o!H30</f>
        <v>0</v>
      </c>
      <c r="J37" s="1698">
        <f>+registry_o!I30</f>
        <v>350000</v>
      </c>
      <c r="K37" s="1698">
        <f>+registry_o!J30</f>
        <v>0</v>
      </c>
      <c r="L37" s="1698">
        <f>+registry_o!K30</f>
        <v>0</v>
      </c>
      <c r="M37" s="1675">
        <f>+registry_o!L30</f>
        <v>24375000</v>
      </c>
      <c r="N37" s="1675">
        <f>+registry_o!M30</f>
        <v>0</v>
      </c>
      <c r="O37" s="1675">
        <f>+registry_o!N30</f>
        <v>986337.26881601196</v>
      </c>
      <c r="P37" s="1658">
        <f>+registry_o!O30</f>
        <v>1371287</v>
      </c>
      <c r="R37" s="41"/>
      <c r="T37" s="413"/>
      <c r="U37" s="73"/>
    </row>
    <row r="38" spans="1:21">
      <c r="A38" s="25" t="s">
        <v>137</v>
      </c>
      <c r="B38" s="25" t="s">
        <v>124</v>
      </c>
      <c r="C38" t="s">
        <v>318</v>
      </c>
      <c r="D38" s="2074">
        <v>0</v>
      </c>
      <c r="E38" s="1675">
        <f>+registry_o!D36</f>
        <v>0</v>
      </c>
      <c r="F38" s="1698">
        <f>+registry_o!E36</f>
        <v>0</v>
      </c>
      <c r="G38" s="1698">
        <f>+registry_o!F36</f>
        <v>0</v>
      </c>
      <c r="H38" s="1698">
        <f>+registry_o!G36</f>
        <v>0</v>
      </c>
      <c r="I38" s="1675">
        <f>+registry_o!H36</f>
        <v>2400000</v>
      </c>
      <c r="J38" s="1698">
        <f>+registry_o!I36</f>
        <v>3600000</v>
      </c>
      <c r="K38" s="1698">
        <f>+registry_o!J36</f>
        <v>0</v>
      </c>
      <c r="L38" s="1698">
        <f>+registry_o!K36</f>
        <v>16900000</v>
      </c>
      <c r="M38" s="1675">
        <f>+registry_o!L36</f>
        <v>0</v>
      </c>
      <c r="N38" s="1675">
        <f>+registry_o!M36</f>
        <v>0</v>
      </c>
      <c r="O38" s="1675">
        <f>+registry_o!N36</f>
        <v>0</v>
      </c>
      <c r="P38" s="1658">
        <f>+registry_o!O36</f>
        <v>0</v>
      </c>
      <c r="R38" s="41"/>
      <c r="T38" s="413"/>
      <c r="U38" s="73"/>
    </row>
    <row r="39" spans="1:21">
      <c r="C39" t="s">
        <v>319</v>
      </c>
      <c r="D39" s="2074">
        <f>sat_cs2!B24</f>
        <v>0</v>
      </c>
      <c r="E39" s="2074">
        <f>sat_cs2!C24</f>
        <v>0</v>
      </c>
      <c r="F39" s="2074">
        <f>sat_cs2!D24</f>
        <v>0</v>
      </c>
      <c r="G39" s="2074">
        <f>sat_cs2!E24</f>
        <v>0</v>
      </c>
      <c r="H39" s="2074">
        <f>sat_cs2!F24</f>
        <v>0</v>
      </c>
      <c r="I39" s="2074">
        <f>sat_cs2!G24</f>
        <v>0</v>
      </c>
      <c r="J39" s="2074">
        <f>sat_cs2!H24</f>
        <v>0</v>
      </c>
      <c r="K39" s="2074">
        <f>sat_cs2!I24</f>
        <v>0</v>
      </c>
      <c r="L39" s="2074">
        <f>sat_cs2!J24</f>
        <v>0</v>
      </c>
      <c r="M39" s="2074">
        <f>sat_cs2!K24</f>
        <v>0</v>
      </c>
      <c r="N39" s="2074">
        <f>sat_cs2!L24</f>
        <v>20862012.987012967</v>
      </c>
      <c r="O39" s="2074">
        <f>sat_cs2!M24</f>
        <v>0</v>
      </c>
      <c r="P39" s="2074">
        <f>sat_cs2!N24</f>
        <v>1750000</v>
      </c>
      <c r="R39" s="41"/>
      <c r="T39" s="413"/>
      <c r="U39" s="73"/>
    </row>
    <row r="40" spans="1:21">
      <c r="A40" s="25" t="s">
        <v>138</v>
      </c>
      <c r="B40" s="25" t="s">
        <v>124</v>
      </c>
      <c r="C40" t="s">
        <v>320</v>
      </c>
      <c r="D40" s="2074">
        <v>0</v>
      </c>
      <c r="E40" s="1675">
        <f>+registry_o!D43</f>
        <v>0</v>
      </c>
      <c r="F40" s="1698">
        <f>+registry_o!E43</f>
        <v>2500000</v>
      </c>
      <c r="G40" s="1698">
        <f>+registry_o!F43</f>
        <v>2500000</v>
      </c>
      <c r="H40" s="1698">
        <f>+registry_o!G43</f>
        <v>6137500</v>
      </c>
      <c r="I40" s="1675">
        <f>+registry_o!H43</f>
        <v>5640000</v>
      </c>
      <c r="J40" s="1698">
        <f>+registry_o!I43</f>
        <v>7300000</v>
      </c>
      <c r="K40" s="1698">
        <f>+registry_o!J43</f>
        <v>0</v>
      </c>
      <c r="L40" s="1698">
        <f>+registry_o!K43</f>
        <v>0</v>
      </c>
      <c r="M40" s="1675">
        <f>+registry_o!L43</f>
        <v>0</v>
      </c>
      <c r="N40" s="1675">
        <f>+registry_o!M43</f>
        <v>0</v>
      </c>
      <c r="O40" s="1675">
        <f>+registry_o!N43</f>
        <v>0</v>
      </c>
      <c r="P40" s="1658">
        <f>+registry_o!O43</f>
        <v>0</v>
      </c>
      <c r="R40" s="41"/>
      <c r="T40" s="413"/>
      <c r="U40" s="73"/>
    </row>
    <row r="41" spans="1:21">
      <c r="C41" s="799" t="s">
        <v>321</v>
      </c>
      <c r="D41" s="2075">
        <v>2376525.6340000001</v>
      </c>
      <c r="E41" s="1676">
        <f t="shared" ref="E41:P41" si="5">SUM(E35:E40)</f>
        <v>8765000</v>
      </c>
      <c r="F41" s="1699">
        <f t="shared" si="5"/>
        <v>5888588</v>
      </c>
      <c r="G41" s="1699">
        <f t="shared" si="5"/>
        <v>4500962</v>
      </c>
      <c r="H41" s="1699">
        <f t="shared" si="5"/>
        <v>14824233</v>
      </c>
      <c r="I41" s="1676">
        <f t="shared" si="5"/>
        <v>8040000</v>
      </c>
      <c r="J41" s="1699">
        <f t="shared" si="5"/>
        <v>11250000</v>
      </c>
      <c r="K41" s="1699">
        <f t="shared" si="5"/>
        <v>0</v>
      </c>
      <c r="L41" s="1699">
        <f t="shared" si="5"/>
        <v>16900000</v>
      </c>
      <c r="M41" s="1676">
        <f t="shared" si="5"/>
        <v>25039696</v>
      </c>
      <c r="N41" s="1676">
        <f t="shared" si="5"/>
        <v>24624577.987012967</v>
      </c>
      <c r="O41" s="1676">
        <f t="shared" si="5"/>
        <v>21829137.268816013</v>
      </c>
      <c r="P41" s="1659">
        <f t="shared" si="5"/>
        <v>7244971</v>
      </c>
      <c r="R41" s="41"/>
      <c r="U41" s="187"/>
    </row>
    <row r="42" spans="1:21">
      <c r="C42" s="5" t="s">
        <v>322</v>
      </c>
      <c r="D42" s="2074"/>
      <c r="E42" s="1675"/>
      <c r="F42" s="1591"/>
      <c r="G42" s="1591"/>
      <c r="H42" s="1591"/>
      <c r="I42" s="47"/>
      <c r="J42" s="1698"/>
      <c r="K42" s="1698"/>
      <c r="L42" s="1698"/>
      <c r="M42" s="47"/>
      <c r="N42" s="47"/>
      <c r="O42" s="47"/>
      <c r="P42" s="319"/>
      <c r="R42" s="41"/>
    </row>
    <row r="43" spans="1:21">
      <c r="A43" s="25" t="s">
        <v>123</v>
      </c>
      <c r="B43" s="25" t="s">
        <v>125</v>
      </c>
      <c r="C43" t="s">
        <v>317</v>
      </c>
      <c r="D43" s="2074">
        <v>0</v>
      </c>
      <c r="E43" s="1675">
        <f>+registry_o!D7</f>
        <v>-125000</v>
      </c>
      <c r="F43" s="1698">
        <f>+registry_o!E7</f>
        <v>-3717883</v>
      </c>
      <c r="G43" s="1698">
        <f>+registry_o!F7</f>
        <v>-3472013.2675276021</v>
      </c>
      <c r="H43" s="1698">
        <f>+registry_o!G7</f>
        <v>0</v>
      </c>
      <c r="I43" s="1675">
        <f>+registry_o!H7</f>
        <v>0</v>
      </c>
      <c r="J43" s="1698">
        <f>+registry_o!I7</f>
        <v>0</v>
      </c>
      <c r="K43" s="1698">
        <f>+registry_o!J7</f>
        <v>0</v>
      </c>
      <c r="L43" s="1698">
        <f>+registry_o!K7</f>
        <v>-4604401.1674821461</v>
      </c>
      <c r="M43" s="1675">
        <f>+registry_o!L7</f>
        <v>0</v>
      </c>
      <c r="N43" s="1675">
        <f>+registry_o!M7</f>
        <v>0</v>
      </c>
      <c r="O43" s="1675">
        <f>+registry_o!N7</f>
        <v>-2000000</v>
      </c>
      <c r="P43" s="1658">
        <f>+registry_o!O7</f>
        <v>0</v>
      </c>
      <c r="R43" s="41"/>
    </row>
    <row r="44" spans="1:21">
      <c r="A44" s="25" t="s">
        <v>129</v>
      </c>
      <c r="B44" s="25" t="s">
        <v>125</v>
      </c>
      <c r="C44" t="s">
        <v>227</v>
      </c>
      <c r="D44" s="2074">
        <v>0</v>
      </c>
      <c r="E44" s="1675">
        <f>+registry_o!D17</f>
        <v>-50000</v>
      </c>
      <c r="F44" s="1698">
        <f>+registry_o!E17</f>
        <v>-2025000</v>
      </c>
      <c r="G44" s="1698">
        <f>+registry_o!F17</f>
        <v>-230000</v>
      </c>
      <c r="H44" s="1698">
        <f>+registry_o!G17</f>
        <v>-289495</v>
      </c>
      <c r="I44" s="1675">
        <f>+registry_o!H17</f>
        <v>-1750000</v>
      </c>
      <c r="J44" s="1698">
        <f>+registry_o!I17</f>
        <v>-3420000</v>
      </c>
      <c r="K44" s="1698">
        <f>+registry_o!J17</f>
        <v>0</v>
      </c>
      <c r="L44" s="1698">
        <f>+registry_o!K17</f>
        <v>-750000</v>
      </c>
      <c r="M44" s="1675">
        <f>+registry_o!L17</f>
        <v>0</v>
      </c>
      <c r="N44" s="1675">
        <f>+registry_o!M17</f>
        <v>-15106831.160182964</v>
      </c>
      <c r="O44" s="1675">
        <f>+registry_o!N17</f>
        <v>0</v>
      </c>
      <c r="P44" s="1658">
        <f>+registry_o!O17</f>
        <v>0</v>
      </c>
      <c r="R44" s="41"/>
    </row>
    <row r="45" spans="1:21">
      <c r="A45" s="25" t="s">
        <v>136</v>
      </c>
      <c r="B45" s="25" t="s">
        <v>125</v>
      </c>
      <c r="C45" t="s">
        <v>229</v>
      </c>
      <c r="D45" s="2074">
        <v>0</v>
      </c>
      <c r="E45" s="1675">
        <f>+registry_o!D31</f>
        <v>-382967</v>
      </c>
      <c r="F45" s="1698">
        <f>+registry_o!E31</f>
        <v>-2326328</v>
      </c>
      <c r="G45" s="1698">
        <f>+registry_o!F31</f>
        <v>-3292886</v>
      </c>
      <c r="H45" s="1698">
        <f>+registry_o!G31</f>
        <v>-5106622</v>
      </c>
      <c r="I45" s="1675">
        <f>+registry_o!H31</f>
        <v>-420000</v>
      </c>
      <c r="J45" s="1698">
        <f>+registry_o!I31</f>
        <v>-200000</v>
      </c>
      <c r="K45" s="1698">
        <f>+registry_o!J31</f>
        <v>-150000</v>
      </c>
      <c r="L45" s="1698">
        <f>+registry_o!K31</f>
        <v>-550000</v>
      </c>
      <c r="M45" s="1675">
        <f>+registry_o!L31</f>
        <v>-1361095.8904109588</v>
      </c>
      <c r="N45" s="1675">
        <f>+registry_o!M31</f>
        <v>0</v>
      </c>
      <c r="O45" s="1675">
        <f>+registry_o!N31</f>
        <v>0</v>
      </c>
      <c r="P45" s="1658">
        <f>+registry_o!O31</f>
        <v>0</v>
      </c>
      <c r="R45" s="41"/>
    </row>
    <row r="46" spans="1:21">
      <c r="A46" s="25" t="s">
        <v>137</v>
      </c>
      <c r="B46" s="25" t="s">
        <v>125</v>
      </c>
      <c r="C46" t="s">
        <v>318</v>
      </c>
      <c r="D46" s="2074">
        <v>0</v>
      </c>
      <c r="E46" s="1675">
        <f>+registry_o!D37</f>
        <v>0</v>
      </c>
      <c r="F46" s="1698">
        <f>+registry_o!E37</f>
        <v>0</v>
      </c>
      <c r="G46" s="1698">
        <f>+registry_o!F37</f>
        <v>0</v>
      </c>
      <c r="H46" s="1698">
        <f>+registry_o!G37</f>
        <v>-860000</v>
      </c>
      <c r="I46" s="1675">
        <f>+registry_o!H37</f>
        <v>0</v>
      </c>
      <c r="J46" s="1698">
        <f>+registry_o!I37</f>
        <v>-1750000</v>
      </c>
      <c r="K46" s="1698">
        <f>+registry_o!J37</f>
        <v>0</v>
      </c>
      <c r="L46" s="1698">
        <f>+registry_o!K37</f>
        <v>0</v>
      </c>
      <c r="M46" s="1675">
        <f>+registry_o!L37</f>
        <v>0</v>
      </c>
      <c r="N46" s="1675">
        <f>+registry_o!M37</f>
        <v>0</v>
      </c>
      <c r="O46" s="1675">
        <f>+registry_o!N37</f>
        <v>0</v>
      </c>
      <c r="P46" s="1658">
        <f>+registry_o!O37</f>
        <v>0</v>
      </c>
      <c r="R46" s="41"/>
    </row>
    <row r="47" spans="1:21">
      <c r="C47" t="s">
        <v>319</v>
      </c>
      <c r="D47" s="2074">
        <f>sat_cs2!B17</f>
        <v>0</v>
      </c>
      <c r="E47" s="2074">
        <f>sat_cs2!C17</f>
        <v>0</v>
      </c>
      <c r="F47" s="2074">
        <f>sat_cs2!D17</f>
        <v>0</v>
      </c>
      <c r="G47" s="2074">
        <f>sat_cs2!E17</f>
        <v>0</v>
      </c>
      <c r="H47" s="2074">
        <f>sat_cs2!F17</f>
        <v>0</v>
      </c>
      <c r="I47" s="2074">
        <f>sat_cs2!G17</f>
        <v>0</v>
      </c>
      <c r="J47" s="2074">
        <f>sat_cs2!H17</f>
        <v>0</v>
      </c>
      <c r="K47" s="2074">
        <f>sat_cs2!I17</f>
        <v>0</v>
      </c>
      <c r="L47" s="2074">
        <f>sat_cs2!J17</f>
        <v>-16000000</v>
      </c>
      <c r="M47" s="2074">
        <f>sat_cs2!K17</f>
        <v>0</v>
      </c>
      <c r="N47" s="2074">
        <f>sat_cs2!L17</f>
        <v>0</v>
      </c>
      <c r="O47" s="2074">
        <f>sat_cs2!M17</f>
        <v>0</v>
      </c>
      <c r="P47" s="2074">
        <f>sat_cs2!N17</f>
        <v>0</v>
      </c>
      <c r="R47" s="41"/>
    </row>
    <row r="48" spans="1:21">
      <c r="A48" s="25" t="s">
        <v>138</v>
      </c>
      <c r="B48" s="25" t="s">
        <v>125</v>
      </c>
      <c r="C48" t="s">
        <v>320</v>
      </c>
      <c r="D48" s="2074">
        <v>0</v>
      </c>
      <c r="E48" s="1675">
        <f>+registry_o!D44</f>
        <v>-2500000</v>
      </c>
      <c r="F48" s="1698">
        <f>+registry_o!E44</f>
        <v>0</v>
      </c>
      <c r="G48" s="1698">
        <f>+registry_o!F44</f>
        <v>0</v>
      </c>
      <c r="H48" s="1698">
        <f>+registry_o!G44</f>
        <v>0</v>
      </c>
      <c r="I48" s="1675">
        <f>+registry_o!H44</f>
        <v>-1000000</v>
      </c>
      <c r="J48" s="1698">
        <f>+registry_o!I44</f>
        <v>-2040000</v>
      </c>
      <c r="K48" s="1698">
        <f>+registry_o!J44</f>
        <v>-2000000</v>
      </c>
      <c r="L48" s="1698">
        <f>+registry_o!K44</f>
        <v>-8250000</v>
      </c>
      <c r="M48" s="1675">
        <f>+registry_o!L44</f>
        <v>0</v>
      </c>
      <c r="N48" s="1675">
        <f>+registry_o!M44</f>
        <v>0</v>
      </c>
      <c r="O48" s="1675">
        <f>+registry_o!N44</f>
        <v>-15000000</v>
      </c>
      <c r="P48" s="1658">
        <f>+registry_o!O44</f>
        <v>0</v>
      </c>
      <c r="R48" s="41"/>
    </row>
    <row r="49" spans="1:21">
      <c r="C49" s="66" t="s">
        <v>323</v>
      </c>
      <c r="D49" s="2075">
        <v>0</v>
      </c>
      <c r="E49" s="1676">
        <f t="shared" ref="E49:P49" si="6">SUM(E43:E48)</f>
        <v>-3057967</v>
      </c>
      <c r="F49" s="1700">
        <f t="shared" si="6"/>
        <v>-8069211</v>
      </c>
      <c r="G49" s="1700">
        <f t="shared" si="6"/>
        <v>-6994899.2675276026</v>
      </c>
      <c r="H49" s="1700">
        <f t="shared" si="6"/>
        <v>-6256117</v>
      </c>
      <c r="I49" s="135">
        <f t="shared" si="6"/>
        <v>-3170000</v>
      </c>
      <c r="J49" s="1699">
        <f t="shared" si="6"/>
        <v>-7410000</v>
      </c>
      <c r="K49" s="1699">
        <f t="shared" si="6"/>
        <v>-2150000</v>
      </c>
      <c r="L49" s="1699">
        <f t="shared" si="6"/>
        <v>-30154401.167482145</v>
      </c>
      <c r="M49" s="135">
        <f t="shared" si="6"/>
        <v>-1361095.8904109588</v>
      </c>
      <c r="N49" s="135">
        <f t="shared" si="6"/>
        <v>-15106831.160182964</v>
      </c>
      <c r="O49" s="135">
        <f t="shared" si="6"/>
        <v>-17000000</v>
      </c>
      <c r="P49" s="378">
        <f t="shared" si="6"/>
        <v>0</v>
      </c>
      <c r="R49" s="41"/>
      <c r="U49" s="187"/>
    </row>
    <row r="50" spans="1:21">
      <c r="D50" s="2074"/>
      <c r="E50" s="1675"/>
      <c r="F50" s="1591"/>
      <c r="G50" s="1591"/>
      <c r="H50" s="1591"/>
      <c r="I50" s="47"/>
      <c r="J50" s="1698"/>
      <c r="K50" s="1698"/>
      <c r="L50" s="1698"/>
      <c r="M50" s="47"/>
      <c r="N50" s="47"/>
      <c r="O50" s="47"/>
      <c r="P50" s="319"/>
      <c r="R50" s="41"/>
    </row>
    <row r="51" spans="1:21" ht="14.7" customHeight="1" thickBot="1">
      <c r="C51" s="756" t="s">
        <v>324</v>
      </c>
      <c r="D51" s="2076">
        <v>2376525.6340000001</v>
      </c>
      <c r="E51" s="1677">
        <f t="shared" ref="E51:P51" si="7">+E41+E49</f>
        <v>5707033</v>
      </c>
      <c r="F51" s="1701">
        <f t="shared" si="7"/>
        <v>-2180623</v>
      </c>
      <c r="G51" s="1701">
        <f t="shared" si="7"/>
        <v>-2493937.2675276026</v>
      </c>
      <c r="H51" s="1701">
        <f t="shared" si="7"/>
        <v>8568116</v>
      </c>
      <c r="I51" s="1677">
        <f t="shared" si="7"/>
        <v>4870000</v>
      </c>
      <c r="J51" s="1701">
        <f t="shared" si="7"/>
        <v>3840000</v>
      </c>
      <c r="K51" s="1701">
        <f t="shared" si="7"/>
        <v>-2150000</v>
      </c>
      <c r="L51" s="1701">
        <f t="shared" si="7"/>
        <v>-13254401.167482145</v>
      </c>
      <c r="M51" s="1677">
        <f t="shared" si="7"/>
        <v>23678600.10958904</v>
      </c>
      <c r="N51" s="1677">
        <f t="shared" si="7"/>
        <v>9517746.8268300034</v>
      </c>
      <c r="O51" s="1677">
        <f t="shared" si="7"/>
        <v>4829137.2688160129</v>
      </c>
      <c r="P51" s="1660">
        <f t="shared" si="7"/>
        <v>7244971</v>
      </c>
      <c r="R51" s="41"/>
      <c r="U51" s="187"/>
    </row>
    <row r="52" spans="1:21">
      <c r="C52" s="768"/>
      <c r="D52" s="2073"/>
      <c r="E52" s="1674"/>
      <c r="F52" s="1697"/>
      <c r="G52" s="1697"/>
      <c r="H52" s="1697"/>
      <c r="I52" s="1674"/>
      <c r="J52" s="1697"/>
      <c r="K52" s="1697"/>
      <c r="L52" s="1697"/>
      <c r="M52" s="56"/>
      <c r="N52" s="56"/>
      <c r="O52" s="56"/>
      <c r="P52" s="396"/>
      <c r="R52" s="41"/>
    </row>
    <row r="53" spans="1:21">
      <c r="C53" s="797" t="s">
        <v>325</v>
      </c>
      <c r="D53" s="2072"/>
      <c r="E53" s="1673"/>
      <c r="F53" s="1696"/>
      <c r="G53" s="1696"/>
      <c r="H53" s="1696"/>
      <c r="I53" s="1673"/>
      <c r="J53" s="1696"/>
      <c r="K53" s="1696"/>
      <c r="L53" s="1696"/>
      <c r="M53" s="1673"/>
      <c r="N53" s="1673"/>
      <c r="O53" s="1673"/>
      <c r="P53" s="1657"/>
      <c r="R53" s="41"/>
    </row>
    <row r="54" spans="1:21">
      <c r="C54" s="765"/>
      <c r="D54" s="2072"/>
      <c r="E54" s="1673"/>
      <c r="F54" s="1696"/>
      <c r="G54" s="1696"/>
      <c r="H54" s="1696"/>
      <c r="I54" s="1673"/>
      <c r="J54" s="1696"/>
      <c r="K54" s="1696"/>
      <c r="L54" s="1696"/>
      <c r="M54" s="1673"/>
      <c r="N54" s="1673"/>
      <c r="O54" s="1673"/>
      <c r="P54" s="1657"/>
      <c r="R54" s="41"/>
    </row>
    <row r="55" spans="1:21">
      <c r="C55" s="765" t="s">
        <v>199</v>
      </c>
      <c r="D55" s="2072"/>
      <c r="E55" s="1673"/>
      <c r="F55" s="1696"/>
      <c r="G55" s="1696"/>
      <c r="H55" s="1696"/>
      <c r="I55" s="1673"/>
      <c r="J55" s="1696"/>
      <c r="K55" s="1696"/>
      <c r="L55" s="1696"/>
      <c r="M55" s="1673"/>
      <c r="N55" s="1673"/>
      <c r="O55" s="1673"/>
      <c r="P55" s="1657"/>
      <c r="R55" s="41"/>
    </row>
    <row r="56" spans="1:21">
      <c r="A56" s="25" t="s">
        <v>198</v>
      </c>
      <c r="B56" s="25" t="s">
        <v>199</v>
      </c>
      <c r="C56" s="768" t="s">
        <v>326</v>
      </c>
      <c r="D56" s="2063">
        <v>0</v>
      </c>
      <c r="E56" s="783">
        <f>+registry_o!D129</f>
        <v>0</v>
      </c>
      <c r="F56" s="783">
        <f>+registry_o!E129</f>
        <v>23600000</v>
      </c>
      <c r="G56" s="783">
        <f>+registry_o!F129</f>
        <v>200000</v>
      </c>
      <c r="H56" s="783">
        <f>+registry_o!G129</f>
        <v>0</v>
      </c>
      <c r="I56" s="783">
        <f>+registry_o!H129</f>
        <v>0</v>
      </c>
      <c r="J56" s="783">
        <f>+registry_o!I129</f>
        <v>0</v>
      </c>
      <c r="K56" s="783">
        <f>+registry_o!J129</f>
        <v>0</v>
      </c>
      <c r="L56" s="783">
        <f>+registry_o!K129</f>
        <v>0</v>
      </c>
      <c r="M56" s="783">
        <f>+registry_o!L129</f>
        <v>0</v>
      </c>
      <c r="N56" s="783">
        <f>+registry_o!M129</f>
        <v>0</v>
      </c>
      <c r="O56" s="783">
        <f>+registry_o!N129</f>
        <v>0</v>
      </c>
      <c r="P56" s="783">
        <f>+registry_o!O129</f>
        <v>0</v>
      </c>
      <c r="R56" s="41"/>
    </row>
    <row r="57" spans="1:21">
      <c r="A57" s="25" t="s">
        <v>170</v>
      </c>
      <c r="B57" s="25" t="s">
        <v>172</v>
      </c>
      <c r="C57" s="768" t="s">
        <v>327</v>
      </c>
      <c r="D57" s="1707">
        <v>0</v>
      </c>
      <c r="E57" s="834">
        <f>+registry_o!D92</f>
        <v>6050000</v>
      </c>
      <c r="F57" s="1686">
        <f>+registry_o!E92</f>
        <v>0</v>
      </c>
      <c r="G57" s="1686">
        <f>+registry_o!F92</f>
        <v>0</v>
      </c>
      <c r="H57" s="1686">
        <f>+registry_o!G92</f>
        <v>1200000</v>
      </c>
      <c r="I57" s="834">
        <f>+registry_o!H92</f>
        <v>1500000</v>
      </c>
      <c r="J57" s="1686">
        <f>+registry_o!I92</f>
        <v>1000000</v>
      </c>
      <c r="K57" s="1686">
        <f>+registry_o!J92</f>
        <v>0</v>
      </c>
      <c r="L57" s="1686">
        <f>+registry_o!K92</f>
        <v>3000000</v>
      </c>
      <c r="M57" s="834">
        <f>+registry_o!L92</f>
        <v>0</v>
      </c>
      <c r="N57" s="834">
        <f>+registry_o!M92</f>
        <v>0</v>
      </c>
      <c r="O57" s="834">
        <f>+registry_o!N92</f>
        <v>0</v>
      </c>
      <c r="P57" s="836">
        <f>+registry_o!O92</f>
        <v>0</v>
      </c>
      <c r="R57" s="41"/>
    </row>
    <row r="58" spans="1:21">
      <c r="A58" s="25" t="s">
        <v>173</v>
      </c>
      <c r="B58" s="25" t="s">
        <v>175</v>
      </c>
      <c r="C58" s="768" t="s">
        <v>328</v>
      </c>
      <c r="D58" s="1707">
        <v>23600000</v>
      </c>
      <c r="E58" s="834">
        <f>+registry_o!D96</f>
        <v>500000</v>
      </c>
      <c r="F58" s="1686">
        <f>+registry_o!E96</f>
        <v>100000</v>
      </c>
      <c r="G58" s="1686">
        <f>+registry_o!F96</f>
        <v>0</v>
      </c>
      <c r="H58" s="1686">
        <f>+registry_o!G96</f>
        <v>2250000</v>
      </c>
      <c r="I58" s="834">
        <f>+registry_o!H96</f>
        <v>250000</v>
      </c>
      <c r="J58" s="1686">
        <f>+registry_o!I96</f>
        <v>4000000</v>
      </c>
      <c r="K58" s="1686">
        <f>+registry_o!J96</f>
        <v>0</v>
      </c>
      <c r="L58" s="1686">
        <f>+registry_o!K96</f>
        <v>0</v>
      </c>
      <c r="M58" s="834">
        <f>+registry_o!L96</f>
        <v>0</v>
      </c>
      <c r="N58" s="834">
        <f>+registry_o!M96</f>
        <v>0</v>
      </c>
      <c r="O58" s="834">
        <f>+registry_o!N96</f>
        <v>0</v>
      </c>
      <c r="P58" s="836">
        <f>+registry_o!O96</f>
        <v>0</v>
      </c>
      <c r="R58" s="41"/>
    </row>
    <row r="59" spans="1:21">
      <c r="A59" s="25" t="s">
        <v>177</v>
      </c>
      <c r="B59" s="25" t="s">
        <v>178</v>
      </c>
      <c r="C59" s="768" t="s">
        <v>329</v>
      </c>
      <c r="D59" s="2063">
        <v>62241.099999999977</v>
      </c>
      <c r="E59" s="783">
        <f>+registry_o!D101</f>
        <v>-86000</v>
      </c>
      <c r="F59" s="783">
        <f>+registry_o!E101</f>
        <v>142999.85000000009</v>
      </c>
      <c r="G59" s="783">
        <f>+registry_o!F101</f>
        <v>0</v>
      </c>
      <c r="H59" s="783">
        <f>+registry_o!G101</f>
        <v>1625000</v>
      </c>
      <c r="I59" s="783">
        <f>+registry_o!H101</f>
        <v>0</v>
      </c>
      <c r="J59" s="783">
        <f>+registry_o!I101</f>
        <v>0</v>
      </c>
      <c r="K59" s="783">
        <f>+registry_o!J101</f>
        <v>0</v>
      </c>
      <c r="L59" s="783">
        <f>+registry_o!K101</f>
        <v>16000000</v>
      </c>
      <c r="M59" s="783">
        <f>+registry_o!L101</f>
        <v>0</v>
      </c>
      <c r="N59" s="783">
        <f>+registry_o!M101</f>
        <v>0</v>
      </c>
      <c r="O59" s="783">
        <f>+registry_o!N101</f>
        <v>0</v>
      </c>
      <c r="P59" s="783">
        <f>+registry_o!O101</f>
        <v>0</v>
      </c>
      <c r="R59" s="41"/>
    </row>
    <row r="60" spans="1:21">
      <c r="A60" s="25" t="s">
        <v>194</v>
      </c>
      <c r="B60" s="25" t="s">
        <v>330</v>
      </c>
      <c r="C60" s="768" t="s">
        <v>180</v>
      </c>
      <c r="D60" s="2040">
        <v>6000000</v>
      </c>
      <c r="E60" s="1">
        <f>+registry_o!D132</f>
        <v>0</v>
      </c>
      <c r="F60" s="1">
        <f>+registry_o!E132</f>
        <v>0</v>
      </c>
      <c r="G60" s="1">
        <f>+registry_o!F132</f>
        <v>0</v>
      </c>
      <c r="H60" s="1">
        <f>+registry_o!G132</f>
        <v>0</v>
      </c>
      <c r="I60" s="1">
        <f>+registry_o!H132</f>
        <v>0</v>
      </c>
      <c r="J60" s="1">
        <f>+registry_o!I132</f>
        <v>0</v>
      </c>
      <c r="K60" s="1">
        <f>+registry_o!J132</f>
        <v>0</v>
      </c>
      <c r="L60" s="1">
        <f>+registry_o!K132</f>
        <v>0</v>
      </c>
      <c r="M60" s="1">
        <f>+registry_o!L132</f>
        <v>0</v>
      </c>
      <c r="N60" s="1">
        <f>+registry_o!M132</f>
        <v>0</v>
      </c>
      <c r="O60" s="1">
        <f>+registry_o!N132</f>
        <v>0</v>
      </c>
      <c r="P60" s="1">
        <f>+registry_o!O132</f>
        <v>0</v>
      </c>
      <c r="R60" s="41"/>
    </row>
    <row r="61" spans="1:21">
      <c r="C61" s="799" t="s">
        <v>321</v>
      </c>
      <c r="D61" s="2060">
        <v>29662241.100000001</v>
      </c>
      <c r="E61" s="1667">
        <f t="shared" ref="E61:P61" si="8">SUM(E56:E60)</f>
        <v>6464000</v>
      </c>
      <c r="F61" s="1702">
        <f t="shared" si="8"/>
        <v>23842999.850000001</v>
      </c>
      <c r="G61" s="1702">
        <f t="shared" si="8"/>
        <v>200000</v>
      </c>
      <c r="H61" s="1702">
        <f t="shared" si="8"/>
        <v>5075000</v>
      </c>
      <c r="I61" s="1667">
        <f t="shared" si="8"/>
        <v>1750000</v>
      </c>
      <c r="J61" s="1702">
        <f t="shared" si="8"/>
        <v>5000000</v>
      </c>
      <c r="K61" s="1702">
        <f t="shared" si="8"/>
        <v>0</v>
      </c>
      <c r="L61" s="1702">
        <f t="shared" si="8"/>
        <v>19000000</v>
      </c>
      <c r="M61" s="1667">
        <f t="shared" si="8"/>
        <v>0</v>
      </c>
      <c r="N61" s="1667">
        <f t="shared" si="8"/>
        <v>0</v>
      </c>
      <c r="O61" s="1667">
        <f t="shared" si="8"/>
        <v>0</v>
      </c>
      <c r="P61" s="1652">
        <f t="shared" si="8"/>
        <v>0</v>
      </c>
      <c r="R61" s="41"/>
      <c r="U61" s="187"/>
    </row>
    <row r="62" spans="1:21">
      <c r="C62" s="765" t="s">
        <v>200</v>
      </c>
      <c r="D62" s="2077"/>
      <c r="E62" s="1678"/>
      <c r="F62" s="1703"/>
      <c r="G62" s="1703"/>
      <c r="H62" s="1703"/>
      <c r="I62" s="1678"/>
      <c r="J62" s="1703"/>
      <c r="K62" s="1703"/>
      <c r="L62" s="1703"/>
      <c r="M62" s="1678"/>
      <c r="N62" s="1678"/>
      <c r="O62" s="1678"/>
      <c r="P62" s="1661"/>
      <c r="R62" s="41"/>
    </row>
    <row r="63" spans="1:21">
      <c r="A63" s="25" t="s">
        <v>198</v>
      </c>
      <c r="B63" s="25" t="s">
        <v>200</v>
      </c>
      <c r="C63" s="768" t="s">
        <v>326</v>
      </c>
      <c r="D63" s="2078">
        <v>0</v>
      </c>
      <c r="E63" s="798">
        <f>+registry_o!D130</f>
        <v>0</v>
      </c>
      <c r="F63" s="798">
        <f>+registry_o!E130</f>
        <v>-23600000</v>
      </c>
      <c r="G63" s="798">
        <f>+registry_o!F130</f>
        <v>0</v>
      </c>
      <c r="H63" s="798">
        <f>+registry_o!G130</f>
        <v>0</v>
      </c>
      <c r="I63" s="798">
        <f>+registry_o!H130</f>
        <v>0</v>
      </c>
      <c r="J63" s="798">
        <f>+registry_o!I130</f>
        <v>0</v>
      </c>
      <c r="K63" s="798">
        <f>+registry_o!J130</f>
        <v>0</v>
      </c>
      <c r="L63" s="798">
        <f>+registry_o!K130</f>
        <v>0</v>
      </c>
      <c r="M63" s="798">
        <f>+registry_o!L130</f>
        <v>0</v>
      </c>
      <c r="N63" s="798">
        <f>+registry_o!M130</f>
        <v>0</v>
      </c>
      <c r="O63" s="798">
        <f>+registry_o!N130</f>
        <v>0</v>
      </c>
      <c r="P63" s="798">
        <f>+registry_o!O130</f>
        <v>0</v>
      </c>
      <c r="R63" s="41"/>
    </row>
    <row r="64" spans="1:21">
      <c r="A64" s="25" t="s">
        <v>173</v>
      </c>
      <c r="B64" s="25" t="s">
        <v>176</v>
      </c>
      <c r="C64" s="768" t="s">
        <v>328</v>
      </c>
      <c r="D64" s="2074">
        <v>0</v>
      </c>
      <c r="E64" s="1675">
        <f>+registry_o!D97</f>
        <v>-2098064.6920041367</v>
      </c>
      <c r="F64" s="1698">
        <f>+registry_o!E97</f>
        <v>0</v>
      </c>
      <c r="G64" s="1698">
        <f>+registry_o!F97</f>
        <v>0</v>
      </c>
      <c r="H64" s="1698">
        <f>+registry_o!G97</f>
        <v>-3200000</v>
      </c>
      <c r="I64" s="1675">
        <f>+registry_o!H97</f>
        <v>0</v>
      </c>
      <c r="J64" s="1698">
        <f>+registry_o!I97</f>
        <v>0</v>
      </c>
      <c r="K64" s="1698">
        <f>+registry_o!J97</f>
        <v>-517878.33639449568</v>
      </c>
      <c r="L64" s="1698">
        <f>+registry_o!K97</f>
        <v>-5284163.4049663218</v>
      </c>
      <c r="M64" s="1675">
        <f>+registry_o!L97</f>
        <v>-8541128.1193504781</v>
      </c>
      <c r="N64" s="1675">
        <f>+registry_o!M97</f>
        <v>0</v>
      </c>
      <c r="O64" s="1675">
        <f>+registry_o!N97</f>
        <v>0</v>
      </c>
      <c r="P64" s="1658">
        <f>+registry_o!O97</f>
        <v>0</v>
      </c>
      <c r="R64" s="41"/>
    </row>
    <row r="65" spans="1:22">
      <c r="A65" s="25" t="s">
        <v>177</v>
      </c>
      <c r="B65" s="25" t="s">
        <v>179</v>
      </c>
      <c r="C65" s="768" t="s">
        <v>329</v>
      </c>
      <c r="D65" s="2040">
        <v>0</v>
      </c>
      <c r="E65" s="1">
        <f>+registry_o!D102</f>
        <v>0</v>
      </c>
      <c r="F65" s="1">
        <f>+registry_o!E102</f>
        <v>0</v>
      </c>
      <c r="G65" s="1">
        <f>+registry_o!F102</f>
        <v>0</v>
      </c>
      <c r="H65" s="1">
        <f>+registry_o!G102</f>
        <v>-2671203.5474885241</v>
      </c>
      <c r="I65" s="1">
        <f>+registry_o!H102</f>
        <v>-435000</v>
      </c>
      <c r="J65" s="1">
        <f>+registry_o!I102</f>
        <v>-1052241.1000000001</v>
      </c>
      <c r="K65" s="1">
        <f>+registry_o!J102</f>
        <v>0</v>
      </c>
      <c r="L65" s="1">
        <f>+registry_o!K102</f>
        <v>-7309780.3348903265</v>
      </c>
      <c r="M65" s="1">
        <f>+registry_o!L102</f>
        <v>-890000</v>
      </c>
      <c r="N65" s="1">
        <f>+registry_o!M102</f>
        <v>-390000</v>
      </c>
      <c r="O65" s="1">
        <f>+registry_o!N102</f>
        <v>0</v>
      </c>
      <c r="P65" s="1">
        <f>+registry_o!O102</f>
        <v>0</v>
      </c>
      <c r="R65" s="41"/>
    </row>
    <row r="66" spans="1:22">
      <c r="A66" s="25" t="s">
        <v>194</v>
      </c>
      <c r="B66" s="25" t="s">
        <v>201</v>
      </c>
      <c r="C66" s="768" t="s">
        <v>180</v>
      </c>
      <c r="D66" s="2040">
        <v>0</v>
      </c>
      <c r="E66" s="1">
        <f>+registry_o!D131</f>
        <v>-6050000</v>
      </c>
      <c r="F66" s="1">
        <f>+registry_o!E131</f>
        <v>-1200000</v>
      </c>
      <c r="G66" s="1">
        <f>+registry_o!F131</f>
        <v>0</v>
      </c>
      <c r="H66" s="1">
        <f>+registry_o!G131</f>
        <v>0</v>
      </c>
      <c r="I66" s="1">
        <f>+registry_o!H131</f>
        <v>0</v>
      </c>
      <c r="J66" s="1">
        <f>+registry_o!I131</f>
        <v>0</v>
      </c>
      <c r="K66" s="1">
        <f>+registry_o!J131</f>
        <v>0</v>
      </c>
      <c r="L66" s="1">
        <f>+registry_o!K131</f>
        <v>0</v>
      </c>
      <c r="M66" s="1">
        <f>+registry_o!L131</f>
        <v>0</v>
      </c>
      <c r="N66" s="1">
        <f>+registry_o!M131</f>
        <v>0</v>
      </c>
      <c r="O66" s="1">
        <f>+registry_o!N131</f>
        <v>0</v>
      </c>
      <c r="P66" s="1">
        <f>+registry_o!O131</f>
        <v>0</v>
      </c>
      <c r="R66" s="41"/>
    </row>
    <row r="67" spans="1:22">
      <c r="C67" s="799" t="s">
        <v>323</v>
      </c>
      <c r="D67" s="2079">
        <v>0</v>
      </c>
      <c r="E67" s="1679">
        <f t="shared" ref="E67:P67" si="9">SUM(E63:E66)</f>
        <v>-8148064.6920041367</v>
      </c>
      <c r="F67" s="1704">
        <f t="shared" si="9"/>
        <v>-24800000</v>
      </c>
      <c r="G67" s="1704">
        <f t="shared" si="9"/>
        <v>0</v>
      </c>
      <c r="H67" s="1704">
        <f t="shared" si="9"/>
        <v>-5871203.5474885236</v>
      </c>
      <c r="I67" s="1679">
        <f t="shared" si="9"/>
        <v>-435000</v>
      </c>
      <c r="J67" s="1704">
        <f t="shared" si="9"/>
        <v>-1052241.1000000001</v>
      </c>
      <c r="K67" s="1704">
        <f t="shared" si="9"/>
        <v>-517878.33639449568</v>
      </c>
      <c r="L67" s="1704">
        <f t="shared" si="9"/>
        <v>-12593943.739856649</v>
      </c>
      <c r="M67" s="1679">
        <f t="shared" si="9"/>
        <v>-9431128.1193504781</v>
      </c>
      <c r="N67" s="1679">
        <f t="shared" si="9"/>
        <v>-390000</v>
      </c>
      <c r="O67" s="1679">
        <f t="shared" si="9"/>
        <v>0</v>
      </c>
      <c r="P67" s="1662">
        <f t="shared" si="9"/>
        <v>0</v>
      </c>
      <c r="R67" s="41"/>
      <c r="U67" s="187"/>
    </row>
    <row r="68" spans="1:22">
      <c r="C68" s="802"/>
      <c r="D68" s="2074"/>
      <c r="E68" s="1675"/>
      <c r="F68" s="1698"/>
      <c r="G68" s="1698"/>
      <c r="H68" s="1698"/>
      <c r="I68" s="1675"/>
      <c r="J68" s="1698"/>
      <c r="K68" s="1698"/>
      <c r="L68" s="1698"/>
      <c r="M68" s="1675"/>
      <c r="N68" s="1675"/>
      <c r="O68" s="1675"/>
      <c r="P68" s="1658"/>
      <c r="R68" s="41"/>
    </row>
    <row r="69" spans="1:22" ht="14.7" customHeight="1" thickBot="1">
      <c r="C69" s="803" t="s">
        <v>331</v>
      </c>
      <c r="D69" s="2076">
        <v>29662241.100000001</v>
      </c>
      <c r="E69" s="1677">
        <f t="shared" ref="E69:P69" si="10">+E61+E67</f>
        <v>-1684064.6920041367</v>
      </c>
      <c r="F69" s="1701">
        <f t="shared" si="10"/>
        <v>-957000.14999999851</v>
      </c>
      <c r="G69" s="1701">
        <f t="shared" si="10"/>
        <v>200000</v>
      </c>
      <c r="H69" s="1701">
        <f t="shared" si="10"/>
        <v>-796203.54748852365</v>
      </c>
      <c r="I69" s="1677">
        <f t="shared" si="10"/>
        <v>1315000</v>
      </c>
      <c r="J69" s="1701">
        <f t="shared" si="10"/>
        <v>3947758.9</v>
      </c>
      <c r="K69" s="1701">
        <f t="shared" si="10"/>
        <v>-517878.33639449568</v>
      </c>
      <c r="L69" s="1701">
        <f t="shared" si="10"/>
        <v>6406056.2601433508</v>
      </c>
      <c r="M69" s="1677">
        <f t="shared" si="10"/>
        <v>-9431128.1193504781</v>
      </c>
      <c r="N69" s="1677">
        <f t="shared" si="10"/>
        <v>-390000</v>
      </c>
      <c r="O69" s="1677">
        <f t="shared" si="10"/>
        <v>0</v>
      </c>
      <c r="P69" s="1660">
        <f t="shared" si="10"/>
        <v>0</v>
      </c>
      <c r="R69" s="41"/>
      <c r="U69" s="187"/>
      <c r="V69" s="2"/>
    </row>
    <row r="70" spans="1:22">
      <c r="C70" s="802"/>
      <c r="D70" s="2074"/>
      <c r="E70" s="1675"/>
      <c r="F70" s="1698"/>
      <c r="G70" s="1698"/>
      <c r="H70" s="1698"/>
      <c r="I70" s="1675"/>
      <c r="J70" s="1698"/>
      <c r="K70" s="1698"/>
      <c r="L70" s="1698"/>
      <c r="M70" s="1675"/>
      <c r="N70" s="1675"/>
      <c r="O70" s="1675"/>
      <c r="P70" s="1658"/>
      <c r="R70" s="41"/>
    </row>
    <row r="71" spans="1:22">
      <c r="C71" s="797" t="s">
        <v>332</v>
      </c>
      <c r="D71" s="2072"/>
      <c r="E71" s="1673"/>
      <c r="F71" s="1696"/>
      <c r="G71" s="1696"/>
      <c r="H71" s="1696"/>
      <c r="I71" s="1673"/>
      <c r="J71" s="1696"/>
      <c r="K71" s="1696"/>
      <c r="L71" s="1696"/>
      <c r="M71" s="1673"/>
      <c r="N71" s="1673"/>
      <c r="O71" s="1673"/>
      <c r="P71" s="1657"/>
      <c r="R71" s="41"/>
    </row>
    <row r="72" spans="1:22">
      <c r="C72" s="797"/>
      <c r="D72" s="2072"/>
      <c r="E72" s="1673"/>
      <c r="F72" s="1696"/>
      <c r="G72" s="1696"/>
      <c r="H72" s="1696"/>
      <c r="I72" s="1673"/>
      <c r="J72" s="1696"/>
      <c r="K72" s="1696"/>
      <c r="L72" s="1696"/>
      <c r="M72" s="1673"/>
      <c r="N72" s="1673"/>
      <c r="O72" s="1673"/>
      <c r="P72" s="1657"/>
      <c r="R72" s="41"/>
    </row>
    <row r="73" spans="1:22" ht="14.7" customHeight="1" thickBot="1">
      <c r="A73" s="25" t="s">
        <v>182</v>
      </c>
      <c r="B73" s="25" t="s">
        <v>203</v>
      </c>
      <c r="C73" s="803" t="s">
        <v>333</v>
      </c>
      <c r="D73" s="2080">
        <v>-1540999</v>
      </c>
      <c r="E73" s="804">
        <f>+registry_o!D133</f>
        <v>-240715.49750000006</v>
      </c>
      <c r="F73" s="804">
        <f>+registry_o!E133</f>
        <v>1051116.5024999999</v>
      </c>
      <c r="G73" s="804">
        <f>+registry_o!F133</f>
        <v>1419284.5024999999</v>
      </c>
      <c r="H73" s="804">
        <f>+registry_o!G133</f>
        <v>98144.502499999944</v>
      </c>
      <c r="I73" s="804">
        <f>+registry_o!H133</f>
        <v>-755115.46625000006</v>
      </c>
      <c r="J73" s="804">
        <f>+registry_o!I133</f>
        <v>11779.310000000056</v>
      </c>
      <c r="K73" s="804">
        <f>+registry_o!J133</f>
        <v>-68674.990000000224</v>
      </c>
      <c r="L73" s="804">
        <f>+registry_o!K133</f>
        <v>1212477.3599999996</v>
      </c>
      <c r="M73" s="804">
        <f>+registry_o!L133</f>
        <v>-10995465.223749999</v>
      </c>
      <c r="N73" s="804">
        <f>+registry_o!M133</f>
        <v>0</v>
      </c>
      <c r="O73" s="804">
        <f>+registry_o!N133</f>
        <v>0</v>
      </c>
      <c r="P73" s="804">
        <f>+registry_o!O133</f>
        <v>0</v>
      </c>
      <c r="R73" s="41"/>
      <c r="U73" s="187"/>
    </row>
    <row r="74" spans="1:22">
      <c r="D74" s="2081"/>
      <c r="E74" s="47"/>
      <c r="F74" s="1591"/>
      <c r="G74" s="1591"/>
      <c r="H74" s="1591"/>
      <c r="I74" s="47"/>
      <c r="J74" s="1591"/>
      <c r="K74" s="1591"/>
      <c r="L74" s="1591"/>
      <c r="M74" s="47"/>
      <c r="N74" s="47"/>
      <c r="O74" s="47"/>
      <c r="P74" s="319"/>
      <c r="R74" s="41"/>
    </row>
    <row r="75" spans="1:22" ht="14.7" customHeight="1" thickBot="1">
      <c r="C75" s="107" t="s">
        <v>334</v>
      </c>
      <c r="D75" s="2082">
        <v>25047198.734000001</v>
      </c>
      <c r="E75" s="1680">
        <f t="shared" ref="E75:P75" si="11">+E25+E31+E51+E69+E73</f>
        <v>1906122.0604958632</v>
      </c>
      <c r="F75" s="1705">
        <f t="shared" si="11"/>
        <v>-4058928.3974999986</v>
      </c>
      <c r="G75" s="1705">
        <f t="shared" si="11"/>
        <v>-2547721.5150276027</v>
      </c>
      <c r="H75" s="1705">
        <f t="shared" si="11"/>
        <v>4932039.2050114758</v>
      </c>
      <c r="I75" s="1680">
        <f t="shared" si="11"/>
        <v>2580285.745833334</v>
      </c>
      <c r="J75" s="1705">
        <f t="shared" si="11"/>
        <v>5093713.8034706656</v>
      </c>
      <c r="K75" s="1705">
        <f t="shared" si="11"/>
        <v>-3828363.2937472346</v>
      </c>
      <c r="L75" s="1705">
        <f t="shared" si="11"/>
        <v>-3967887.741305463</v>
      </c>
      <c r="M75" s="1680">
        <f t="shared" si="11"/>
        <v>2004350.3497178964</v>
      </c>
      <c r="N75" s="1680">
        <f t="shared" si="11"/>
        <v>3852295.172213234</v>
      </c>
      <c r="O75" s="1680">
        <f t="shared" si="11"/>
        <v>310050.38156281039</v>
      </c>
      <c r="P75" s="1663">
        <f t="shared" si="11"/>
        <v>2736686.4576990977</v>
      </c>
      <c r="Q75" s="2"/>
      <c r="R75" s="41"/>
      <c r="U75" s="187"/>
    </row>
    <row r="76" spans="1:22" ht="14.7" customHeight="1" thickTop="1">
      <c r="C76" t="s">
        <v>335</v>
      </c>
      <c r="D76" s="2083">
        <v>251128</v>
      </c>
      <c r="E76" s="1681"/>
      <c r="F76" s="1706"/>
      <c r="G76" s="1706"/>
      <c r="H76" s="1706">
        <v>421309.52</v>
      </c>
      <c r="I76" s="1681"/>
      <c r="J76" s="1706"/>
      <c r="K76" s="1706"/>
      <c r="L76" s="1706"/>
      <c r="M76" s="1681"/>
      <c r="N76" s="1681"/>
      <c r="O76" s="1681"/>
      <c r="P76" s="1664"/>
      <c r="R76" s="41"/>
    </row>
    <row r="77" spans="1:22">
      <c r="C77" t="s">
        <v>336</v>
      </c>
      <c r="D77" s="2074">
        <v>251128</v>
      </c>
      <c r="E77" s="100">
        <f>+D77+E75</f>
        <v>2157250.0604958632</v>
      </c>
      <c r="F77" s="1592">
        <f>+E77+F75</f>
        <v>-1901678.3370041354</v>
      </c>
      <c r="G77" s="1592">
        <f>+F77+G75</f>
        <v>-4449399.8520317376</v>
      </c>
      <c r="H77" s="1592">
        <f>+G77+H75+H78</f>
        <v>421309.35297973827</v>
      </c>
      <c r="I77" s="100">
        <f>+H77*(1+lgh_inputs!$D$8/4)+I75</f>
        <v>3004754.9189604204</v>
      </c>
      <c r="J77" s="1592">
        <f>+I77*(1+lgh_inputs!$D$8/4)+J75</f>
        <v>8121004.3843232896</v>
      </c>
      <c r="K77" s="1592">
        <f>+J77*(1+lgh_inputs!$D$8/4)+K75</f>
        <v>4353548.6234584805</v>
      </c>
      <c r="L77" s="1592">
        <f>+K77*(1+lgh_inputs!$D$8/4)+L75</f>
        <v>418312.49682895653</v>
      </c>
      <c r="M77" s="100">
        <f>+L77*(1+lgh_inputs!$D$8)+M75</f>
        <v>2435212.2214517216</v>
      </c>
      <c r="N77" s="100">
        <f>+M77*(1+lgh_inputs!$D$8)+N75</f>
        <v>6360563.7603085078</v>
      </c>
      <c r="O77" s="100">
        <f>+N77*(1+lgh_inputs!$D$8)+O75</f>
        <v>6861431.0546805738</v>
      </c>
      <c r="P77" s="320">
        <f>+O77*(1+lgh_inputs!$D$8)+P75</f>
        <v>9803960.4440200888</v>
      </c>
    </row>
    <row r="78" spans="1:22">
      <c r="C78" s="1059" t="s">
        <v>337</v>
      </c>
      <c r="D78" s="2084"/>
      <c r="E78" s="1417"/>
      <c r="F78" s="1332"/>
      <c r="G78" s="1332"/>
      <c r="H78" s="1332">
        <f>421310-482640</f>
        <v>-61330</v>
      </c>
      <c r="I78" s="1417"/>
      <c r="J78" s="1332"/>
      <c r="K78" s="1332"/>
      <c r="L78" s="1332"/>
      <c r="M78" s="47"/>
      <c r="N78" s="47"/>
      <c r="O78" s="47"/>
      <c r="P78" s="319"/>
    </row>
    <row r="79" spans="1:22">
      <c r="D79" s="2085"/>
      <c r="H79" s="31"/>
    </row>
    <row r="80" spans="1:22">
      <c r="D80" s="2085"/>
      <c r="E80" s="30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</row>
    <row r="81" spans="4:16">
      <c r="D81" s="2085"/>
      <c r="E81" s="269"/>
      <c r="F81" s="269"/>
      <c r="M81" s="1"/>
      <c r="N81" s="1"/>
      <c r="O81" s="1"/>
      <c r="P81" s="1"/>
    </row>
    <row r="82" spans="4:16">
      <c r="D82" s="2085"/>
      <c r="E82" s="269"/>
      <c r="F82" s="269"/>
      <c r="M82" s="1"/>
      <c r="N82" s="1"/>
      <c r="O82" s="1"/>
      <c r="P82" s="1"/>
    </row>
    <row r="83" spans="4:16">
      <c r="D83" s="2085"/>
      <c r="E83" s="269"/>
      <c r="F83" s="269"/>
      <c r="J83" s="30"/>
      <c r="K83" s="30"/>
    </row>
    <row r="84" spans="4:16">
      <c r="D84" s="2085"/>
      <c r="F84" s="269"/>
      <c r="K84" s="30"/>
      <c r="M84" s="1"/>
      <c r="N84" s="1"/>
      <c r="O84" s="1"/>
      <c r="P84" s="1"/>
    </row>
    <row r="85" spans="4:16">
      <c r="D85" s="2085"/>
      <c r="K85" s="30"/>
      <c r="M85" s="1"/>
      <c r="N85" s="1"/>
      <c r="O85" s="1"/>
      <c r="P85" s="1"/>
    </row>
    <row r="86" spans="4:16">
      <c r="D86" s="2085"/>
      <c r="K86" s="30"/>
      <c r="M86" s="2"/>
      <c r="N86" s="2"/>
      <c r="O86" s="2"/>
      <c r="P86" s="2"/>
    </row>
    <row r="87" spans="4:16">
      <c r="D87" s="2085"/>
      <c r="K87" s="30"/>
      <c r="L87" s="268"/>
      <c r="M87" s="2"/>
      <c r="N87" s="2"/>
      <c r="O87" s="2"/>
      <c r="P87" s="2"/>
    </row>
    <row r="88" spans="4:16">
      <c r="D88" s="2085"/>
      <c r="J88" s="31"/>
      <c r="K88" s="30"/>
      <c r="L88" s="31"/>
      <c r="M88" s="2"/>
      <c r="N88" s="2"/>
      <c r="O88" s="2"/>
      <c r="P88" s="2"/>
    </row>
    <row r="89" spans="4:16">
      <c r="D89" s="2085"/>
      <c r="M89" s="2"/>
      <c r="N89" s="2"/>
      <c r="O89" s="2"/>
      <c r="P89" s="2"/>
    </row>
    <row r="90" spans="4:16">
      <c r="D90" s="2085"/>
      <c r="M90" s="2"/>
      <c r="N90" s="2"/>
      <c r="O90" s="2"/>
      <c r="P90" s="2"/>
    </row>
    <row r="91" spans="4:16">
      <c r="M91" s="2"/>
      <c r="N91" s="2"/>
      <c r="O91" s="2"/>
      <c r="P91" s="2"/>
    </row>
    <row r="92" spans="4:16">
      <c r="M92" s="1"/>
      <c r="N92" s="1"/>
      <c r="O92" s="1"/>
      <c r="P92" s="1"/>
    </row>
    <row r="93" spans="4:16">
      <c r="M93" s="2"/>
      <c r="N93" s="2"/>
      <c r="O93" s="2"/>
      <c r="P93" s="2"/>
    </row>
    <row r="94" spans="4:16">
      <c r="M94" s="1"/>
      <c r="N94" s="1"/>
      <c r="O94" s="1"/>
      <c r="P94" s="1"/>
    </row>
  </sheetData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37">
    <tabColor rgb="FFD9E1F2"/>
  </sheetPr>
  <dimension ref="A1:N15"/>
  <sheetViews>
    <sheetView showGridLines="0" zoomScale="80" zoomScaleNormal="80" workbookViewId="0">
      <pane ySplit="3" topLeftCell="A4" activePane="bottomLeft" state="frozen"/>
      <selection activeCell="P6" sqref="P6"/>
      <selection pane="bottomLeft" activeCell="D25" sqref="D25"/>
    </sheetView>
  </sheetViews>
  <sheetFormatPr defaultRowHeight="14.4"/>
  <cols>
    <col min="1" max="1" width="27.41796875" bestFit="1" customWidth="1"/>
    <col min="2" max="2" width="14.68359375" style="649" bestFit="1" customWidth="1"/>
    <col min="3" max="3" width="21.3671875" bestFit="1" customWidth="1"/>
    <col min="4" max="6" width="15.68359375" bestFit="1" customWidth="1"/>
    <col min="7" max="14" width="15.578125" bestFit="1" customWidth="1"/>
    <col min="15" max="15" width="16.41796875" bestFit="1" customWidth="1"/>
  </cols>
  <sheetData>
    <row r="1" spans="1:14">
      <c r="A1" s="42" t="str">
        <f t="array" aca="1" ref="A1" ca="1">_xlfn.TEXTAFTER(CELL("filename",A1),"]")</f>
        <v>lgh_ci</v>
      </c>
      <c r="B1" s="19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</row>
    <row r="2" spans="1:14">
      <c r="A2" s="23" t="s">
        <v>120</v>
      </c>
      <c r="B2" s="2086">
        <v>45657</v>
      </c>
      <c r="C2" s="1718">
        <f>+lgh_bs!E2</f>
        <v>45747</v>
      </c>
      <c r="D2" s="1724">
        <f>+lgh_bs!F2</f>
        <v>45838</v>
      </c>
      <c r="E2" s="1724">
        <f>+lgh_bs!G2</f>
        <v>45930</v>
      </c>
      <c r="F2" s="1724">
        <f>+lgh_bs!H2</f>
        <v>46022</v>
      </c>
      <c r="G2" s="1718">
        <f>+lgh_bs!I2</f>
        <v>46112</v>
      </c>
      <c r="H2" s="1724">
        <f>+lgh_bs!J2</f>
        <v>46203</v>
      </c>
      <c r="I2" s="1724">
        <f>+lgh_bs!K2</f>
        <v>46295</v>
      </c>
      <c r="J2" s="1724">
        <f>+lgh_bs!L2</f>
        <v>46387</v>
      </c>
      <c r="K2" s="1718">
        <f>+lgh_bs!M2</f>
        <v>46752</v>
      </c>
      <c r="L2" s="1718">
        <f>+lgh_bs!N2</f>
        <v>47118</v>
      </c>
      <c r="M2" s="1718">
        <f>+lgh_bs!O2</f>
        <v>47483</v>
      </c>
      <c r="N2" s="1713">
        <f>+lgh_bs!P2</f>
        <v>47848</v>
      </c>
    </row>
    <row r="3" spans="1:14">
      <c r="A3" s="18" t="s">
        <v>222</v>
      </c>
      <c r="B3" s="2087" t="s">
        <v>2</v>
      </c>
      <c r="C3" s="1719" t="str">
        <f>+lgh_bs!E3</f>
        <v>Q1</v>
      </c>
      <c r="D3" s="1725" t="str">
        <f>+lgh_bs!F3</f>
        <v>Q2</v>
      </c>
      <c r="E3" s="1725" t="str">
        <f>+lgh_bs!G3</f>
        <v>Q3</v>
      </c>
      <c r="F3" s="1725" t="str">
        <f>+lgh_bs!H3</f>
        <v>Q4</v>
      </c>
      <c r="G3" s="1719" t="str">
        <f>+lgh_bs!I3</f>
        <v>Q1</v>
      </c>
      <c r="H3" s="1725" t="str">
        <f>+lgh_bs!J3</f>
        <v>Q2</v>
      </c>
      <c r="I3" s="1725" t="str">
        <f>+lgh_bs!K3</f>
        <v>Q3</v>
      </c>
      <c r="J3" s="1725" t="str">
        <f>+lgh_bs!L3</f>
        <v>Q4</v>
      </c>
      <c r="K3" s="1719" t="str">
        <f>+lgh_bs!M3</f>
        <v>Q4</v>
      </c>
      <c r="L3" s="1719" t="str">
        <f>+lgh_bs!N3</f>
        <v>Q4</v>
      </c>
      <c r="M3" s="1719" t="str">
        <f>+lgh_bs!O3</f>
        <v>Q4</v>
      </c>
      <c r="N3" s="1714" t="str">
        <f>+lgh_bs!P3</f>
        <v>Q4</v>
      </c>
    </row>
    <row r="4" spans="1:14" s="25" customFormat="1">
      <c r="A4" s="27" t="s">
        <v>338</v>
      </c>
      <c r="B4" s="2088">
        <v>119773010.1849418</v>
      </c>
      <c r="C4" s="332">
        <f>+lgh_bs!E32</f>
        <v>133270749.11738586</v>
      </c>
      <c r="D4" s="1726">
        <f>+lgh_bs!F32</f>
        <v>135457214.35874093</v>
      </c>
      <c r="E4" s="1726">
        <f>+lgh_bs!G32</f>
        <v>158323925.95367149</v>
      </c>
      <c r="F4" s="1726">
        <f>+lgh_bs!H32</f>
        <v>153200216.46411586</v>
      </c>
      <c r="G4" s="332">
        <f>+lgh_bs!I32</f>
        <v>159605299.05108485</v>
      </c>
      <c r="H4" s="1726">
        <f>+lgh_bs!J32</f>
        <v>167293670.30049485</v>
      </c>
      <c r="I4" s="1726">
        <f>+lgh_bs!K32</f>
        <v>175928682.13601094</v>
      </c>
      <c r="J4" s="1726">
        <f>+lgh_bs!L32</f>
        <v>191510940.78052631</v>
      </c>
      <c r="K4" s="332">
        <f>+lgh_bs!M32</f>
        <v>222618950.18783554</v>
      </c>
      <c r="L4" s="332">
        <f>+lgh_bs!N32</f>
        <v>267970712.96158728</v>
      </c>
      <c r="M4" s="332">
        <f>+lgh_bs!O32</f>
        <v>315812646.65029883</v>
      </c>
      <c r="N4" s="390">
        <f>+lgh_bs!P32</f>
        <v>370169588.20702118</v>
      </c>
    </row>
    <row r="5" spans="1:14" s="25" customFormat="1">
      <c r="A5" s="27" t="s">
        <v>339</v>
      </c>
      <c r="B5" s="2088">
        <v>129773010.1849418</v>
      </c>
      <c r="C5" s="332">
        <f>lgh_bs!E43</f>
        <v>143270749.11738586</v>
      </c>
      <c r="D5" s="332">
        <f>lgh_bs!F43</f>
        <v>145457214.35874093</v>
      </c>
      <c r="E5" s="332">
        <f>lgh_bs!G43</f>
        <v>168323925.95367149</v>
      </c>
      <c r="F5" s="332">
        <f>lgh_bs!H43</f>
        <v>151249913.35181865</v>
      </c>
      <c r="G5" s="332">
        <f>lgh_bs!I43</f>
        <v>159532319.06520781</v>
      </c>
      <c r="H5" s="332">
        <f>lgh_bs!J43</f>
        <v>170695898.05341175</v>
      </c>
      <c r="I5" s="332">
        <f>lgh_bs!K43</f>
        <v>186123581.11966854</v>
      </c>
      <c r="J5" s="332">
        <f>lgh_bs!L43</f>
        <v>205737766.87774855</v>
      </c>
      <c r="K5" s="332">
        <f>lgh_bs!M43</f>
        <v>250006263.3482278</v>
      </c>
      <c r="L5" s="332">
        <f>lgh_bs!N43</f>
        <v>340077934.45861524</v>
      </c>
      <c r="M5" s="332">
        <f>lgh_bs!O43</f>
        <v>425178224.14614218</v>
      </c>
      <c r="N5" s="332">
        <f>lgh_bs!P43</f>
        <v>553042132.20552588</v>
      </c>
    </row>
    <row r="6" spans="1:14">
      <c r="A6" s="627"/>
      <c r="B6" s="2089"/>
      <c r="C6" s="1720"/>
      <c r="D6" s="1727"/>
      <c r="E6" s="1727"/>
      <c r="F6" s="1727"/>
      <c r="G6" s="1720"/>
      <c r="H6" s="1727"/>
      <c r="I6" s="1727"/>
      <c r="J6" s="1727"/>
      <c r="K6" s="1720"/>
      <c r="L6" s="1720"/>
      <c r="M6" s="1720"/>
      <c r="N6" s="1715"/>
    </row>
    <row r="7" spans="1:14">
      <c r="A7" s="154" t="s">
        <v>340</v>
      </c>
      <c r="B7" s="2090"/>
      <c r="C7" s="186"/>
      <c r="D7" s="1638"/>
      <c r="E7" s="1638"/>
      <c r="F7" s="1638"/>
      <c r="G7" s="186"/>
      <c r="H7" s="1638"/>
      <c r="I7" s="1638"/>
      <c r="J7" s="1638"/>
      <c r="K7" s="186"/>
      <c r="L7" s="186"/>
      <c r="M7" s="186"/>
      <c r="N7" s="630"/>
    </row>
    <row r="8" spans="1:14">
      <c r="B8" s="2091">
        <v>0</v>
      </c>
      <c r="C8" s="1721">
        <f>+lgh_inputs!$D$2</f>
        <v>0.3</v>
      </c>
      <c r="D8" s="1728">
        <f>+lgh_inputs!$D$2</f>
        <v>0.3</v>
      </c>
      <c r="E8" s="1728">
        <f>+lgh_inputs!$D$2</f>
        <v>0.3</v>
      </c>
      <c r="F8" s="1728">
        <f>+lgh_inputs!$D$2</f>
        <v>0.3</v>
      </c>
      <c r="G8" s="1721">
        <f>+lgh_inputs!$D$2</f>
        <v>0.3</v>
      </c>
      <c r="H8" s="1728">
        <f>+lgh_inputs!$D$2</f>
        <v>0.3</v>
      </c>
      <c r="I8" s="1728">
        <f>+lgh_inputs!$D$2</f>
        <v>0.3</v>
      </c>
      <c r="J8" s="1728">
        <f>+lgh_inputs!$D$2</f>
        <v>0.3</v>
      </c>
      <c r="K8" s="1721">
        <f>+lgh_inputs!$D$2</f>
        <v>0.3</v>
      </c>
      <c r="L8" s="1721">
        <f>+lgh_inputs!$D$2</f>
        <v>0.3</v>
      </c>
      <c r="M8" s="1721">
        <f>+lgh_inputs!$D$2</f>
        <v>0.3</v>
      </c>
      <c r="N8" s="1716">
        <f>+lgh_inputs!$D$2</f>
        <v>0.3</v>
      </c>
    </row>
    <row r="9" spans="1:14">
      <c r="A9" s="427">
        <v>150000000</v>
      </c>
      <c r="B9" s="2089">
        <v>150000000</v>
      </c>
      <c r="C9" s="1720">
        <f t="shared" ref="C9:N9" si="0">$A9</f>
        <v>150000000</v>
      </c>
      <c r="D9" s="1720">
        <f t="shared" si="0"/>
        <v>150000000</v>
      </c>
      <c r="E9" s="1720">
        <f t="shared" si="0"/>
        <v>150000000</v>
      </c>
      <c r="F9" s="1720">
        <f t="shared" si="0"/>
        <v>150000000</v>
      </c>
      <c r="G9" s="1720">
        <f t="shared" si="0"/>
        <v>150000000</v>
      </c>
      <c r="H9" s="1720">
        <f t="shared" si="0"/>
        <v>150000000</v>
      </c>
      <c r="I9" s="1720">
        <f t="shared" si="0"/>
        <v>150000000</v>
      </c>
      <c r="J9" s="1720">
        <f t="shared" si="0"/>
        <v>150000000</v>
      </c>
      <c r="K9" s="1720">
        <f t="shared" si="0"/>
        <v>150000000</v>
      </c>
      <c r="L9" s="1720">
        <f t="shared" si="0"/>
        <v>150000000</v>
      </c>
      <c r="M9" s="1720">
        <f t="shared" si="0"/>
        <v>150000000</v>
      </c>
      <c r="N9" s="1720">
        <f t="shared" si="0"/>
        <v>150000000</v>
      </c>
    </row>
    <row r="10" spans="1:14">
      <c r="B10" s="2089">
        <v>0</v>
      </c>
      <c r="C10" s="1720">
        <f t="shared" ref="C10:N10" si="1">MAX((C$4-C9)*C8,0)</f>
        <v>0</v>
      </c>
      <c r="D10" s="1727">
        <f t="shared" si="1"/>
        <v>0</v>
      </c>
      <c r="E10" s="1727">
        <f t="shared" si="1"/>
        <v>2497177.7861014456</v>
      </c>
      <c r="F10" s="1727">
        <f t="shared" si="1"/>
        <v>960064.93923475733</v>
      </c>
      <c r="G10" s="1720">
        <f t="shared" si="1"/>
        <v>2881589.7153254538</v>
      </c>
      <c r="H10" s="1727">
        <f t="shared" si="1"/>
        <v>5188101.0901484545</v>
      </c>
      <c r="I10" s="1727">
        <f t="shared" si="1"/>
        <v>7778604.6408032831</v>
      </c>
      <c r="J10" s="1727">
        <f t="shared" si="1"/>
        <v>12453282.234157892</v>
      </c>
      <c r="K10" s="1720">
        <f t="shared" si="1"/>
        <v>21785685.056350663</v>
      </c>
      <c r="L10" s="1720">
        <f t="shared" si="1"/>
        <v>35391213.888476186</v>
      </c>
      <c r="M10" s="1720">
        <f t="shared" si="1"/>
        <v>49743793.99508965</v>
      </c>
      <c r="N10" s="1715">
        <f t="shared" si="1"/>
        <v>66050876.462106347</v>
      </c>
    </row>
    <row r="11" spans="1:14">
      <c r="A11" s="1588" t="s">
        <v>189</v>
      </c>
      <c r="B11" s="2092">
        <v>0</v>
      </c>
      <c r="C11" s="323">
        <f t="shared" ref="C11:N11" si="2">+C10</f>
        <v>0</v>
      </c>
      <c r="D11" s="323">
        <f t="shared" si="2"/>
        <v>0</v>
      </c>
      <c r="E11" s="323">
        <f t="shared" si="2"/>
        <v>2497177.7861014456</v>
      </c>
      <c r="F11" s="323">
        <f t="shared" si="2"/>
        <v>960064.93923475733</v>
      </c>
      <c r="G11" s="323">
        <f t="shared" si="2"/>
        <v>2881589.7153254538</v>
      </c>
      <c r="H11" s="323">
        <f t="shared" si="2"/>
        <v>5188101.0901484545</v>
      </c>
      <c r="I11" s="323">
        <f t="shared" si="2"/>
        <v>7778604.6408032831</v>
      </c>
      <c r="J11" s="323">
        <f t="shared" si="2"/>
        <v>12453282.234157892</v>
      </c>
      <c r="K11" s="323">
        <f t="shared" si="2"/>
        <v>21785685.056350663</v>
      </c>
      <c r="L11" s="323">
        <f t="shared" si="2"/>
        <v>35391213.888476186</v>
      </c>
      <c r="M11" s="323">
        <f t="shared" si="2"/>
        <v>49743793.99508965</v>
      </c>
      <c r="N11" s="323">
        <f t="shared" si="2"/>
        <v>66050876.462106347</v>
      </c>
    </row>
    <row r="12" spans="1:14">
      <c r="A12" t="s">
        <v>341</v>
      </c>
      <c r="B12" s="2093"/>
      <c r="C12" s="1723"/>
      <c r="D12" s="1650"/>
      <c r="E12" s="1650"/>
      <c r="F12" s="1650"/>
      <c r="G12" s="1723"/>
      <c r="H12" s="1650"/>
      <c r="I12" s="1650"/>
      <c r="J12" s="1650"/>
      <c r="K12" s="1723"/>
      <c r="L12" s="1723"/>
      <c r="M12" s="1723"/>
      <c r="N12" s="1730"/>
    </row>
    <row r="13" spans="1:14">
      <c r="B13" s="2094">
        <v>0</v>
      </c>
      <c r="C13" s="1722">
        <f>+lgh_inputs!$D$2</f>
        <v>0.3</v>
      </c>
      <c r="D13" s="1729">
        <f>+lgh_inputs!$D$2</f>
        <v>0.3</v>
      </c>
      <c r="E13" s="1729">
        <f>+lgh_inputs!$D$2</f>
        <v>0.3</v>
      </c>
      <c r="F13" s="1729">
        <f>+lgh_inputs!$D$2</f>
        <v>0.3</v>
      </c>
      <c r="G13" s="1722">
        <f>+lgh_inputs!$D$2</f>
        <v>0.3</v>
      </c>
      <c r="H13" s="1729">
        <f>+lgh_inputs!$D$2</f>
        <v>0.3</v>
      </c>
      <c r="I13" s="1729">
        <f>+lgh_inputs!$D$2</f>
        <v>0.3</v>
      </c>
      <c r="J13" s="1729">
        <f>+lgh_inputs!$D$2</f>
        <v>0.3</v>
      </c>
      <c r="K13" s="1722">
        <f>+lgh_inputs!$D$2</f>
        <v>0.3</v>
      </c>
      <c r="L13" s="1722">
        <f>+lgh_inputs!$D$2</f>
        <v>0.3</v>
      </c>
      <c r="M13" s="1722">
        <f>+lgh_inputs!$D$2</f>
        <v>0.3</v>
      </c>
      <c r="N13" s="1717">
        <f>+lgh_inputs!$D$2</f>
        <v>0.3</v>
      </c>
    </row>
    <row r="14" spans="1:14">
      <c r="A14" s="427">
        <v>150000000</v>
      </c>
      <c r="B14" s="2089">
        <v>150000000</v>
      </c>
      <c r="C14" s="1720">
        <f t="shared" ref="C14:N14" si="3">$A14</f>
        <v>150000000</v>
      </c>
      <c r="D14" s="1720">
        <f t="shared" si="3"/>
        <v>150000000</v>
      </c>
      <c r="E14" s="1720">
        <f t="shared" si="3"/>
        <v>150000000</v>
      </c>
      <c r="F14" s="1720">
        <f t="shared" si="3"/>
        <v>150000000</v>
      </c>
      <c r="G14" s="1720">
        <f t="shared" si="3"/>
        <v>150000000</v>
      </c>
      <c r="H14" s="1720">
        <f t="shared" si="3"/>
        <v>150000000</v>
      </c>
      <c r="I14" s="1720">
        <f t="shared" si="3"/>
        <v>150000000</v>
      </c>
      <c r="J14" s="1720">
        <f t="shared" si="3"/>
        <v>150000000</v>
      </c>
      <c r="K14" s="1720">
        <f t="shared" si="3"/>
        <v>150000000</v>
      </c>
      <c r="L14" s="1720">
        <f t="shared" si="3"/>
        <v>150000000</v>
      </c>
      <c r="M14" s="1720">
        <f t="shared" si="3"/>
        <v>150000000</v>
      </c>
      <c r="N14" s="1720">
        <f t="shared" si="3"/>
        <v>150000000</v>
      </c>
    </row>
    <row r="15" spans="1:14">
      <c r="B15" s="2089">
        <v>0</v>
      </c>
      <c r="C15" s="1720">
        <f t="shared" ref="C15:N15" si="4">MAX((C$5-C14)*C13,0)-C10</f>
        <v>0</v>
      </c>
      <c r="D15" s="1727">
        <f t="shared" si="4"/>
        <v>0</v>
      </c>
      <c r="E15" s="1727">
        <f t="shared" si="4"/>
        <v>3000000</v>
      </c>
      <c r="F15" s="1727">
        <f t="shared" si="4"/>
        <v>-585090.93368916214</v>
      </c>
      <c r="G15" s="1720">
        <f t="shared" si="4"/>
        <v>-21893.995763110928</v>
      </c>
      <c r="H15" s="1727">
        <f t="shared" si="4"/>
        <v>1020668.3258750709</v>
      </c>
      <c r="I15" s="1727">
        <f t="shared" si="4"/>
        <v>3058469.6950972788</v>
      </c>
      <c r="J15" s="1727">
        <f t="shared" si="4"/>
        <v>4268047.8291666713</v>
      </c>
      <c r="K15" s="1720">
        <f t="shared" si="4"/>
        <v>8216193.9481176771</v>
      </c>
      <c r="L15" s="1720">
        <f t="shared" si="4"/>
        <v>21632166.449108385</v>
      </c>
      <c r="M15" s="1720">
        <f t="shared" si="4"/>
        <v>32809673.248752996</v>
      </c>
      <c r="N15" s="1715">
        <f t="shared" si="4"/>
        <v>54861763.199551404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tabColor rgb="FFD9E1F2"/>
  </sheetPr>
  <dimension ref="A1:N66"/>
  <sheetViews>
    <sheetView showGridLines="0" zoomScale="85" zoomScaleNormal="85" workbookViewId="0">
      <selection activeCell="C1" sqref="C1"/>
    </sheetView>
  </sheetViews>
  <sheetFormatPr defaultRowHeight="14.4"/>
  <cols>
    <col min="1" max="1" width="53.26171875" bestFit="1" customWidth="1"/>
    <col min="2" max="2" width="16.578125" style="649" bestFit="1" customWidth="1"/>
    <col min="3" max="3" width="14.26171875" bestFit="1" customWidth="1"/>
    <col min="4" max="5" width="16" bestFit="1" customWidth="1"/>
    <col min="6" max="8" width="16.578125" bestFit="1" customWidth="1"/>
    <col min="9" max="14" width="17.578125" bestFit="1" customWidth="1"/>
  </cols>
  <sheetData>
    <row r="1" spans="1:14" ht="14.7" customHeight="1" thickBot="1">
      <c r="A1" s="806" t="s">
        <v>342</v>
      </c>
      <c r="B1" s="2035"/>
      <c r="C1" s="807"/>
      <c r="D1" s="807"/>
      <c r="E1" s="807"/>
      <c r="F1" s="807"/>
      <c r="G1" s="807"/>
      <c r="H1" s="808"/>
      <c r="I1" s="808"/>
      <c r="J1" s="327"/>
      <c r="K1" s="327"/>
      <c r="L1" s="327"/>
      <c r="M1" s="327"/>
      <c r="N1" s="327"/>
    </row>
    <row r="2" spans="1:14">
      <c r="A2" s="809" t="s">
        <v>120</v>
      </c>
      <c r="B2" s="2036">
        <v>45657</v>
      </c>
      <c r="C2" s="811">
        <f>+lgh_bs!E2</f>
        <v>45747</v>
      </c>
      <c r="D2" s="810">
        <f>+lgh_bs!F2</f>
        <v>45838</v>
      </c>
      <c r="E2" s="810">
        <f>+lgh_bs!G2</f>
        <v>45930</v>
      </c>
      <c r="F2" s="812">
        <f>+lgh_bs!H2</f>
        <v>46022</v>
      </c>
      <c r="G2" s="811">
        <f>+lgh_bs!I2</f>
        <v>46112</v>
      </c>
      <c r="H2" s="810">
        <f>+lgh_bs!J2</f>
        <v>46203</v>
      </c>
      <c r="I2" s="810">
        <f>+lgh_bs!K2</f>
        <v>46295</v>
      </c>
      <c r="J2" s="812">
        <f>+lgh_bs!L2</f>
        <v>46387</v>
      </c>
      <c r="K2" s="810">
        <f>+lgh_bs!M2</f>
        <v>46752</v>
      </c>
      <c r="L2" s="810">
        <f>+lgh_bs!N2</f>
        <v>47118</v>
      </c>
      <c r="M2" s="810">
        <f>+lgh_bs!O2</f>
        <v>47483</v>
      </c>
      <c r="N2" s="810">
        <f>+lgh_bs!P2</f>
        <v>47848</v>
      </c>
    </row>
    <row r="3" spans="1:14">
      <c r="A3" s="813" t="s">
        <v>222</v>
      </c>
      <c r="B3" s="2037" t="s">
        <v>2</v>
      </c>
      <c r="C3" s="814" t="str">
        <f>+lgh_bs!E3</f>
        <v>Q1</v>
      </c>
      <c r="D3" s="773" t="str">
        <f>+lgh_bs!F3</f>
        <v>Q2</v>
      </c>
      <c r="E3" s="773" t="str">
        <f>+lgh_bs!G3</f>
        <v>Q3</v>
      </c>
      <c r="F3" s="815" t="str">
        <f>+lgh_bs!H3</f>
        <v>Q4</v>
      </c>
      <c r="G3" s="814" t="str">
        <f>+lgh_bs!I3</f>
        <v>Q1</v>
      </c>
      <c r="H3" s="773" t="str">
        <f>+lgh_bs!J3</f>
        <v>Q2</v>
      </c>
      <c r="I3" s="773" t="str">
        <f>+lgh_bs!K3</f>
        <v>Q3</v>
      </c>
      <c r="J3" s="815" t="str">
        <f>+lgh_bs!L3</f>
        <v>Q4</v>
      </c>
      <c r="K3" s="816" t="str">
        <f>+lgh_bs!M3</f>
        <v>Q4</v>
      </c>
      <c r="L3" s="816" t="str">
        <f>+lgh_bs!N3</f>
        <v>Q4</v>
      </c>
      <c r="M3" s="816" t="str">
        <f>+lgh_bs!O3</f>
        <v>Q4</v>
      </c>
      <c r="N3" s="816" t="str">
        <f>+lgh_bs!P3</f>
        <v>Q4</v>
      </c>
    </row>
    <row r="4" spans="1:14">
      <c r="A4" s="104" t="s">
        <v>343</v>
      </c>
      <c r="B4" s="2023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</row>
    <row r="5" spans="1:14">
      <c r="A5" t="s">
        <v>344</v>
      </c>
      <c r="B5" s="2023">
        <v>3000000</v>
      </c>
      <c r="C5" s="9">
        <f>3000000/4</f>
        <v>750000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</row>
    <row r="6" spans="1:14">
      <c r="A6" t="s">
        <v>195</v>
      </c>
      <c r="B6" s="2023">
        <v>6000000</v>
      </c>
      <c r="C6" s="266">
        <f>-6050000</f>
        <v>-6050000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</row>
    <row r="7" spans="1:14">
      <c r="A7" t="s">
        <v>345</v>
      </c>
      <c r="B7" s="2023"/>
      <c r="D7" s="9">
        <v>-1200000</v>
      </c>
      <c r="E7" s="9"/>
      <c r="F7" s="9"/>
      <c r="G7" s="9"/>
      <c r="H7" s="9"/>
      <c r="I7" s="9"/>
      <c r="J7" s="9"/>
      <c r="K7" s="9"/>
      <c r="L7" s="9"/>
      <c r="M7" s="9"/>
      <c r="N7" s="9"/>
    </row>
    <row r="8" spans="1:14">
      <c r="A8" t="s">
        <v>346</v>
      </c>
      <c r="B8" s="2023"/>
      <c r="D8" s="9">
        <v>-350000</v>
      </c>
      <c r="E8" s="9"/>
      <c r="F8" s="9"/>
      <c r="G8" s="9"/>
      <c r="H8" s="9"/>
      <c r="I8" s="9"/>
      <c r="J8" s="9"/>
      <c r="K8" s="9"/>
      <c r="L8" s="9"/>
      <c r="M8" s="9"/>
      <c r="N8" s="9"/>
    </row>
    <row r="9" spans="1:14" s="183" customFormat="1">
      <c r="A9" s="183" t="s">
        <v>347</v>
      </c>
      <c r="B9" s="2095"/>
      <c r="C9" s="267">
        <f>-2150000</f>
        <v>-2150000</v>
      </c>
      <c r="D9" s="184"/>
      <c r="E9" s="184"/>
      <c r="F9" s="184"/>
      <c r="G9" s="184"/>
      <c r="H9" s="184"/>
      <c r="I9" s="184"/>
      <c r="J9" s="184"/>
      <c r="K9" s="184"/>
      <c r="L9" s="184"/>
      <c r="M9" s="184"/>
      <c r="N9" s="184"/>
    </row>
    <row r="10" spans="1:14">
      <c r="A10" s="104" t="s">
        <v>189</v>
      </c>
      <c r="B10" s="2096">
        <v>9000000</v>
      </c>
      <c r="C10" s="127">
        <f t="shared" ref="C10:N10" si="0">SUM(C5:C9)</f>
        <v>-7450000</v>
      </c>
      <c r="D10" s="127">
        <f t="shared" si="0"/>
        <v>-1550000</v>
      </c>
      <c r="E10" s="127">
        <f t="shared" si="0"/>
        <v>0</v>
      </c>
      <c r="F10" s="127">
        <f t="shared" si="0"/>
        <v>0</v>
      </c>
      <c r="G10" s="127">
        <f t="shared" si="0"/>
        <v>0</v>
      </c>
      <c r="H10" s="127">
        <f t="shared" si="0"/>
        <v>0</v>
      </c>
      <c r="I10" s="127">
        <f t="shared" si="0"/>
        <v>0</v>
      </c>
      <c r="J10" s="127">
        <f t="shared" si="0"/>
        <v>0</v>
      </c>
      <c r="K10" s="127">
        <f t="shared" si="0"/>
        <v>0</v>
      </c>
      <c r="L10" s="127">
        <f t="shared" si="0"/>
        <v>0</v>
      </c>
      <c r="M10" s="127">
        <f t="shared" si="0"/>
        <v>0</v>
      </c>
      <c r="N10" s="127">
        <f t="shared" si="0"/>
        <v>0</v>
      </c>
    </row>
    <row r="11" spans="1:14">
      <c r="A11" s="5" t="s">
        <v>183</v>
      </c>
      <c r="B11" s="2097">
        <v>9000000</v>
      </c>
      <c r="C11" s="1488">
        <f t="shared" ref="C11:N11" si="1">+B11+C10</f>
        <v>1550000</v>
      </c>
      <c r="D11" s="1488">
        <f t="shared" si="1"/>
        <v>0</v>
      </c>
      <c r="E11" s="1488">
        <f t="shared" si="1"/>
        <v>0</v>
      </c>
      <c r="F11" s="1488">
        <f t="shared" si="1"/>
        <v>0</v>
      </c>
      <c r="G11" s="1488">
        <f t="shared" si="1"/>
        <v>0</v>
      </c>
      <c r="H11" s="1488">
        <f t="shared" si="1"/>
        <v>0</v>
      </c>
      <c r="I11" s="1488">
        <f t="shared" si="1"/>
        <v>0</v>
      </c>
      <c r="J11" s="1488">
        <f t="shared" si="1"/>
        <v>0</v>
      </c>
      <c r="K11" s="1488">
        <f t="shared" si="1"/>
        <v>0</v>
      </c>
      <c r="L11" s="1488">
        <f t="shared" si="1"/>
        <v>0</v>
      </c>
      <c r="M11" s="1488">
        <f t="shared" si="1"/>
        <v>0</v>
      </c>
      <c r="N11" s="1488">
        <f t="shared" si="1"/>
        <v>0</v>
      </c>
    </row>
    <row r="12" spans="1:14" ht="14.7" customHeight="1" thickBot="1">
      <c r="B12" s="2023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</row>
    <row r="13" spans="1:14">
      <c r="A13" s="806" t="s">
        <v>348</v>
      </c>
      <c r="B13" s="2035"/>
      <c r="C13" s="807"/>
      <c r="D13" s="807"/>
      <c r="E13" s="807"/>
      <c r="F13" s="807"/>
      <c r="G13" s="807"/>
      <c r="H13" s="808"/>
      <c r="I13" s="808"/>
    </row>
    <row r="14" spans="1:14">
      <c r="B14" s="2023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</row>
    <row r="15" spans="1:14">
      <c r="A15" t="s">
        <v>349</v>
      </c>
      <c r="B15" s="2023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</row>
    <row r="16" spans="1:14">
      <c r="A16" s="104" t="s">
        <v>350</v>
      </c>
      <c r="B16" s="2098">
        <v>6000000</v>
      </c>
      <c r="C16" s="84"/>
      <c r="D16" s="84"/>
      <c r="E16" s="84"/>
      <c r="F16" s="84"/>
      <c r="G16" s="84"/>
      <c r="H16" s="84"/>
      <c r="I16" s="84"/>
      <c r="J16" s="84"/>
      <c r="K16" s="84"/>
      <c r="L16" s="84"/>
      <c r="M16" s="84"/>
      <c r="N16" s="84"/>
    </row>
    <row r="17" spans="1:14">
      <c r="A17" s="104"/>
      <c r="B17" s="2040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>
      <c r="A18" s="67" t="s">
        <v>351</v>
      </c>
      <c r="B18" s="2040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>
      <c r="A19" s="104" t="s">
        <v>352</v>
      </c>
      <c r="B19" s="2098">
        <v>0</v>
      </c>
      <c r="C19" s="84">
        <f t="shared" ref="C19:N19" si="2">SUM(C6:C7)</f>
        <v>-6050000</v>
      </c>
      <c r="D19" s="84">
        <f t="shared" si="2"/>
        <v>-1200000</v>
      </c>
      <c r="E19" s="84">
        <f t="shared" si="2"/>
        <v>0</v>
      </c>
      <c r="F19" s="84">
        <f t="shared" si="2"/>
        <v>0</v>
      </c>
      <c r="G19" s="84">
        <f t="shared" si="2"/>
        <v>0</v>
      </c>
      <c r="H19" s="84">
        <f t="shared" si="2"/>
        <v>0</v>
      </c>
      <c r="I19" s="84">
        <f t="shared" si="2"/>
        <v>0</v>
      </c>
      <c r="J19" s="84">
        <f t="shared" si="2"/>
        <v>0</v>
      </c>
      <c r="K19" s="84">
        <f t="shared" si="2"/>
        <v>0</v>
      </c>
      <c r="L19" s="84">
        <f t="shared" si="2"/>
        <v>0</v>
      </c>
      <c r="M19" s="84">
        <f t="shared" si="2"/>
        <v>0</v>
      </c>
      <c r="N19" s="84">
        <f t="shared" si="2"/>
        <v>0</v>
      </c>
    </row>
    <row r="20" spans="1:14">
      <c r="B20" s="2023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</row>
    <row r="21" spans="1:14">
      <c r="B21" s="2023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</row>
    <row r="22" spans="1:14">
      <c r="B22" s="2023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</row>
    <row r="23" spans="1:14">
      <c r="B23" s="2023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</row>
    <row r="24" spans="1:14">
      <c r="B24" s="2023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</row>
    <row r="25" spans="1:14">
      <c r="B25" s="2023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</row>
    <row r="26" spans="1:14">
      <c r="B26" s="2023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</row>
    <row r="27" spans="1:14">
      <c r="B27" s="2023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</row>
    <row r="28" spans="1:14">
      <c r="B28" s="2023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</row>
    <row r="29" spans="1:14">
      <c r="B29" s="2023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</row>
    <row r="30" spans="1:14">
      <c r="B30" s="2023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</row>
    <row r="31" spans="1:14">
      <c r="B31" s="2023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</row>
    <row r="32" spans="1:14">
      <c r="F32" s="6"/>
      <c r="H32" s="6"/>
    </row>
    <row r="33" spans="2:14">
      <c r="H33" s="6"/>
    </row>
    <row r="34" spans="2:14">
      <c r="B34" s="2099"/>
      <c r="C34" s="203"/>
      <c r="D34" s="202"/>
      <c r="E34" s="203"/>
      <c r="F34" s="202"/>
      <c r="G34" s="202"/>
      <c r="H34" s="202"/>
      <c r="I34" s="203"/>
    </row>
    <row r="35" spans="2:14">
      <c r="B35" s="2100"/>
      <c r="C35" s="18"/>
      <c r="D35" s="18"/>
      <c r="E35" s="18"/>
      <c r="F35" s="18"/>
      <c r="G35" s="18"/>
      <c r="H35" s="18"/>
      <c r="I35" s="18"/>
    </row>
    <row r="36" spans="2:14">
      <c r="B36" s="2008"/>
      <c r="C36" s="1"/>
      <c r="D36" s="1"/>
      <c r="E36" s="1"/>
      <c r="F36" s="1"/>
      <c r="G36" s="1"/>
      <c r="H36" s="1"/>
      <c r="I36" s="1"/>
    </row>
    <row r="37" spans="2:14">
      <c r="B37" s="2008"/>
      <c r="C37" s="1"/>
      <c r="D37" s="1"/>
      <c r="E37" s="1"/>
      <c r="F37" s="1"/>
      <c r="G37" s="1"/>
      <c r="H37" s="1"/>
      <c r="I37" s="1"/>
    </row>
    <row r="38" spans="2:14">
      <c r="B38" s="2040"/>
      <c r="C38" s="1"/>
      <c r="D38" s="6"/>
      <c r="E38" s="1"/>
      <c r="F38" s="1"/>
      <c r="G38" s="1"/>
      <c r="H38" s="1"/>
      <c r="I38" s="1"/>
      <c r="K38" s="1"/>
      <c r="L38" s="1"/>
      <c r="M38" s="1"/>
      <c r="N38" s="1"/>
    </row>
    <row r="39" spans="2:14">
      <c r="B39" s="2040"/>
      <c r="C39" s="1"/>
      <c r="D39" s="6"/>
      <c r="E39" s="1"/>
      <c r="F39" s="1"/>
      <c r="G39" s="1"/>
      <c r="H39" s="1"/>
      <c r="I39" s="1"/>
      <c r="K39" s="1"/>
      <c r="L39" s="1"/>
      <c r="M39" s="1"/>
      <c r="N39" s="1"/>
    </row>
    <row r="40" spans="2:14">
      <c r="B40" s="2040"/>
      <c r="C40" s="1"/>
      <c r="D40" s="1"/>
      <c r="E40" s="1"/>
      <c r="F40" s="6"/>
      <c r="G40" s="1"/>
      <c r="H40" s="1"/>
      <c r="I40" s="1"/>
      <c r="K40" s="1"/>
      <c r="L40" s="1"/>
      <c r="M40" s="1"/>
      <c r="N40" s="1"/>
    </row>
    <row r="41" spans="2:14">
      <c r="B41" s="2040"/>
      <c r="C41" s="1"/>
      <c r="D41" s="1"/>
      <c r="E41" s="1"/>
      <c r="F41" s="6"/>
      <c r="G41" s="1"/>
      <c r="H41" s="1"/>
      <c r="I41" s="1"/>
    </row>
    <row r="42" spans="2:14">
      <c r="B42" s="2040"/>
      <c r="C42" s="1"/>
      <c r="D42" s="1"/>
      <c r="E42" s="1"/>
      <c r="F42" s="1"/>
      <c r="G42" s="1"/>
      <c r="H42" s="6"/>
      <c r="I42" s="1"/>
    </row>
    <row r="43" spans="2:14">
      <c r="B43" s="2040"/>
      <c r="C43" s="1"/>
      <c r="D43" s="1"/>
      <c r="E43" s="1"/>
      <c r="F43" s="1"/>
      <c r="G43" s="1"/>
      <c r="H43" s="6"/>
      <c r="I43" s="1"/>
    </row>
    <row r="44" spans="2:14">
      <c r="B44" s="2040"/>
      <c r="C44" s="1"/>
      <c r="D44" s="1"/>
      <c r="E44" s="1"/>
      <c r="F44" s="1"/>
      <c r="G44" s="1"/>
      <c r="H44" s="6"/>
      <c r="I44" s="1"/>
    </row>
    <row r="45" spans="2:14">
      <c r="B45" s="2101"/>
      <c r="C45" s="2"/>
      <c r="D45" s="2"/>
      <c r="E45" s="2"/>
      <c r="F45" s="2"/>
      <c r="G45" s="2"/>
      <c r="H45" s="2"/>
      <c r="I45" s="2"/>
      <c r="J45" s="8"/>
    </row>
    <row r="47" spans="2:14">
      <c r="B47" s="2101"/>
      <c r="C47" s="2"/>
      <c r="D47" s="2"/>
      <c r="E47" s="2"/>
      <c r="F47" s="2"/>
      <c r="G47" s="2"/>
      <c r="H47" s="2"/>
      <c r="I47" s="2"/>
      <c r="J47" s="1"/>
    </row>
    <row r="48" spans="2:14">
      <c r="B48" s="2101"/>
      <c r="C48" s="2"/>
      <c r="D48" s="2"/>
      <c r="E48" s="2"/>
      <c r="F48" s="2"/>
      <c r="G48" s="2"/>
      <c r="H48" s="2"/>
      <c r="I48" s="2"/>
      <c r="J48" s="1"/>
    </row>
    <row r="49" spans="2:10">
      <c r="B49" s="2101"/>
      <c r="C49" s="2"/>
      <c r="D49" s="2"/>
      <c r="E49" s="2"/>
      <c r="F49" s="2"/>
      <c r="G49" s="2"/>
      <c r="H49" s="2"/>
      <c r="I49" s="2"/>
      <c r="J49" s="1"/>
    </row>
    <row r="50" spans="2:10">
      <c r="C50" s="2"/>
      <c r="E50" s="2"/>
      <c r="G50" s="2"/>
      <c r="I50" s="2"/>
    </row>
    <row r="51" spans="2:10">
      <c r="C51" s="164"/>
      <c r="D51" s="164"/>
      <c r="E51" s="1"/>
      <c r="F51" s="1"/>
      <c r="G51" s="1"/>
      <c r="H51" s="1"/>
    </row>
    <row r="52" spans="2:10">
      <c r="B52" s="2040"/>
      <c r="C52" s="1"/>
      <c r="D52" s="1"/>
      <c r="E52" s="1"/>
      <c r="F52" s="1"/>
      <c r="G52" s="1"/>
      <c r="H52" s="1"/>
      <c r="I52" s="6"/>
      <c r="J52" s="5"/>
    </row>
    <row r="53" spans="2:10">
      <c r="B53" s="2040"/>
      <c r="C53" s="1"/>
      <c r="D53" s="1"/>
      <c r="E53" s="1"/>
      <c r="F53" s="1"/>
      <c r="G53" s="1"/>
      <c r="H53" s="1"/>
      <c r="I53" s="6"/>
    </row>
    <row r="54" spans="2:10">
      <c r="B54" s="2085"/>
      <c r="C54" s="29"/>
      <c r="D54" s="29"/>
      <c r="E54" s="29"/>
      <c r="F54" s="29"/>
      <c r="G54" s="29"/>
      <c r="H54" s="29"/>
      <c r="I54" s="29"/>
    </row>
    <row r="57" spans="2:10">
      <c r="B57" s="2101"/>
      <c r="D57" s="2"/>
      <c r="F57" s="2"/>
      <c r="H57" s="2"/>
      <c r="I57" s="187"/>
    </row>
    <row r="61" spans="2:10">
      <c r="B61" s="2102"/>
      <c r="D61" s="164"/>
      <c r="F61" s="164"/>
      <c r="H61" s="164"/>
    </row>
    <row r="62" spans="2:10">
      <c r="B62" s="1991"/>
      <c r="D62" s="187"/>
      <c r="F62" s="187"/>
      <c r="H62" s="187"/>
      <c r="I62" s="187"/>
    </row>
    <row r="63" spans="2:10">
      <c r="B63" s="2101"/>
      <c r="D63" s="2"/>
      <c r="F63" s="2"/>
      <c r="H63" s="2"/>
    </row>
    <row r="64" spans="2:10">
      <c r="B64" s="1991"/>
      <c r="D64" s="187"/>
      <c r="F64" s="187"/>
      <c r="H64" s="187"/>
      <c r="I64" s="187"/>
    </row>
    <row r="65" spans="2:9">
      <c r="B65" s="1991"/>
      <c r="D65" s="187"/>
      <c r="F65" s="187"/>
      <c r="H65" s="187"/>
      <c r="I65" s="187"/>
    </row>
    <row r="66" spans="2:9">
      <c r="I66" s="18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4">
    <tabColor rgb="FFD9E1F2"/>
  </sheetPr>
  <dimension ref="A1:T66"/>
  <sheetViews>
    <sheetView showGridLines="0" topLeftCell="A29" zoomScale="85" zoomScaleNormal="85" workbookViewId="0">
      <selection activeCell="B30" sqref="B1:D1048576"/>
    </sheetView>
  </sheetViews>
  <sheetFormatPr defaultRowHeight="14.4"/>
  <cols>
    <col min="1" max="1" width="35" bestFit="1" customWidth="1"/>
    <col min="2" max="2" width="8.41796875" style="649" bestFit="1" customWidth="1"/>
    <col min="3" max="3" width="8.41796875" bestFit="1" customWidth="1"/>
    <col min="4" max="4" width="12.578125" bestFit="1" customWidth="1"/>
    <col min="5" max="5" width="9.26171875" bestFit="1" customWidth="1"/>
    <col min="6" max="14" width="8.41796875" bestFit="1" customWidth="1"/>
    <col min="16" max="16" width="11.26171875" bestFit="1" customWidth="1"/>
    <col min="17" max="17" width="6.68359375" bestFit="1" customWidth="1"/>
    <col min="18" max="19" width="7.26171875" bestFit="1" customWidth="1"/>
    <col min="20" max="20" width="8.41796875" bestFit="1" customWidth="1"/>
  </cols>
  <sheetData>
    <row r="1" spans="1:14" ht="14.7" customHeight="1" thickBot="1">
      <c r="A1" s="806" t="s">
        <v>85</v>
      </c>
      <c r="B1" s="2035"/>
      <c r="C1" s="807"/>
      <c r="D1" s="807"/>
      <c r="E1" s="807"/>
      <c r="F1" s="807"/>
      <c r="G1" s="807"/>
      <c r="H1" s="807"/>
      <c r="I1" s="807"/>
      <c r="J1" s="808"/>
      <c r="K1" s="808"/>
      <c r="L1" s="808"/>
      <c r="M1" s="808"/>
      <c r="N1" s="808"/>
    </row>
    <row r="2" spans="1:14">
      <c r="A2" s="809" t="s">
        <v>120</v>
      </c>
      <c r="B2" s="2036">
        <v>45657</v>
      </c>
      <c r="C2" s="811">
        <f>+lgh_bs!E2</f>
        <v>45747</v>
      </c>
      <c r="D2" s="810">
        <f>+lgh_bs!F2</f>
        <v>45838</v>
      </c>
      <c r="E2" s="810">
        <f>+lgh_bs!G2</f>
        <v>45930</v>
      </c>
      <c r="F2" s="812">
        <f>+lgh_bs!H2</f>
        <v>46022</v>
      </c>
      <c r="G2" s="810">
        <f>+lgh_bs!I2</f>
        <v>46112</v>
      </c>
      <c r="H2" s="810">
        <f>+lgh_bs!J2</f>
        <v>46203</v>
      </c>
      <c r="I2" s="810">
        <f>+lgh_bs!K2</f>
        <v>46295</v>
      </c>
      <c r="J2" s="810">
        <f>+lgh_bs!L2</f>
        <v>46387</v>
      </c>
      <c r="K2" s="810">
        <f>+lgh_bs!M2</f>
        <v>46752</v>
      </c>
      <c r="L2" s="810">
        <f>+lgh_bs!N2</f>
        <v>47118</v>
      </c>
      <c r="M2" s="810">
        <f>+lgh_bs!O2</f>
        <v>47483</v>
      </c>
      <c r="N2" s="810">
        <f>+lgh_bs!P2</f>
        <v>47848</v>
      </c>
    </row>
    <row r="3" spans="1:14">
      <c r="A3" s="813" t="s">
        <v>222</v>
      </c>
      <c r="B3" s="2037" t="s">
        <v>2</v>
      </c>
      <c r="C3" s="814" t="str">
        <f>+lgh_bs!E3</f>
        <v>Q1</v>
      </c>
      <c r="D3" s="773" t="str">
        <f>+lgh_bs!F3</f>
        <v>Q2</v>
      </c>
      <c r="E3" s="773" t="str">
        <f>+lgh_bs!G3</f>
        <v>Q3</v>
      </c>
      <c r="F3" s="815" t="str">
        <f>+lgh_bs!H3</f>
        <v>Q4</v>
      </c>
      <c r="G3" s="773" t="str">
        <f>+lgh_bs!I3</f>
        <v>Q1</v>
      </c>
      <c r="H3" s="773" t="str">
        <f>+lgh_bs!J3</f>
        <v>Q2</v>
      </c>
      <c r="I3" s="773" t="str">
        <f>+lgh_bs!K3</f>
        <v>Q3</v>
      </c>
      <c r="J3" s="773" t="str">
        <f>+lgh_bs!L3</f>
        <v>Q4</v>
      </c>
      <c r="K3" s="816" t="str">
        <f>+lgh_bs!M3</f>
        <v>Q4</v>
      </c>
      <c r="L3" s="816" t="str">
        <f>+lgh_bs!N3</f>
        <v>Q4</v>
      </c>
      <c r="M3" s="816" t="str">
        <f>+lgh_bs!O3</f>
        <v>Q4</v>
      </c>
      <c r="N3" s="816" t="str">
        <f>+lgh_bs!P3</f>
        <v>Q4</v>
      </c>
    </row>
    <row r="5" spans="1:14">
      <c r="A5" s="5" t="s">
        <v>353</v>
      </c>
    </row>
    <row r="6" spans="1:14" s="2020" customFormat="1">
      <c r="A6" s="2020" t="s">
        <v>354</v>
      </c>
      <c r="B6" s="2038"/>
      <c r="C6" s="2021"/>
      <c r="D6" s="2021"/>
      <c r="E6" s="2021"/>
      <c r="F6" s="2021"/>
      <c r="G6" s="2021"/>
      <c r="H6" s="2021"/>
      <c r="I6" s="2021"/>
      <c r="J6" s="2021"/>
      <c r="K6" s="2021"/>
      <c r="L6" s="2021"/>
      <c r="M6" s="2021"/>
      <c r="N6" s="2021"/>
    </row>
    <row r="7" spans="1:14" s="2020" customFormat="1">
      <c r="A7" s="2020" t="s">
        <v>355</v>
      </c>
      <c r="B7" s="1074">
        <v>0</v>
      </c>
      <c r="C7" s="2022"/>
      <c r="D7" s="2022">
        <v>23600000</v>
      </c>
      <c r="E7" s="2022">
        <v>0</v>
      </c>
      <c r="F7" s="2022">
        <f>3000000*0</f>
        <v>0</v>
      </c>
      <c r="G7" s="2022">
        <v>0</v>
      </c>
      <c r="H7" s="2022">
        <v>0</v>
      </c>
      <c r="I7" s="2022">
        <v>0</v>
      </c>
      <c r="J7" s="2022">
        <v>0</v>
      </c>
      <c r="K7" s="2022">
        <v>0</v>
      </c>
      <c r="L7" s="2022">
        <v>0</v>
      </c>
      <c r="M7" s="2022">
        <v>0</v>
      </c>
      <c r="N7" s="2022">
        <v>0</v>
      </c>
    </row>
    <row r="8" spans="1:14" s="2020" customFormat="1">
      <c r="A8" s="2020" t="s">
        <v>356</v>
      </c>
      <c r="B8" s="1074"/>
      <c r="C8" s="2022"/>
      <c r="D8" s="2022"/>
      <c r="E8" s="2022"/>
      <c r="F8" s="2022"/>
      <c r="G8" s="2022"/>
      <c r="H8" s="2022"/>
      <c r="I8" s="2022"/>
      <c r="J8" s="2022"/>
      <c r="K8" s="2022"/>
      <c r="L8" s="2022"/>
      <c r="M8" s="2022"/>
      <c r="N8" s="2022"/>
    </row>
    <row r="9" spans="1:14" s="2020" customFormat="1">
      <c r="A9" s="2020" t="s">
        <v>357</v>
      </c>
      <c r="B9" s="1074"/>
      <c r="C9" s="2022"/>
      <c r="D9" s="2022"/>
      <c r="E9" s="2022">
        <v>200000</v>
      </c>
      <c r="F9" s="2022"/>
      <c r="G9" s="2022"/>
      <c r="H9" s="2022"/>
      <c r="I9" s="2022"/>
      <c r="J9" s="2022"/>
      <c r="K9" s="2022"/>
      <c r="L9" s="2022"/>
      <c r="M9" s="2022"/>
      <c r="N9" s="2022"/>
    </row>
    <row r="10" spans="1:14">
      <c r="A10" s="67" t="s">
        <v>183</v>
      </c>
      <c r="B10" s="2039">
        <v>0</v>
      </c>
      <c r="C10" s="102">
        <f t="shared" ref="C10:N10" si="0">SUM(C6:C9)</f>
        <v>0</v>
      </c>
      <c r="D10" s="102">
        <f t="shared" si="0"/>
        <v>23600000</v>
      </c>
      <c r="E10" s="102">
        <f t="shared" si="0"/>
        <v>200000</v>
      </c>
      <c r="F10" s="102">
        <f t="shared" si="0"/>
        <v>0</v>
      </c>
      <c r="G10" s="102">
        <f t="shared" si="0"/>
        <v>0</v>
      </c>
      <c r="H10" s="102">
        <f t="shared" si="0"/>
        <v>0</v>
      </c>
      <c r="I10" s="102">
        <f t="shared" si="0"/>
        <v>0</v>
      </c>
      <c r="J10" s="102">
        <f t="shared" si="0"/>
        <v>0</v>
      </c>
      <c r="K10" s="102">
        <f t="shared" si="0"/>
        <v>0</v>
      </c>
      <c r="L10" s="102">
        <f t="shared" si="0"/>
        <v>0</v>
      </c>
      <c r="M10" s="102">
        <f t="shared" si="0"/>
        <v>0</v>
      </c>
      <c r="N10" s="102">
        <f t="shared" si="0"/>
        <v>0</v>
      </c>
    </row>
    <row r="11" spans="1:14">
      <c r="A11" s="5"/>
    </row>
    <row r="12" spans="1:14">
      <c r="A12" t="s">
        <v>199</v>
      </c>
      <c r="B12" s="2040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s="2020" customFormat="1">
      <c r="B13" s="1074">
        <v>0</v>
      </c>
      <c r="C13" s="2022">
        <f t="shared" ref="C13:N13" si="1">+C10</f>
        <v>0</v>
      </c>
      <c r="D13" s="2022">
        <f t="shared" si="1"/>
        <v>23600000</v>
      </c>
      <c r="E13" s="2022">
        <f t="shared" si="1"/>
        <v>200000</v>
      </c>
      <c r="F13" s="2022">
        <f t="shared" si="1"/>
        <v>0</v>
      </c>
      <c r="G13" s="2022">
        <f t="shared" si="1"/>
        <v>0</v>
      </c>
      <c r="H13" s="2022">
        <f t="shared" si="1"/>
        <v>0</v>
      </c>
      <c r="I13" s="2022">
        <f t="shared" si="1"/>
        <v>0</v>
      </c>
      <c r="J13" s="2022">
        <f t="shared" si="1"/>
        <v>0</v>
      </c>
      <c r="K13" s="2022">
        <f t="shared" si="1"/>
        <v>0</v>
      </c>
      <c r="L13" s="2022">
        <f t="shared" si="1"/>
        <v>0</v>
      </c>
      <c r="M13" s="2022">
        <f t="shared" si="1"/>
        <v>0</v>
      </c>
      <c r="N13" s="2022">
        <f t="shared" si="1"/>
        <v>0</v>
      </c>
    </row>
    <row r="14" spans="1:14">
      <c r="A14" s="67" t="s">
        <v>358</v>
      </c>
      <c r="B14" s="2039">
        <v>0</v>
      </c>
      <c r="C14" s="102">
        <f t="shared" ref="C14:N14" si="2">SUM(C13)</f>
        <v>0</v>
      </c>
      <c r="D14" s="102">
        <f t="shared" si="2"/>
        <v>23600000</v>
      </c>
      <c r="E14" s="102">
        <f t="shared" si="2"/>
        <v>200000</v>
      </c>
      <c r="F14" s="102">
        <f t="shared" si="2"/>
        <v>0</v>
      </c>
      <c r="G14" s="102">
        <f t="shared" si="2"/>
        <v>0</v>
      </c>
      <c r="H14" s="102">
        <f t="shared" si="2"/>
        <v>0</v>
      </c>
      <c r="I14" s="102">
        <f t="shared" si="2"/>
        <v>0</v>
      </c>
      <c r="J14" s="102">
        <f t="shared" si="2"/>
        <v>0</v>
      </c>
      <c r="K14" s="102">
        <f t="shared" si="2"/>
        <v>0</v>
      </c>
      <c r="L14" s="102">
        <f t="shared" si="2"/>
        <v>0</v>
      </c>
      <c r="M14" s="102">
        <f t="shared" si="2"/>
        <v>0</v>
      </c>
      <c r="N14" s="102">
        <f t="shared" si="2"/>
        <v>0</v>
      </c>
    </row>
    <row r="15" spans="1:14">
      <c r="B15" s="2040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>
      <c r="A16" t="s">
        <v>200</v>
      </c>
      <c r="B16" s="2040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s="2020" customFormat="1">
      <c r="B17" s="1074">
        <v>0</v>
      </c>
      <c r="C17" s="2022">
        <v>0</v>
      </c>
      <c r="D17" s="2022">
        <v>-23600000</v>
      </c>
      <c r="E17" s="2022">
        <v>0</v>
      </c>
      <c r="F17" s="2022">
        <v>0</v>
      </c>
      <c r="G17" s="2022">
        <v>0</v>
      </c>
      <c r="H17" s="2022">
        <v>0</v>
      </c>
      <c r="I17" s="2022">
        <v>0</v>
      </c>
      <c r="J17" s="2022">
        <v>0</v>
      </c>
      <c r="K17" s="2022">
        <v>0</v>
      </c>
      <c r="L17" s="2022">
        <v>0</v>
      </c>
      <c r="M17" s="2022">
        <v>0</v>
      </c>
      <c r="N17" s="2022">
        <v>0</v>
      </c>
    </row>
    <row r="18" spans="1:14">
      <c r="A18" s="67" t="s">
        <v>179</v>
      </c>
      <c r="B18" s="2039">
        <v>0</v>
      </c>
      <c r="C18" s="102">
        <f t="shared" ref="C18:N18" si="3">SUM(C17)</f>
        <v>0</v>
      </c>
      <c r="D18" s="102">
        <f t="shared" si="3"/>
        <v>-23600000</v>
      </c>
      <c r="E18" s="102">
        <f t="shared" si="3"/>
        <v>0</v>
      </c>
      <c r="F18" s="102">
        <f t="shared" si="3"/>
        <v>0</v>
      </c>
      <c r="G18" s="102">
        <f t="shared" si="3"/>
        <v>0</v>
      </c>
      <c r="H18" s="102">
        <f t="shared" si="3"/>
        <v>0</v>
      </c>
      <c r="I18" s="102">
        <f t="shared" si="3"/>
        <v>0</v>
      </c>
      <c r="J18" s="102">
        <f t="shared" si="3"/>
        <v>0</v>
      </c>
      <c r="K18" s="102">
        <f t="shared" si="3"/>
        <v>0</v>
      </c>
      <c r="L18" s="102">
        <f t="shared" si="3"/>
        <v>0</v>
      </c>
      <c r="M18" s="102">
        <f t="shared" si="3"/>
        <v>0</v>
      </c>
      <c r="N18" s="102">
        <f t="shared" si="3"/>
        <v>0</v>
      </c>
    </row>
    <row r="19" spans="1:14">
      <c r="B19" s="2040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>
      <c r="A20" s="104" t="s">
        <v>359</v>
      </c>
      <c r="B20" s="2041">
        <v>0</v>
      </c>
      <c r="C20" s="146">
        <f t="shared" ref="C20:N20" si="4">+C10+C18</f>
        <v>0</v>
      </c>
      <c r="D20" s="146">
        <f t="shared" si="4"/>
        <v>0</v>
      </c>
      <c r="E20" s="146">
        <f t="shared" si="4"/>
        <v>200000</v>
      </c>
      <c r="F20" s="146">
        <f t="shared" si="4"/>
        <v>0</v>
      </c>
      <c r="G20" s="146">
        <f t="shared" si="4"/>
        <v>0</v>
      </c>
      <c r="H20" s="146">
        <f t="shared" si="4"/>
        <v>0</v>
      </c>
      <c r="I20" s="146">
        <f t="shared" si="4"/>
        <v>0</v>
      </c>
      <c r="J20" s="146">
        <f t="shared" si="4"/>
        <v>0</v>
      </c>
      <c r="K20" s="146">
        <f t="shared" si="4"/>
        <v>0</v>
      </c>
      <c r="L20" s="146">
        <f t="shared" si="4"/>
        <v>0</v>
      </c>
      <c r="M20" s="146">
        <f t="shared" si="4"/>
        <v>0</v>
      </c>
      <c r="N20" s="146">
        <f t="shared" si="4"/>
        <v>0</v>
      </c>
    </row>
    <row r="21" spans="1:14">
      <c r="A21" s="5"/>
      <c r="B21" s="2008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>
      <c r="A22" s="5" t="s">
        <v>360</v>
      </c>
    </row>
    <row r="23" spans="1:14">
      <c r="A23" s="5" t="s">
        <v>361</v>
      </c>
      <c r="C23" s="15"/>
    </row>
    <row r="24" spans="1:14">
      <c r="A24" t="s">
        <v>362</v>
      </c>
      <c r="B24" s="2017">
        <v>0</v>
      </c>
      <c r="C24" s="196">
        <f t="shared" ref="C24:N24" si="5">SUM(C32:C37)-C36</f>
        <v>0</v>
      </c>
      <c r="D24" s="616">
        <f t="shared" si="5"/>
        <v>0.23599999999999999</v>
      </c>
      <c r="E24" s="196">
        <f t="shared" si="5"/>
        <v>3.2000000000000002E-3</v>
      </c>
      <c r="F24" s="196">
        <f t="shared" si="5"/>
        <v>0</v>
      </c>
      <c r="G24" s="196">
        <f t="shared" si="5"/>
        <v>0</v>
      </c>
      <c r="H24" s="196">
        <f t="shared" si="5"/>
        <v>0</v>
      </c>
      <c r="I24" s="196">
        <f t="shared" si="5"/>
        <v>0</v>
      </c>
      <c r="J24" s="196">
        <f t="shared" si="5"/>
        <v>0</v>
      </c>
      <c r="K24" s="196">
        <f t="shared" si="5"/>
        <v>0</v>
      </c>
      <c r="L24" s="196">
        <f t="shared" si="5"/>
        <v>0</v>
      </c>
      <c r="M24" s="196">
        <f t="shared" si="5"/>
        <v>0</v>
      </c>
      <c r="N24" s="196">
        <f t="shared" si="5"/>
        <v>0</v>
      </c>
    </row>
    <row r="25" spans="1:14">
      <c r="A25" t="s">
        <v>363</v>
      </c>
      <c r="B25" s="2017">
        <v>9.9009900990099011E-3</v>
      </c>
      <c r="C25" s="196">
        <f t="shared" ref="C25:N25" si="6">(B25+C24)/(1+C24)</f>
        <v>9.9009900990099011E-3</v>
      </c>
      <c r="D25" s="196">
        <f t="shared" si="6"/>
        <v>0.19894902111570381</v>
      </c>
      <c r="E25" s="196">
        <f t="shared" si="6"/>
        <v>0.2015042076512199</v>
      </c>
      <c r="F25" s="196">
        <f t="shared" si="6"/>
        <v>0.2015042076512199</v>
      </c>
      <c r="G25" s="196">
        <f t="shared" si="6"/>
        <v>0.2015042076512199</v>
      </c>
      <c r="H25" s="196">
        <f t="shared" si="6"/>
        <v>0.2015042076512199</v>
      </c>
      <c r="I25" s="196">
        <f t="shared" si="6"/>
        <v>0.2015042076512199</v>
      </c>
      <c r="J25" s="196">
        <f t="shared" si="6"/>
        <v>0.2015042076512199</v>
      </c>
      <c r="K25" s="196">
        <f t="shared" si="6"/>
        <v>0.2015042076512199</v>
      </c>
      <c r="L25" s="196">
        <f t="shared" si="6"/>
        <v>0.2015042076512199</v>
      </c>
      <c r="M25" s="196">
        <f t="shared" si="6"/>
        <v>0.2015042076512199</v>
      </c>
      <c r="N25" s="196">
        <f t="shared" si="6"/>
        <v>0.2015042076512199</v>
      </c>
    </row>
    <row r="26" spans="1:14">
      <c r="A26" s="15" t="s">
        <v>364</v>
      </c>
      <c r="B26" s="2016">
        <v>0.98544554455445543</v>
      </c>
      <c r="C26" s="212">
        <f t="shared" ref="C26:N26" si="7">B26/(1+C24)</f>
        <v>0.98544554455445543</v>
      </c>
      <c r="D26" s="212">
        <f t="shared" si="7"/>
        <v>0.79728603928354003</v>
      </c>
      <c r="E26" s="212">
        <f t="shared" si="7"/>
        <v>0.79474286212474077</v>
      </c>
      <c r="F26" s="212">
        <f t="shared" si="7"/>
        <v>0.79474286212474077</v>
      </c>
      <c r="G26" s="212">
        <f t="shared" si="7"/>
        <v>0.79474286212474077</v>
      </c>
      <c r="H26" s="212">
        <f t="shared" si="7"/>
        <v>0.79474286212474077</v>
      </c>
      <c r="I26" s="212">
        <f t="shared" si="7"/>
        <v>0.79474286212474077</v>
      </c>
      <c r="J26" s="212">
        <f t="shared" si="7"/>
        <v>0.79474286212474077</v>
      </c>
      <c r="K26" s="212">
        <f t="shared" si="7"/>
        <v>0.79474286212474077</v>
      </c>
      <c r="L26" s="212">
        <f t="shared" si="7"/>
        <v>0.79474286212474077</v>
      </c>
      <c r="M26" s="212">
        <f t="shared" si="7"/>
        <v>0.79474286212474077</v>
      </c>
      <c r="N26" s="212">
        <f t="shared" si="7"/>
        <v>0.79474286212474077</v>
      </c>
    </row>
    <row r="27" spans="1:14">
      <c r="A27" s="196" t="s">
        <v>365</v>
      </c>
      <c r="B27" s="2017">
        <v>0.27066249999999997</v>
      </c>
      <c r="C27" s="196">
        <f t="shared" ref="C27:N27" si="8">+C50</f>
        <v>7.6849999999999991E-3</v>
      </c>
      <c r="D27" s="196">
        <f t="shared" si="8"/>
        <v>0</v>
      </c>
      <c r="E27" s="196">
        <f t="shared" si="8"/>
        <v>0</v>
      </c>
      <c r="F27" s="196">
        <f t="shared" si="8"/>
        <v>0</v>
      </c>
      <c r="G27" s="196">
        <f t="shared" si="8"/>
        <v>2.6499999999999996E-3</v>
      </c>
      <c r="H27" s="196">
        <f t="shared" si="8"/>
        <v>0</v>
      </c>
      <c r="I27" s="196">
        <f t="shared" si="8"/>
        <v>0</v>
      </c>
      <c r="J27" s="196">
        <f t="shared" si="8"/>
        <v>0</v>
      </c>
      <c r="K27" s="196">
        <f t="shared" si="8"/>
        <v>0</v>
      </c>
      <c r="L27" s="196">
        <f t="shared" si="8"/>
        <v>0</v>
      </c>
      <c r="M27" s="196">
        <f t="shared" si="8"/>
        <v>0</v>
      </c>
      <c r="N27" s="196">
        <f t="shared" si="8"/>
        <v>0</v>
      </c>
    </row>
    <row r="28" spans="1:14">
      <c r="A28" s="196" t="s">
        <v>366</v>
      </c>
      <c r="B28" s="2017">
        <v>0.36316834158415839</v>
      </c>
      <c r="C28" s="196">
        <f t="shared" ref="C28:N28" si="9">B28/(1+C24)+C27</f>
        <v>0.37085334158415839</v>
      </c>
      <c r="D28" s="196">
        <f t="shared" si="9"/>
        <v>0.30004315662148739</v>
      </c>
      <c r="E28" s="196">
        <f t="shared" si="9"/>
        <v>0.29908608116176971</v>
      </c>
      <c r="F28" s="196">
        <f t="shared" si="9"/>
        <v>0.29908608116176971</v>
      </c>
      <c r="G28" s="196">
        <f t="shared" si="9"/>
        <v>0.3017360811617697</v>
      </c>
      <c r="H28" s="196">
        <f t="shared" si="9"/>
        <v>0.3017360811617697</v>
      </c>
      <c r="I28" s="196">
        <f t="shared" si="9"/>
        <v>0.3017360811617697</v>
      </c>
      <c r="J28" s="196">
        <f t="shared" si="9"/>
        <v>0.3017360811617697</v>
      </c>
      <c r="K28" s="196">
        <f t="shared" si="9"/>
        <v>0.3017360811617697</v>
      </c>
      <c r="L28" s="196">
        <f t="shared" si="9"/>
        <v>0.3017360811617697</v>
      </c>
      <c r="M28" s="196">
        <f t="shared" si="9"/>
        <v>0.3017360811617697</v>
      </c>
      <c r="N28" s="196">
        <f t="shared" si="9"/>
        <v>0.3017360811617697</v>
      </c>
    </row>
    <row r="29" spans="1:14">
      <c r="A29" s="15" t="s">
        <v>364</v>
      </c>
      <c r="B29" s="2016">
        <v>0.62227720297029698</v>
      </c>
      <c r="C29" s="212">
        <f t="shared" ref="C29:N29" si="10">C26-C28</f>
        <v>0.61459220297029704</v>
      </c>
      <c r="D29" s="212">
        <f t="shared" si="10"/>
        <v>0.49724288266205263</v>
      </c>
      <c r="E29" s="212">
        <f t="shared" si="10"/>
        <v>0.49565678096297106</v>
      </c>
      <c r="F29" s="212">
        <f t="shared" si="10"/>
        <v>0.49565678096297106</v>
      </c>
      <c r="G29" s="212">
        <f t="shared" si="10"/>
        <v>0.49300678096297107</v>
      </c>
      <c r="H29" s="212">
        <f t="shared" si="10"/>
        <v>0.49300678096297107</v>
      </c>
      <c r="I29" s="212">
        <f t="shared" si="10"/>
        <v>0.49300678096297107</v>
      </c>
      <c r="J29" s="212">
        <f t="shared" si="10"/>
        <v>0.49300678096297107</v>
      </c>
      <c r="K29" s="212">
        <f t="shared" si="10"/>
        <v>0.49300678096297107</v>
      </c>
      <c r="L29" s="212">
        <f t="shared" si="10"/>
        <v>0.49300678096297107</v>
      </c>
      <c r="M29" s="212">
        <f t="shared" si="10"/>
        <v>0.49300678096297107</v>
      </c>
      <c r="N29" s="212">
        <f t="shared" si="10"/>
        <v>0.49300678096297107</v>
      </c>
    </row>
    <row r="30" spans="1:14">
      <c r="A30" s="15"/>
      <c r="B30" s="2017"/>
      <c r="C30" s="196"/>
      <c r="D30" s="196"/>
      <c r="E30" s="196"/>
      <c r="F30" s="196"/>
      <c r="G30" s="196"/>
      <c r="H30" s="196"/>
      <c r="I30" s="196"/>
      <c r="J30" s="196"/>
      <c r="K30" s="196"/>
      <c r="L30" s="196"/>
      <c r="M30" s="196"/>
      <c r="N30" s="196"/>
    </row>
    <row r="31" spans="1:14">
      <c r="A31" s="5" t="s">
        <v>367</v>
      </c>
    </row>
    <row r="32" spans="1:14">
      <c r="A32" s="520" t="s">
        <v>368</v>
      </c>
      <c r="C32" s="617"/>
      <c r="D32" s="520"/>
      <c r="E32" s="520"/>
      <c r="F32" s="520"/>
      <c r="G32" s="520"/>
      <c r="H32" s="520"/>
      <c r="I32" s="520"/>
      <c r="J32" s="520"/>
      <c r="K32" s="520"/>
      <c r="L32" s="520"/>
      <c r="M32" s="520"/>
      <c r="N32" s="520"/>
    </row>
    <row r="33" spans="1:20">
      <c r="A33" s="520" t="s">
        <v>369</v>
      </c>
      <c r="C33" s="520"/>
      <c r="D33" s="617"/>
      <c r="E33" s="617"/>
      <c r="F33" s="617"/>
      <c r="G33" s="520"/>
      <c r="H33" s="520"/>
      <c r="I33" s="520"/>
      <c r="J33" s="520"/>
      <c r="K33" s="520"/>
      <c r="L33" s="520"/>
      <c r="M33" s="520"/>
      <c r="N33" s="520"/>
    </row>
    <row r="34" spans="1:20">
      <c r="A34" s="520" t="s">
        <v>370</v>
      </c>
      <c r="B34" s="2042"/>
      <c r="C34" s="617"/>
      <c r="D34" s="619"/>
      <c r="E34" s="520"/>
      <c r="F34" s="520"/>
      <c r="G34" s="520"/>
      <c r="H34" s="520"/>
      <c r="I34" s="520"/>
      <c r="J34" s="520"/>
      <c r="K34" s="520"/>
      <c r="L34" s="520"/>
      <c r="M34" s="520"/>
      <c r="N34" s="520"/>
    </row>
    <row r="35" spans="1:20" s="196" customFormat="1">
      <c r="A35" s="520" t="s">
        <v>355</v>
      </c>
      <c r="B35" s="649"/>
      <c r="C35" s="618"/>
      <c r="D35" s="618">
        <v>0.23599999999999999</v>
      </c>
      <c r="E35" s="520"/>
      <c r="F35" s="520"/>
      <c r="G35" s="520"/>
      <c r="H35" s="520"/>
      <c r="I35" s="520"/>
      <c r="J35" s="520"/>
      <c r="K35" s="520"/>
      <c r="L35" s="520"/>
      <c r="M35" s="520"/>
      <c r="N35" s="520"/>
      <c r="R35" s="209" t="s">
        <v>371</v>
      </c>
      <c r="S35" s="209" t="s">
        <v>372</v>
      </c>
      <c r="T35" s="209" t="s">
        <v>373</v>
      </c>
    </row>
    <row r="36" spans="1:20" s="196" customFormat="1">
      <c r="A36" s="520" t="s">
        <v>374</v>
      </c>
      <c r="B36" s="649"/>
      <c r="C36" s="618"/>
      <c r="D36" s="618">
        <v>0.25</v>
      </c>
      <c r="E36" s="520"/>
      <c r="F36" s="520"/>
      <c r="G36" s="520"/>
      <c r="H36" s="520"/>
      <c r="I36" s="520"/>
      <c r="J36" s="520"/>
      <c r="K36" s="520"/>
      <c r="L36" s="520"/>
      <c r="M36" s="520"/>
      <c r="N36" s="520"/>
      <c r="R36" s="209"/>
      <c r="S36" s="209"/>
      <c r="T36" s="209"/>
    </row>
    <row r="37" spans="1:20" s="196" customFormat="1">
      <c r="A37" s="520" t="s">
        <v>375</v>
      </c>
      <c r="B37" s="649"/>
      <c r="C37" s="618"/>
      <c r="D37" s="617"/>
      <c r="E37" s="618">
        <v>3.2000000000000002E-3</v>
      </c>
      <c r="F37" s="520"/>
      <c r="G37" s="520"/>
      <c r="H37" s="520"/>
      <c r="I37" s="520"/>
      <c r="J37" s="520"/>
      <c r="K37" s="520"/>
      <c r="L37" s="520"/>
      <c r="M37" s="520"/>
      <c r="N37" s="520"/>
      <c r="Q37" s="196" t="s">
        <v>376</v>
      </c>
      <c r="R37" s="196">
        <f>+B29</f>
        <v>0.62227720297029698</v>
      </c>
      <c r="S37" s="196">
        <f>SUM(C40,C43)</f>
        <v>0.61459220297029704</v>
      </c>
      <c r="T37" s="196">
        <f>+SUM(D40,D43)</f>
        <v>0.68818139398891343</v>
      </c>
    </row>
    <row r="38" spans="1:20">
      <c r="A38" s="66" t="s">
        <v>23</v>
      </c>
      <c r="B38" s="2043">
        <v>0</v>
      </c>
      <c r="C38" s="208">
        <f t="shared" ref="C38:N38" si="11">SUM(C32:C37)</f>
        <v>0</v>
      </c>
      <c r="D38" s="208">
        <f t="shared" si="11"/>
        <v>0.48599999999999999</v>
      </c>
      <c r="E38" s="208">
        <f t="shared" si="11"/>
        <v>3.2000000000000002E-3</v>
      </c>
      <c r="F38" s="67">
        <f t="shared" si="11"/>
        <v>0</v>
      </c>
      <c r="G38" s="67">
        <f t="shared" si="11"/>
        <v>0</v>
      </c>
      <c r="H38" s="67">
        <f t="shared" si="11"/>
        <v>0</v>
      </c>
      <c r="I38" s="67">
        <f t="shared" si="11"/>
        <v>0</v>
      </c>
      <c r="J38" s="67">
        <f t="shared" si="11"/>
        <v>0</v>
      </c>
      <c r="K38" s="67">
        <f t="shared" si="11"/>
        <v>0</v>
      </c>
      <c r="L38" s="67">
        <f t="shared" si="11"/>
        <v>0</v>
      </c>
      <c r="M38" s="67">
        <f t="shared" si="11"/>
        <v>0</v>
      </c>
      <c r="N38" s="67">
        <f t="shared" si="11"/>
        <v>0</v>
      </c>
      <c r="Q38" t="s">
        <v>226</v>
      </c>
      <c r="R38" s="196" t="e">
        <f>+#REF!</f>
        <v>#REF!</v>
      </c>
      <c r="S38" s="196" t="e">
        <f>+#REF!</f>
        <v>#REF!</v>
      </c>
      <c r="T38" s="196" t="e">
        <f>+S38</f>
        <v>#REF!</v>
      </c>
    </row>
    <row r="39" spans="1:20">
      <c r="A39" s="5" t="s">
        <v>377</v>
      </c>
      <c r="B39" s="2044"/>
      <c r="C39" s="196"/>
      <c r="D39" s="196"/>
      <c r="Q39" t="s">
        <v>378</v>
      </c>
      <c r="R39" s="196" t="e">
        <f>+#REF!</f>
        <v>#REF!</v>
      </c>
      <c r="S39" s="196" t="e">
        <f>+#REF!</f>
        <v>#REF!</v>
      </c>
      <c r="T39" s="196" t="e">
        <f>+S39</f>
        <v>#REF!</v>
      </c>
    </row>
    <row r="40" spans="1:20">
      <c r="A40" s="5" t="str">
        <f t="shared" ref="A40:A45" si="12">A32</f>
        <v>Sk</v>
      </c>
      <c r="B40" s="2017">
        <v>0.62227720297029698</v>
      </c>
      <c r="C40" s="196">
        <f t="shared" ref="C40:N40" si="13">+C29</f>
        <v>0.61459220297029704</v>
      </c>
      <c r="D40" s="196">
        <f t="shared" si="13"/>
        <v>0.49724288266205263</v>
      </c>
      <c r="E40" s="196">
        <f t="shared" si="13"/>
        <v>0.49565678096297106</v>
      </c>
      <c r="F40" s="196">
        <f t="shared" si="13"/>
        <v>0.49565678096297106</v>
      </c>
      <c r="G40" s="196">
        <f t="shared" si="13"/>
        <v>0.49300678096297107</v>
      </c>
      <c r="H40" s="196">
        <f t="shared" si="13"/>
        <v>0.49300678096297107</v>
      </c>
      <c r="I40" s="196">
        <f t="shared" si="13"/>
        <v>0.49300678096297107</v>
      </c>
      <c r="J40" s="196">
        <f t="shared" si="13"/>
        <v>0.49300678096297107</v>
      </c>
      <c r="K40" s="196">
        <f t="shared" si="13"/>
        <v>0.49300678096297107</v>
      </c>
      <c r="L40" s="196">
        <f t="shared" si="13"/>
        <v>0.49300678096297107</v>
      </c>
      <c r="M40" s="196">
        <f t="shared" si="13"/>
        <v>0.49300678096297107</v>
      </c>
      <c r="N40" s="196">
        <f t="shared" si="13"/>
        <v>0.49300678096297107</v>
      </c>
      <c r="R40" s="196" t="e">
        <f>SUM(R37:R39)</f>
        <v>#REF!</v>
      </c>
      <c r="S40" s="196" t="e">
        <f>SUM(S37:S39)</f>
        <v>#REF!</v>
      </c>
      <c r="T40" s="196" t="e">
        <f>SUM(T37:T39)</f>
        <v>#REF!</v>
      </c>
    </row>
    <row r="41" spans="1:20">
      <c r="A41" s="5" t="str">
        <f t="shared" si="12"/>
        <v>Huston</v>
      </c>
      <c r="B41" s="2018">
        <v>4.6534653465346533E-3</v>
      </c>
      <c r="C41" s="283">
        <f t="array" ref="C41">IF(B41&gt;0,B41/(1+C$24),(SUMPRODUCT(($A41=$A$33:$A$37)*C$33:C$37))/(1+C$24))</f>
        <v>4.6534653465346533E-3</v>
      </c>
      <c r="D41" s="283">
        <f t="array" ref="D41">IF(C41&gt;0,C41/(1+D$24),(SUMPRODUCT(($A41=$A$33:$A$37)*D$33:D$37))/(1+D$24))</f>
        <v>3.7649396007561919E-3</v>
      </c>
      <c r="E41" s="283">
        <f t="array" ref="E41">IF(D41&gt;0,D41/(1+E$24),(SUMPRODUCT(($A41=$A$33:$A$37)*E$33:E$37))/(1+E$24))</f>
        <v>3.7529302240392657E-3</v>
      </c>
      <c r="F41" s="283">
        <f t="array" ref="F41">IF(E41&gt;0,E41/(1+F$24),(SUMPRODUCT(($A41=$A$33:$A$37)*F$33:F$37))/(1+F$24))</f>
        <v>3.7529302240392657E-3</v>
      </c>
      <c r="G41" s="283">
        <f t="array" ref="G41">IF(F41&gt;0,F41/(1+G$24),(SUMPRODUCT(($A41=$A$33:$A$37)*G$33:G$37))/(1+G$24))</f>
        <v>3.7529302240392657E-3</v>
      </c>
      <c r="H41" s="283">
        <f t="array" ref="H41">IF(G41&gt;0,G41/(1+H$24),(SUMPRODUCT(($A41=$A$33:$A$37)*H$33:H$37))/(1+H$24))</f>
        <v>3.7529302240392657E-3</v>
      </c>
      <c r="I41" s="283">
        <f t="array" ref="I41">IF(H41&gt;0,H41/(1+I$24),(SUMPRODUCT(($A41=$A$33:$A$37)*I$33:I$37))/(1+I$24))</f>
        <v>3.7529302240392657E-3</v>
      </c>
      <c r="J41" s="283">
        <f t="array" ref="J41">IF(I41&gt;0,I41/(1+J$24),(SUMPRODUCT(($A41=$A$33:$A$37)*J$33:J$37))/(1+J$24))</f>
        <v>3.7529302240392657E-3</v>
      </c>
      <c r="K41" s="283">
        <f t="array" ref="K41">IF(J41&gt;0,J41/(1+K$24),(SUMPRODUCT(($A41=$A$33:$A$37)*K$33:K$37))/(1+K$24))</f>
        <v>3.7529302240392657E-3</v>
      </c>
      <c r="L41" s="283">
        <f t="array" ref="L41">IF(K41&gt;0,K41/(1+L$24),(SUMPRODUCT(($A41=$A$33:$A$37)*L$33:L$37))/(1+L$24))</f>
        <v>3.7529302240392657E-3</v>
      </c>
      <c r="M41" s="283">
        <f t="array" ref="M41">IF(L41&gt;0,L41/(1+M$24),(SUMPRODUCT(($A41=$A$33:$A$37)*M$33:M$37))/(1+M$24))</f>
        <v>3.7529302240392657E-3</v>
      </c>
      <c r="N41" s="283">
        <f t="array" ref="N41">IF(M41&gt;0,M41/(1+N$24),(SUMPRODUCT(($A41=$A$33:$A$37)*N$33:N$37))/(1+N$24))</f>
        <v>3.7529302240392657E-3</v>
      </c>
    </row>
    <row r="42" spans="1:20">
      <c r="A42" s="5" t="str">
        <f t="shared" si="12"/>
        <v>potter</v>
      </c>
      <c r="B42" s="2018">
        <v>9.9009900990099011E-3</v>
      </c>
      <c r="C42" s="283">
        <f t="array" ref="C42">IF(B42&gt;0,B42/(1+C$24),(SUMPRODUCT(($A42=$A$33:$A$37)*C$33:C$37))/(1+C$24))</f>
        <v>9.9009900990099011E-3</v>
      </c>
      <c r="D42" s="283">
        <f t="array" ref="D42">IF(C42&gt;0,C42/(1+D$24),(SUMPRODUCT(($A42=$A$33:$A$37)*D$33:D$37))/(1+D$24))</f>
        <v>8.0105097888429622E-3</v>
      </c>
      <c r="E42" s="283">
        <f t="array" ref="E42">IF(D42&gt;0,D42/(1+E$24),(SUMPRODUCT(($A42=$A$33:$A$37)*E$33:E$37))/(1+E$24))</f>
        <v>7.984957923487801E-3</v>
      </c>
      <c r="F42" s="283">
        <f t="array" ref="F42">IF(E42&gt;0,E42/(1+F$24),(SUMPRODUCT(($A42=$A$33:$A$37)*F$33:F$37))/(1+F$24))</f>
        <v>7.984957923487801E-3</v>
      </c>
      <c r="G42" s="283">
        <f t="array" ref="G42">IF(F42&gt;0,F42/(1+G$24),(SUMPRODUCT(($A42=$A$33:$A$37)*G$33:G$37))/(1+G$24))</f>
        <v>7.984957923487801E-3</v>
      </c>
      <c r="H42" s="283">
        <f t="array" ref="H42">IF(G42&gt;0,G42/(1+H$24),(SUMPRODUCT(($A42=$A$33:$A$37)*H$33:H$37))/(1+H$24))</f>
        <v>7.984957923487801E-3</v>
      </c>
      <c r="I42" s="283">
        <f t="array" ref="I42">IF(H42&gt;0,H42/(1+I$24),(SUMPRODUCT(($A42=$A$33:$A$37)*I$33:I$37))/(1+I$24))</f>
        <v>7.984957923487801E-3</v>
      </c>
      <c r="J42" s="283">
        <f t="array" ref="J42">IF(I42&gt;0,I42/(1+J$24),(SUMPRODUCT(($A42=$A$33:$A$37)*J$33:J$37))/(1+J$24))</f>
        <v>7.984957923487801E-3</v>
      </c>
      <c r="K42" s="283">
        <f t="array" ref="K42">IF(J42&gt;0,J42/(1+K$24),(SUMPRODUCT(($A42=$A$33:$A$37)*K$33:K$37))/(1+K$24))</f>
        <v>7.984957923487801E-3</v>
      </c>
      <c r="L42" s="283">
        <f t="array" ref="L42">IF(K42&gt;0,K42/(1+L$24),(SUMPRODUCT(($A42=$A$33:$A$37)*L$33:L$37))/(1+L$24))</f>
        <v>7.984957923487801E-3</v>
      </c>
      <c r="M42" s="283">
        <f t="array" ref="M42">IF(L42&gt;0,L42/(1+M$24),(SUMPRODUCT(($A42=$A$33:$A$37)*M$33:M$37))/(1+M$24))</f>
        <v>7.984957923487801E-3</v>
      </c>
      <c r="N42" s="283">
        <f t="array" ref="N42">IF(M42&gt;0,M42/(1+N$24),(SUMPRODUCT(($A42=$A$33:$A$37)*N$33:N$37))/(1+N$24))</f>
        <v>7.984957923487801E-3</v>
      </c>
    </row>
    <row r="43" spans="1:20">
      <c r="A43" s="5" t="str">
        <f t="shared" si="12"/>
        <v>Cambrian</v>
      </c>
      <c r="B43" s="2019">
        <v>0</v>
      </c>
      <c r="C43" s="284">
        <f t="array" ref="C43">IF(B43&gt;0,B43/(1+C$24),(SUMPRODUCT(($A43=$A$33:$A$37)*C$33:C$37))/(1+C$24))</f>
        <v>0</v>
      </c>
      <c r="D43" s="283">
        <f t="array" ref="D43">IF(C43&gt;0,C43/(1+D$24),(SUMPRODUCT(($A43=$A$33:$A$37)*D$33:D$37))/(1+D$24))</f>
        <v>0.19093851132686082</v>
      </c>
      <c r="E43" s="283">
        <f t="array" ref="E43">IF(D43&gt;0,D43/(1+E$24),(SUMPRODUCT(($A43=$A$33:$A$37)*E$33:E$37))/(1+E$24))</f>
        <v>0.19032945706425519</v>
      </c>
      <c r="F43" s="283">
        <f t="array" ref="F43">IF(E43&gt;0,E43/(1+F$24),(SUMPRODUCT(($A43=$A$33:$A$37)*F$33:F$37))/(1+F$24))</f>
        <v>0.19032945706425519</v>
      </c>
      <c r="G43" s="283">
        <f t="array" ref="G43">IF(F43&gt;0,F43/(1+G$24),(SUMPRODUCT(($A43=$A$33:$A$37)*G$33:G$37))/(1+G$24))</f>
        <v>0.19032945706425519</v>
      </c>
      <c r="H43" s="283">
        <f t="array" ref="H43">IF(G43&gt;0,G43/(1+H$24),(SUMPRODUCT(($A43=$A$33:$A$37)*H$33:H$37))/(1+H$24))</f>
        <v>0.19032945706425519</v>
      </c>
      <c r="I43" s="283">
        <f t="array" ref="I43">IF(H43&gt;0,H43/(1+I$24),(SUMPRODUCT(($A43=$A$33:$A$37)*I$33:I$37))/(1+I$24))</f>
        <v>0.19032945706425519</v>
      </c>
      <c r="J43" s="283">
        <f t="array" ref="J43">IF(I43&gt;0,I43/(1+J$24),(SUMPRODUCT(($A43=$A$33:$A$37)*J$33:J$37))/(1+J$24))</f>
        <v>0.19032945706425519</v>
      </c>
      <c r="K43" s="283">
        <f t="array" ref="K43">IF(J43&gt;0,J43/(1+K$24),(SUMPRODUCT(($A43=$A$33:$A$37)*K$33:K$37))/(1+K$24))</f>
        <v>0.19032945706425519</v>
      </c>
      <c r="L43" s="283">
        <f t="array" ref="L43">IF(K43&gt;0,K43/(1+L$24),(SUMPRODUCT(($A43=$A$33:$A$37)*L$33:L$37))/(1+L$24))</f>
        <v>0.19032945706425519</v>
      </c>
      <c r="M43" s="283">
        <f t="array" ref="M43">IF(L43&gt;0,L43/(1+M$24),(SUMPRODUCT(($A43=$A$33:$A$37)*M$33:M$37))/(1+M$24))</f>
        <v>0.19032945706425519</v>
      </c>
      <c r="N43" s="283">
        <f t="array" ref="N43">IF(M43&gt;0,M43/(1+N$24),(SUMPRODUCT(($A43=$A$33:$A$37)*N$33:N$37))/(1+N$24))</f>
        <v>0.19032945706425519</v>
      </c>
    </row>
    <row r="44" spans="1:20">
      <c r="A44" s="5" t="str">
        <f t="shared" si="12"/>
        <v>PFNGT LLC Pref Transfer</v>
      </c>
      <c r="B44" s="2018">
        <v>0</v>
      </c>
      <c r="C44" s="284">
        <f t="array" ref="C44">IF(B44&gt;0,B44/(1+C$24),(SUMPRODUCT(($A44=$A$33:$A$37)*C$33:C$37))/(1+C$24))</f>
        <v>0</v>
      </c>
      <c r="D44" s="283">
        <f t="array" ref="D44">IF(C44&gt;0,C44/(1+D$24),(SUMPRODUCT(($A44=$A$33:$A$37)*D$33:D$37))/(1+D$24))</f>
        <v>0.2022653721682848</v>
      </c>
      <c r="E44" s="283">
        <f t="array" ref="E44">IF(D44&gt;0,D44/(1+E$24),(SUMPRODUCT(($A44=$A$33:$A$37)*E$33:E$37))/(1+E$24))</f>
        <v>0.20162018756806696</v>
      </c>
      <c r="F44" s="283">
        <f t="array" ref="F44">IF(E44&gt;0,E44/(1+F$24),(SUMPRODUCT(($A44=$A$33:$A$37)*F$33:F$37))/(1+F$24))</f>
        <v>0.20162018756806696</v>
      </c>
      <c r="G44" s="283">
        <f t="array" ref="G44">IF(F44&gt;0,F44/(1+G$24),(SUMPRODUCT(($A44=$A$33:$A$37)*G$33:G$37))/(1+G$24))</f>
        <v>0.20162018756806696</v>
      </c>
      <c r="H44" s="283">
        <f t="array" ref="H44">IF(G44&gt;0,G44/(1+H$24),(SUMPRODUCT(($A44=$A$33:$A$37)*H$33:H$37))/(1+H$24))</f>
        <v>0.20162018756806696</v>
      </c>
      <c r="I44" s="283">
        <f t="array" ref="I44">IF(H44&gt;0,H44/(1+I$24),(SUMPRODUCT(($A44=$A$33:$A$37)*I$33:I$37))/(1+I$24))</f>
        <v>0.20162018756806696</v>
      </c>
      <c r="J44" s="283">
        <f t="array" ref="J44">IF(I44&gt;0,I44/(1+J$24),(SUMPRODUCT(($A44=$A$33:$A$37)*J$33:J$37))/(1+J$24))</f>
        <v>0.20162018756806696</v>
      </c>
      <c r="K44" s="283">
        <f t="array" ref="K44">IF(J44&gt;0,J44/(1+K$24),(SUMPRODUCT(($A44=$A$33:$A$37)*K$33:K$37))/(1+K$24))</f>
        <v>0.20162018756806696</v>
      </c>
      <c r="L44" s="283">
        <f t="array" ref="L44">IF(K44&gt;0,K44/(1+L$24),(SUMPRODUCT(($A44=$A$33:$A$37)*L$33:L$37))/(1+L$24))</f>
        <v>0.20162018756806696</v>
      </c>
      <c r="M44" s="283">
        <f t="array" ref="M44">IF(L44&gt;0,L44/(1+M$24),(SUMPRODUCT(($A44=$A$33:$A$37)*M$33:M$37))/(1+M$24))</f>
        <v>0.20162018756806696</v>
      </c>
      <c r="N44" s="283">
        <f t="array" ref="N44">IF(M44&gt;0,M44/(1+N$24),(SUMPRODUCT(($A44=$A$33:$A$37)*N$33:N$37))/(1+N$24))</f>
        <v>0.20162018756806696</v>
      </c>
    </row>
    <row r="45" spans="1:20">
      <c r="A45" s="5" t="str">
        <f t="shared" si="12"/>
        <v>Scott Bruner</v>
      </c>
      <c r="B45" s="2019">
        <v>0</v>
      </c>
      <c r="C45" s="283">
        <f t="array" ref="C45">IF(B45&gt;0,B45/(1+C$24),(SUMPRODUCT(($A45=$A$33:$A$37)*C$33:C$37))/(1+C$24))</f>
        <v>0</v>
      </c>
      <c r="D45" s="283">
        <f t="array" ref="D45">IF(C45&gt;0,C45/(1+D$24),(SUMPRODUCT(($A45=$A$33:$A$37)*D$33:D$37))/(1+D$24))</f>
        <v>0</v>
      </c>
      <c r="E45" s="284">
        <f t="array" ref="E45">IF(D45&gt;0,D45/(1+E$24),(SUMPRODUCT(($A45=$A$33:$A$37)*E$33:E$37))/(1+E$24))</f>
        <v>3.189792663476874E-3</v>
      </c>
      <c r="F45" s="283">
        <f t="array" ref="F45">IF(E45&gt;0,E45/(1+F$24),(SUMPRODUCT(($A45=$A$33:$A$37)*F$33:F$37))/(1+F$24))</f>
        <v>3.189792663476874E-3</v>
      </c>
      <c r="G45" s="283">
        <f t="array" ref="G45">IF(F45&gt;0,F45/(1+G$24),(SUMPRODUCT(($A45=$A$33:$A$37)*G$33:G$37))/(1+G$24))</f>
        <v>3.189792663476874E-3</v>
      </c>
      <c r="H45" s="283">
        <f t="array" ref="H45">IF(G45&gt;0,G45/(1+H$24),(SUMPRODUCT(($A45=$A$33:$A$37)*H$33:H$37))/(1+H$24))</f>
        <v>3.189792663476874E-3</v>
      </c>
      <c r="I45" s="283">
        <f t="array" ref="I45">IF(H45&gt;0,H45/(1+I$24),(SUMPRODUCT(($A45=$A$33:$A$37)*I$33:I$37))/(1+I$24))</f>
        <v>3.189792663476874E-3</v>
      </c>
      <c r="J45" s="283">
        <f t="array" ref="J45">IF(I45&gt;0,I45/(1+J$24),(SUMPRODUCT(($A45=$A$33:$A$37)*J$33:J$37))/(1+J$24))</f>
        <v>3.189792663476874E-3</v>
      </c>
      <c r="K45" s="283">
        <f t="array" ref="K45">IF(J45&gt;0,J45/(1+K$24),(SUMPRODUCT(($A45=$A$33:$A$37)*K$33:K$37))/(1+K$24))</f>
        <v>3.189792663476874E-3</v>
      </c>
      <c r="L45" s="283">
        <f t="array" ref="L45">IF(K45&gt;0,K45/(1+L$24),(SUMPRODUCT(($A45=$A$33:$A$37)*L$33:L$37))/(1+L$24))</f>
        <v>3.189792663476874E-3</v>
      </c>
      <c r="M45" s="283">
        <f t="array" ref="M45">IF(L45&gt;0,L45/(1+M$24),(SUMPRODUCT(($A45=$A$33:$A$37)*M$33:M$37))/(1+M$24))</f>
        <v>3.189792663476874E-3</v>
      </c>
      <c r="N45" s="283">
        <f t="array" ref="N45">IF(M45&gt;0,M45/(1+N$24),(SUMPRODUCT(($A45=$A$33:$A$37)*N$33:N$37))/(1+N$24))</f>
        <v>3.189792663476874E-3</v>
      </c>
    </row>
    <row r="46" spans="1:20">
      <c r="A46" s="5"/>
      <c r="B46" s="2044"/>
      <c r="C46" s="196"/>
      <c r="D46" s="196"/>
    </row>
    <row r="47" spans="1:20">
      <c r="A47" s="104" t="s">
        <v>68</v>
      </c>
      <c r="B47" s="2045">
        <v>0.63683165841584155</v>
      </c>
      <c r="C47" s="210">
        <f t="shared" ref="C47:N47" si="14">SUM(C40:C45)</f>
        <v>0.62914665841584161</v>
      </c>
      <c r="D47" s="210">
        <f t="shared" si="14"/>
        <v>0.90222221554679738</v>
      </c>
      <c r="E47" s="210">
        <f t="shared" si="14"/>
        <v>0.90253410640629717</v>
      </c>
      <c r="F47" s="210">
        <f t="shared" si="14"/>
        <v>0.90253410640629717</v>
      </c>
      <c r="G47" s="210">
        <f t="shared" si="14"/>
        <v>0.89988410640629724</v>
      </c>
      <c r="H47" s="210">
        <f t="shared" si="14"/>
        <v>0.89988410640629724</v>
      </c>
      <c r="I47" s="210">
        <f t="shared" si="14"/>
        <v>0.89988410640629724</v>
      </c>
      <c r="J47" s="210">
        <f t="shared" si="14"/>
        <v>0.89988410640629724</v>
      </c>
      <c r="K47" s="210">
        <f t="shared" si="14"/>
        <v>0.89988410640629724</v>
      </c>
      <c r="L47" s="210">
        <f t="shared" si="14"/>
        <v>0.89988410640629724</v>
      </c>
      <c r="M47" s="210">
        <f t="shared" si="14"/>
        <v>0.89988410640629724</v>
      </c>
      <c r="N47" s="210">
        <f t="shared" si="14"/>
        <v>0.89988410640629724</v>
      </c>
    </row>
    <row r="48" spans="1:20">
      <c r="A48" s="5"/>
      <c r="B48" s="2044"/>
      <c r="C48" s="196"/>
      <c r="D48" s="196"/>
    </row>
    <row r="49" spans="1:14">
      <c r="A49" s="305" t="s">
        <v>379</v>
      </c>
      <c r="C49" s="305"/>
      <c r="D49" s="616">
        <f>-D36/(1+D24)</f>
        <v>-0.2022653721682848</v>
      </c>
      <c r="E49" s="305"/>
      <c r="F49" s="305"/>
      <c r="G49" s="305"/>
      <c r="H49" s="305"/>
      <c r="I49" s="305"/>
      <c r="J49" s="305"/>
      <c r="K49" s="305"/>
      <c r="L49" s="305"/>
      <c r="M49" s="305"/>
      <c r="N49" s="305"/>
    </row>
    <row r="50" spans="1:14">
      <c r="A50" t="s">
        <v>380</v>
      </c>
      <c r="B50" s="2046">
        <v>0.27066249999999997</v>
      </c>
      <c r="C50" s="1066">
        <f>+lgh_pref_equity!C139</f>
        <v>7.6849999999999991E-3</v>
      </c>
      <c r="D50" s="1066">
        <f>+lgh_pref_equity!D139</f>
        <v>0</v>
      </c>
      <c r="E50" s="1066">
        <f>+lgh_pref_equity!E139</f>
        <v>0</v>
      </c>
      <c r="F50" s="1066">
        <f>+lgh_pref_equity!F139</f>
        <v>0</v>
      </c>
      <c r="G50" s="1066">
        <f>+lgh_pref_equity!G139</f>
        <v>2.6499999999999996E-3</v>
      </c>
      <c r="H50" s="1066">
        <f>+lgh_pref_equity!H139</f>
        <v>0</v>
      </c>
      <c r="I50" s="1066">
        <f>+lgh_pref_equity!I139</f>
        <v>0</v>
      </c>
      <c r="J50" s="1066">
        <f>+lgh_pref_equity!J139</f>
        <v>0</v>
      </c>
      <c r="K50" s="1066">
        <f>+lgh_pref_equity!K139</f>
        <v>0</v>
      </c>
      <c r="L50" s="1066">
        <f>+lgh_pref_equity!L139</f>
        <v>0</v>
      </c>
      <c r="M50" s="1066">
        <f>+lgh_pref_equity!M139</f>
        <v>0</v>
      </c>
      <c r="N50" s="1066">
        <f>+lgh_pref_equity!N139</f>
        <v>0</v>
      </c>
    </row>
    <row r="51" spans="1:14">
      <c r="A51" t="s">
        <v>381</v>
      </c>
      <c r="B51" s="2017">
        <v>9.2505841584158394E-2</v>
      </c>
      <c r="C51" s="196">
        <f t="shared" ref="C51:N51" si="15">SUM(B50:B51)/(1+C$24)+C49</f>
        <v>0.36316834158415834</v>
      </c>
      <c r="D51" s="196">
        <f t="shared" si="15"/>
        <v>9.7777784453202538E-2</v>
      </c>
      <c r="E51" s="196">
        <f t="shared" si="15"/>
        <v>9.7465893593702682E-2</v>
      </c>
      <c r="F51" s="196">
        <f t="shared" si="15"/>
        <v>9.7465893593702682E-2</v>
      </c>
      <c r="G51" s="196">
        <f t="shared" si="15"/>
        <v>9.7465893593702682E-2</v>
      </c>
      <c r="H51" s="196">
        <f t="shared" si="15"/>
        <v>0.10011589359370268</v>
      </c>
      <c r="I51" s="196">
        <f t="shared" si="15"/>
        <v>0.10011589359370268</v>
      </c>
      <c r="J51" s="196">
        <f t="shared" si="15"/>
        <v>0.10011589359370268</v>
      </c>
      <c r="K51" s="196">
        <f t="shared" si="15"/>
        <v>0.10011589359370268</v>
      </c>
      <c r="L51" s="196">
        <f t="shared" si="15"/>
        <v>0.10011589359370268</v>
      </c>
      <c r="M51" s="196">
        <f t="shared" si="15"/>
        <v>0.10011589359370268</v>
      </c>
      <c r="N51" s="196">
        <f t="shared" si="15"/>
        <v>0.10011589359370268</v>
      </c>
    </row>
    <row r="52" spans="1:14">
      <c r="A52" t="s">
        <v>382</v>
      </c>
      <c r="B52" s="2046">
        <v>0.36316834158415839</v>
      </c>
      <c r="C52" s="1066">
        <f>+lgh_pref_equity!C142</f>
        <v>0.37085334158415839</v>
      </c>
      <c r="D52" s="1066">
        <f>+lgh_pref_equity!D142</f>
        <v>9.7777784453202593E-2</v>
      </c>
      <c r="E52" s="1066">
        <f>+lgh_pref_equity!E142</f>
        <v>9.7465893593702738E-2</v>
      </c>
      <c r="F52" s="1066">
        <f>+lgh_pref_equity!F142</f>
        <v>9.7465893593702738E-2</v>
      </c>
      <c r="G52" s="1066">
        <f>+lgh_pref_equity!G142</f>
        <v>0.10011589359370274</v>
      </c>
      <c r="H52" s="1066">
        <f>+lgh_pref_equity!H142</f>
        <v>0.10011589359370274</v>
      </c>
      <c r="I52" s="1066">
        <f>+lgh_pref_equity!I142</f>
        <v>0.10011589359370274</v>
      </c>
      <c r="J52" s="1066">
        <f>+lgh_pref_equity!J142</f>
        <v>0.10011589359370274</v>
      </c>
      <c r="K52" s="1066">
        <f>+lgh_pref_equity!K142</f>
        <v>0.10011589359370274</v>
      </c>
      <c r="L52" s="1066">
        <f>+lgh_pref_equity!L142</f>
        <v>0.10011589359370274</v>
      </c>
      <c r="M52" s="1066">
        <f>+lgh_pref_equity!M142</f>
        <v>0.10011589359370274</v>
      </c>
      <c r="N52" s="1066">
        <f>+lgh_pref_equity!N142</f>
        <v>0.10011589359370274</v>
      </c>
    </row>
    <row r="53" spans="1:14">
      <c r="A53" s="104" t="s">
        <v>23</v>
      </c>
      <c r="B53" s="2047">
        <v>1</v>
      </c>
      <c r="C53" s="211">
        <f t="shared" ref="C53:N53" si="16">+C47+C52</f>
        <v>1</v>
      </c>
      <c r="D53" s="211">
        <f t="shared" si="16"/>
        <v>1</v>
      </c>
      <c r="E53" s="211">
        <f t="shared" si="16"/>
        <v>0.99999999999999989</v>
      </c>
      <c r="F53" s="211">
        <f t="shared" si="16"/>
        <v>0.99999999999999989</v>
      </c>
      <c r="G53" s="211">
        <f t="shared" si="16"/>
        <v>1</v>
      </c>
      <c r="H53" s="211">
        <f t="shared" si="16"/>
        <v>1</v>
      </c>
      <c r="I53" s="211">
        <f t="shared" si="16"/>
        <v>1</v>
      </c>
      <c r="J53" s="211">
        <f t="shared" si="16"/>
        <v>1</v>
      </c>
      <c r="K53" s="211">
        <f t="shared" si="16"/>
        <v>1</v>
      </c>
      <c r="L53" s="211">
        <f t="shared" si="16"/>
        <v>1</v>
      </c>
      <c r="M53" s="211">
        <f t="shared" si="16"/>
        <v>1</v>
      </c>
      <c r="N53" s="211">
        <f t="shared" si="16"/>
        <v>1</v>
      </c>
    </row>
    <row r="54" spans="1:14">
      <c r="B54" s="2017"/>
      <c r="C54" s="196"/>
      <c r="D54" s="196"/>
      <c r="E54" s="196"/>
      <c r="F54" s="196"/>
      <c r="G54" s="196"/>
      <c r="H54" s="196"/>
      <c r="I54" s="196"/>
      <c r="J54" s="196"/>
      <c r="K54" s="196"/>
      <c r="L54" s="196"/>
      <c r="M54" s="196"/>
      <c r="N54" s="196"/>
    </row>
    <row r="56" spans="1:14">
      <c r="B56" s="2017"/>
      <c r="C56" s="196"/>
      <c r="D56" s="196"/>
      <c r="E56" s="196"/>
      <c r="F56" s="196"/>
      <c r="G56" s="196"/>
      <c r="H56" s="196"/>
      <c r="I56" s="196"/>
      <c r="J56" s="196"/>
      <c r="K56" s="196"/>
      <c r="L56" s="196"/>
      <c r="M56" s="196"/>
      <c r="N56" s="196"/>
    </row>
    <row r="62" spans="1:14">
      <c r="A62" s="5"/>
    </row>
    <row r="63" spans="1:14">
      <c r="B63" s="2048"/>
    </row>
    <row r="64" spans="1:14">
      <c r="B64" s="2048"/>
    </row>
    <row r="66" spans="2:14">
      <c r="B66" s="2017"/>
      <c r="C66" s="196"/>
      <c r="D66" s="196"/>
      <c r="E66" s="196"/>
      <c r="F66" s="196"/>
      <c r="G66" s="196"/>
      <c r="H66" s="196"/>
      <c r="I66" s="196"/>
      <c r="J66" s="196"/>
      <c r="K66" s="196"/>
      <c r="L66" s="196"/>
      <c r="M66" s="196"/>
      <c r="N66" s="19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28">
    <tabColor rgb="FFFFC000"/>
  </sheetPr>
  <dimension ref="A1:Y187"/>
  <sheetViews>
    <sheetView showGridLines="0" topLeftCell="A183" zoomScale="85" zoomScaleNormal="85" workbookViewId="0">
      <selection activeCell="B192" sqref="B192"/>
    </sheetView>
  </sheetViews>
  <sheetFormatPr defaultColWidth="9.26171875" defaultRowHeight="15.6"/>
  <cols>
    <col min="1" max="1" width="44.68359375" style="223" customWidth="1"/>
    <col min="2" max="2" width="32.68359375" style="223" customWidth="1"/>
    <col min="3" max="3" width="17.26171875" style="223" bestFit="1" customWidth="1"/>
    <col min="4" max="4" width="13.578125" style="223" bestFit="1" customWidth="1"/>
    <col min="5" max="5" width="14.68359375" style="223" bestFit="1" customWidth="1"/>
    <col min="6" max="7" width="15" style="223" bestFit="1" customWidth="1"/>
    <col min="8" max="8" width="17.41796875" style="223" bestFit="1" customWidth="1"/>
    <col min="9" max="9" width="19.26171875" style="223" bestFit="1" customWidth="1"/>
    <col min="10" max="10" width="15" style="223" bestFit="1" customWidth="1"/>
    <col min="11" max="11" width="17.26171875" style="223" customWidth="1"/>
    <col min="12" max="17" width="15" style="223" bestFit="1" customWidth="1"/>
    <col min="18" max="18" width="11.578125" style="223" bestFit="1" customWidth="1"/>
    <col min="19" max="19" width="13.41796875" style="223" bestFit="1" customWidth="1"/>
    <col min="20" max="23" width="11.578125" style="223" bestFit="1" customWidth="1"/>
    <col min="24" max="24" width="12.41796875" style="223" bestFit="1" customWidth="1"/>
    <col min="25" max="25" width="13.26171875" style="223" bestFit="1" customWidth="1"/>
    <col min="26" max="26" width="9.68359375" style="223" bestFit="1" customWidth="1"/>
    <col min="27" max="27" width="13.26171875" style="223" bestFit="1" customWidth="1"/>
    <col min="28" max="28" width="9.68359375" style="223" bestFit="1" customWidth="1"/>
    <col min="29" max="29" width="12.68359375" style="223" bestFit="1" customWidth="1"/>
    <col min="30" max="30" width="9.68359375" style="223" bestFit="1" customWidth="1"/>
    <col min="31" max="31" width="13.26171875" style="223" bestFit="1" customWidth="1"/>
    <col min="32" max="32" width="9.68359375" style="223" bestFit="1" customWidth="1"/>
    <col min="33" max="33" width="12.68359375" style="223" bestFit="1" customWidth="1"/>
    <col min="34" max="34" width="13.41796875" style="223" bestFit="1" customWidth="1"/>
    <col min="35" max="35" width="20.26171875" style="223" bestFit="1" customWidth="1"/>
    <col min="36" max="36" width="9.26171875" style="223" customWidth="1"/>
    <col min="37" max="16384" width="9.26171875" style="223"/>
  </cols>
  <sheetData>
    <row r="1" spans="1:25">
      <c r="M1" s="224"/>
    </row>
    <row r="3" spans="1:25" s="234" customFormat="1">
      <c r="A3" s="234" t="s">
        <v>383</v>
      </c>
      <c r="G3" s="423"/>
      <c r="H3" s="817"/>
      <c r="I3" s="1733">
        <v>44561</v>
      </c>
      <c r="J3" s="1746">
        <v>44926</v>
      </c>
      <c r="K3" s="1746">
        <v>45291</v>
      </c>
      <c r="L3" s="1746">
        <v>45657</v>
      </c>
      <c r="M3" s="1746">
        <v>45747</v>
      </c>
      <c r="N3" s="1777">
        <v>45838</v>
      </c>
      <c r="O3" s="1777">
        <v>45930</v>
      </c>
      <c r="P3" s="1777">
        <v>46022</v>
      </c>
      <c r="Q3" s="1746">
        <v>46112</v>
      </c>
      <c r="R3" s="1777">
        <v>46203</v>
      </c>
      <c r="S3" s="1777">
        <v>46295</v>
      </c>
      <c r="T3" s="1777">
        <v>46387</v>
      </c>
      <c r="U3" s="1746">
        <v>46752</v>
      </c>
      <c r="V3" s="1746">
        <v>47118</v>
      </c>
      <c r="W3" s="1746">
        <v>47483</v>
      </c>
      <c r="X3" s="1739">
        <v>47848</v>
      </c>
    </row>
    <row r="4" spans="1:25">
      <c r="A4" s="223" t="s">
        <v>384</v>
      </c>
      <c r="B4" s="223" t="s">
        <v>385</v>
      </c>
      <c r="C4" s="223" t="s">
        <v>386</v>
      </c>
      <c r="D4" s="223" t="s">
        <v>387</v>
      </c>
      <c r="E4" s="223" t="s">
        <v>388</v>
      </c>
      <c r="F4" s="223" t="s">
        <v>389</v>
      </c>
      <c r="G4" s="424" t="s">
        <v>390</v>
      </c>
      <c r="H4" s="424" t="s">
        <v>391</v>
      </c>
      <c r="I4" s="1734">
        <v>4</v>
      </c>
      <c r="J4" s="1747">
        <v>4</v>
      </c>
      <c r="K4" s="1747">
        <v>4</v>
      </c>
      <c r="L4" s="1747">
        <v>4</v>
      </c>
      <c r="M4" s="1747">
        <v>1</v>
      </c>
      <c r="N4" s="1778">
        <v>2</v>
      </c>
      <c r="O4" s="1778">
        <v>3</v>
      </c>
      <c r="P4" s="1778">
        <v>4</v>
      </c>
      <c r="Q4" s="1747">
        <v>1</v>
      </c>
      <c r="R4" s="1778">
        <v>2</v>
      </c>
      <c r="S4" s="1778">
        <v>3</v>
      </c>
      <c r="T4" s="1778">
        <v>4</v>
      </c>
      <c r="U4" s="1747">
        <v>4</v>
      </c>
      <c r="V4" s="1747">
        <v>4</v>
      </c>
      <c r="W4" s="1747">
        <v>4</v>
      </c>
      <c r="X4" s="1740">
        <v>4</v>
      </c>
      <c r="Y4" s="5" t="s">
        <v>392</v>
      </c>
    </row>
    <row r="5" spans="1:25">
      <c r="A5" s="513" t="s">
        <v>393</v>
      </c>
      <c r="B5" s="513" t="s">
        <v>394</v>
      </c>
      <c r="C5" s="514">
        <f>5000000</f>
        <v>5000000</v>
      </c>
      <c r="D5" s="496">
        <v>0.08</v>
      </c>
      <c r="E5" s="515">
        <v>0.17499999999999999</v>
      </c>
      <c r="F5" s="516">
        <v>44365</v>
      </c>
      <c r="G5" s="517">
        <f>+C5/lgh_inputs!$D$10</f>
        <v>200000</v>
      </c>
      <c r="H5" s="516"/>
      <c r="I5" s="232">
        <f t="shared" ref="I5:I43" si="0">IF($F5&lt;I$3,C5*(1+D5)^((I$3-$F$5)/365),0)</f>
        <v>5210964.3638452394</v>
      </c>
      <c r="J5" s="246">
        <f t="shared" ref="J5:L24" si="1">IF(AND(YEAR($F5)=YEAR(J$3),ROUNDUP(MONTH($F5)/3,0)&lt;=J$4),$C5*(1+$D5)^((J$3-$F5)/365),IF(ROUND(I5,0)=0,0,I5*(1+$D5)))</f>
        <v>5627841.5129528586</v>
      </c>
      <c r="K5" s="246">
        <f t="shared" si="1"/>
        <v>6078068.8339890875</v>
      </c>
      <c r="L5" s="246">
        <f t="shared" si="1"/>
        <v>6564314.3407082148</v>
      </c>
      <c r="M5" s="246">
        <f t="shared" ref="M5:T14" si="2">IF(AND(YEAR($F5)=YEAR(M$3),ROUNDUP(MONTH($F5)/3,0)=M$4),$C5*(1+$D5/4)^((M$3-$F5)/91),IF(ROUND(L5,0)=0,0,L5*(1+$D5/4)))</f>
        <v>6695600.6275223792</v>
      </c>
      <c r="N5" s="1779">
        <f t="shared" si="2"/>
        <v>6829512.6400728272</v>
      </c>
      <c r="O5" s="1779">
        <f t="shared" si="2"/>
        <v>6966102.8928742837</v>
      </c>
      <c r="P5" s="1779">
        <f t="shared" si="2"/>
        <v>7105424.9507317692</v>
      </c>
      <c r="Q5" s="246">
        <f t="shared" si="2"/>
        <v>7247533.4497464048</v>
      </c>
      <c r="R5" s="1779">
        <f t="shared" si="2"/>
        <v>7392484.1187413326</v>
      </c>
      <c r="S5" s="1779">
        <f t="shared" si="2"/>
        <v>7540333.8011161592</v>
      </c>
      <c r="T5" s="1779">
        <f t="shared" si="2"/>
        <v>7691140.477138483</v>
      </c>
      <c r="U5" s="246">
        <f t="shared" ref="U5:X24" si="3">IF(AND(YEAR($F5)=YEAR(U$3),ROUNDUP(MONTH($F5)/3,0)&lt;=U$4),$C5*(1+$D5)^((U$3-$F5)/365),IF(ROUND(T5,0)=0,0,T5*(1+$D5)))</f>
        <v>8306431.7153095622</v>
      </c>
      <c r="V5" s="246">
        <f t="shared" si="3"/>
        <v>8970946.252534328</v>
      </c>
      <c r="W5" s="246">
        <f t="shared" si="3"/>
        <v>9688621.9527370743</v>
      </c>
      <c r="X5" s="1741">
        <f t="shared" si="3"/>
        <v>10463711.70895604</v>
      </c>
      <c r="Y5" t="str">
        <f t="shared" ref="Y5:Y43" si="4">A5&amp;" "&amp;B5</f>
        <v>PE001 PFNGT LLC</v>
      </c>
    </row>
    <row r="6" spans="1:25">
      <c r="A6" s="513" t="s">
        <v>395</v>
      </c>
      <c r="B6" s="513" t="s">
        <v>396</v>
      </c>
      <c r="C6" s="514">
        <v>3000000</v>
      </c>
      <c r="D6" s="496">
        <v>0.08</v>
      </c>
      <c r="E6" s="515">
        <v>0.17499999999999999</v>
      </c>
      <c r="F6" s="516">
        <v>44365</v>
      </c>
      <c r="G6" s="518">
        <f>+C6/lgh_inputs!$D$10</f>
        <v>120000</v>
      </c>
      <c r="H6" s="516"/>
      <c r="I6" s="232">
        <f t="shared" si="0"/>
        <v>3126578.6183071439</v>
      </c>
      <c r="J6" s="246">
        <f t="shared" si="1"/>
        <v>3376704.9077717154</v>
      </c>
      <c r="K6" s="246">
        <f t="shared" si="1"/>
        <v>3646841.3003934529</v>
      </c>
      <c r="L6" s="246">
        <f t="shared" si="1"/>
        <v>3938588.6044249292</v>
      </c>
      <c r="M6" s="246">
        <f t="shared" si="2"/>
        <v>4017360.3765134281</v>
      </c>
      <c r="N6" s="1779">
        <f t="shared" si="2"/>
        <v>4097707.5840436965</v>
      </c>
      <c r="O6" s="1779">
        <f t="shared" si="2"/>
        <v>4179661.7357245707</v>
      </c>
      <c r="P6" s="1779">
        <f t="shared" si="2"/>
        <v>4263254.9704390625</v>
      </c>
      <c r="Q6" s="246">
        <f t="shared" si="2"/>
        <v>4348520.0698478436</v>
      </c>
      <c r="R6" s="1779">
        <f t="shared" si="2"/>
        <v>4435490.4712448008</v>
      </c>
      <c r="S6" s="1779">
        <f t="shared" si="2"/>
        <v>4524200.2806696966</v>
      </c>
      <c r="T6" s="1779">
        <f t="shared" si="2"/>
        <v>4614684.2862830907</v>
      </c>
      <c r="U6" s="246">
        <f t="shared" si="3"/>
        <v>4983859.0291857384</v>
      </c>
      <c r="V6" s="246">
        <f t="shared" si="3"/>
        <v>5382567.7515205983</v>
      </c>
      <c r="W6" s="246">
        <f t="shared" si="3"/>
        <v>5813173.1716422467</v>
      </c>
      <c r="X6" s="1741">
        <f t="shared" si="3"/>
        <v>6278227.0253736265</v>
      </c>
      <c r="Y6" t="str">
        <f t="shared" si="4"/>
        <v>PE002 Derivee Capital Advisors, LLC</v>
      </c>
    </row>
    <row r="7" spans="1:25">
      <c r="A7" s="513" t="s">
        <v>397</v>
      </c>
      <c r="B7" s="513" t="s">
        <v>396</v>
      </c>
      <c r="C7" s="514">
        <v>2000000</v>
      </c>
      <c r="D7" s="496">
        <v>0.08</v>
      </c>
      <c r="E7" s="515">
        <v>0.17499999999999999</v>
      </c>
      <c r="F7" s="516">
        <v>44393</v>
      </c>
      <c r="G7" s="518">
        <f>+C7/lgh_inputs!$D$10</f>
        <v>80000</v>
      </c>
      <c r="H7" s="516"/>
      <c r="I7" s="232">
        <f t="shared" si="0"/>
        <v>2084385.7455380959</v>
      </c>
      <c r="J7" s="246">
        <f t="shared" si="1"/>
        <v>2251136.6051811436</v>
      </c>
      <c r="K7" s="246">
        <f t="shared" si="1"/>
        <v>2431227.5335956351</v>
      </c>
      <c r="L7" s="246">
        <f t="shared" si="1"/>
        <v>2625725.736283286</v>
      </c>
      <c r="M7" s="246">
        <f t="shared" si="2"/>
        <v>2678240.2510089516</v>
      </c>
      <c r="N7" s="1779">
        <f t="shared" si="2"/>
        <v>2731805.0560291307</v>
      </c>
      <c r="O7" s="1779">
        <f t="shared" si="2"/>
        <v>2786441.1571497135</v>
      </c>
      <c r="P7" s="1779">
        <f t="shared" si="2"/>
        <v>2842169.9802927077</v>
      </c>
      <c r="Q7" s="246">
        <f t="shared" si="2"/>
        <v>2899013.3798985621</v>
      </c>
      <c r="R7" s="1779">
        <f t="shared" si="2"/>
        <v>2956993.6474965336</v>
      </c>
      <c r="S7" s="1779">
        <f t="shared" si="2"/>
        <v>3016133.5204464644</v>
      </c>
      <c r="T7" s="1779">
        <f t="shared" si="2"/>
        <v>3076456.1908553937</v>
      </c>
      <c r="U7" s="246">
        <f t="shared" si="3"/>
        <v>3322572.6861238251</v>
      </c>
      <c r="V7" s="246">
        <f t="shared" si="3"/>
        <v>3588378.5010137316</v>
      </c>
      <c r="W7" s="246">
        <f t="shared" si="3"/>
        <v>3875448.7810948305</v>
      </c>
      <c r="X7" s="1741">
        <f t="shared" si="3"/>
        <v>4185484.6835824172</v>
      </c>
      <c r="Y7" t="str">
        <f t="shared" si="4"/>
        <v>PE003 Derivee Capital Advisors, LLC</v>
      </c>
    </row>
    <row r="8" spans="1:25">
      <c r="A8" s="513" t="s">
        <v>398</v>
      </c>
      <c r="B8" s="513" t="s">
        <v>399</v>
      </c>
      <c r="C8" s="514">
        <v>5000000</v>
      </c>
      <c r="D8" s="496">
        <v>0.08</v>
      </c>
      <c r="E8" s="496">
        <v>0.14000000000000001</v>
      </c>
      <c r="F8" s="516">
        <v>44568</v>
      </c>
      <c r="G8" s="518">
        <f>+C8/lgh_inputs!$D$10</f>
        <v>200000</v>
      </c>
      <c r="H8" s="516"/>
      <c r="I8" s="232">
        <f t="shared" si="0"/>
        <v>0</v>
      </c>
      <c r="J8" s="246">
        <f t="shared" si="1"/>
        <v>5392035.6670535086</v>
      </c>
      <c r="K8" s="246">
        <f t="shared" si="1"/>
        <v>5823398.5204177899</v>
      </c>
      <c r="L8" s="246">
        <f t="shared" si="1"/>
        <v>6289270.4020512132</v>
      </c>
      <c r="M8" s="246">
        <f t="shared" si="2"/>
        <v>6415055.8100922378</v>
      </c>
      <c r="N8" s="1779">
        <f t="shared" si="2"/>
        <v>6543356.9262940828</v>
      </c>
      <c r="O8" s="1779">
        <f t="shared" si="2"/>
        <v>6674224.0648199646</v>
      </c>
      <c r="P8" s="1779">
        <f t="shared" si="2"/>
        <v>6807708.5461163642</v>
      </c>
      <c r="Q8" s="246">
        <f t="shared" si="2"/>
        <v>6943862.717038692</v>
      </c>
      <c r="R8" s="1779">
        <f t="shared" si="2"/>
        <v>7082739.9713794664</v>
      </c>
      <c r="S8" s="1779">
        <f t="shared" si="2"/>
        <v>7224394.7708070558</v>
      </c>
      <c r="T8" s="1779">
        <f t="shared" si="2"/>
        <v>7368882.6662231972</v>
      </c>
      <c r="U8" s="246">
        <f t="shared" si="3"/>
        <v>7958393.2795210537</v>
      </c>
      <c r="V8" s="246">
        <f t="shared" si="3"/>
        <v>8595064.7418827377</v>
      </c>
      <c r="W8" s="246">
        <f t="shared" si="3"/>
        <v>9282669.9212333579</v>
      </c>
      <c r="X8" s="1741">
        <f t="shared" si="3"/>
        <v>10025283.514932027</v>
      </c>
      <c r="Y8" t="str">
        <f t="shared" si="4"/>
        <v>PE004 DCAPP Hotel Ventures LLC</v>
      </c>
    </row>
    <row r="9" spans="1:25">
      <c r="A9" s="513" t="s">
        <v>400</v>
      </c>
      <c r="B9" s="513" t="s">
        <v>399</v>
      </c>
      <c r="C9" s="514">
        <v>4000000</v>
      </c>
      <c r="D9" s="496">
        <v>0.08</v>
      </c>
      <c r="E9" s="496">
        <v>0.14000000000000001</v>
      </c>
      <c r="F9" s="516">
        <v>44568</v>
      </c>
      <c r="G9" s="518">
        <f>+C9/lgh_inputs!$D$10</f>
        <v>160000</v>
      </c>
      <c r="H9" s="516"/>
      <c r="I9" s="232">
        <f t="shared" si="0"/>
        <v>0</v>
      </c>
      <c r="J9" s="246">
        <f t="shared" si="1"/>
        <v>4313628.533642807</v>
      </c>
      <c r="K9" s="246">
        <f t="shared" si="1"/>
        <v>4658718.8163342318</v>
      </c>
      <c r="L9" s="246">
        <f t="shared" si="1"/>
        <v>5031416.3216409702</v>
      </c>
      <c r="M9" s="246">
        <f t="shared" si="2"/>
        <v>5132044.6480737897</v>
      </c>
      <c r="N9" s="1779">
        <f t="shared" si="2"/>
        <v>5234685.5410352657</v>
      </c>
      <c r="O9" s="1779">
        <f t="shared" si="2"/>
        <v>5339379.2518559713</v>
      </c>
      <c r="P9" s="1779">
        <f t="shared" si="2"/>
        <v>5446166.836893091</v>
      </c>
      <c r="Q9" s="246">
        <f t="shared" si="2"/>
        <v>5555090.1736309528</v>
      </c>
      <c r="R9" s="1779">
        <f t="shared" si="2"/>
        <v>5666191.9771035723</v>
      </c>
      <c r="S9" s="1779">
        <f t="shared" si="2"/>
        <v>5779515.8166456437</v>
      </c>
      <c r="T9" s="1779">
        <f t="shared" si="2"/>
        <v>5895106.1329785567</v>
      </c>
      <c r="U9" s="246">
        <f t="shared" si="3"/>
        <v>6366714.6236168416</v>
      </c>
      <c r="V9" s="246">
        <f t="shared" si="3"/>
        <v>6876051.7935061892</v>
      </c>
      <c r="W9" s="246">
        <f t="shared" si="3"/>
        <v>7426135.9369866848</v>
      </c>
      <c r="X9" s="1741">
        <f t="shared" si="3"/>
        <v>8020226.81194562</v>
      </c>
      <c r="Y9" t="str">
        <f t="shared" si="4"/>
        <v>PE005 DCAPP Hotel Ventures LLC</v>
      </c>
    </row>
    <row r="10" spans="1:25">
      <c r="A10" s="513" t="s">
        <v>401</v>
      </c>
      <c r="B10" s="513" t="s">
        <v>399</v>
      </c>
      <c r="C10" s="514">
        <v>2000000</v>
      </c>
      <c r="D10" s="496">
        <v>0.08</v>
      </c>
      <c r="E10" s="496">
        <v>0.14000000000000001</v>
      </c>
      <c r="F10" s="516">
        <v>44630</v>
      </c>
      <c r="G10" s="518">
        <f>+C10/lgh_inputs!$D$10</f>
        <v>80000</v>
      </c>
      <c r="H10" s="516"/>
      <c r="I10" s="232">
        <f t="shared" si="0"/>
        <v>0</v>
      </c>
      <c r="J10" s="246">
        <f t="shared" si="1"/>
        <v>2128802.0893277312</v>
      </c>
      <c r="K10" s="246">
        <f t="shared" si="1"/>
        <v>2299106.2564739496</v>
      </c>
      <c r="L10" s="246">
        <f t="shared" si="1"/>
        <v>2483034.7569918656</v>
      </c>
      <c r="M10" s="246">
        <f t="shared" si="2"/>
        <v>2532695.452131703</v>
      </c>
      <c r="N10" s="1779">
        <f t="shared" si="2"/>
        <v>2583349.3611743371</v>
      </c>
      <c r="O10" s="1779">
        <f t="shared" si="2"/>
        <v>2635016.348397824</v>
      </c>
      <c r="P10" s="1779">
        <f t="shared" si="2"/>
        <v>2687716.6753657805</v>
      </c>
      <c r="Q10" s="246">
        <f t="shared" si="2"/>
        <v>2741471.0088730962</v>
      </c>
      <c r="R10" s="1779">
        <f t="shared" si="2"/>
        <v>2796300.4290505582</v>
      </c>
      <c r="S10" s="1779">
        <f t="shared" si="2"/>
        <v>2852226.4376315693</v>
      </c>
      <c r="T10" s="1779">
        <f t="shared" si="2"/>
        <v>2909270.9663842008</v>
      </c>
      <c r="U10" s="246">
        <f t="shared" si="3"/>
        <v>3142012.6436949372</v>
      </c>
      <c r="V10" s="246">
        <f t="shared" si="3"/>
        <v>3393373.6551905326</v>
      </c>
      <c r="W10" s="246">
        <f t="shared" si="3"/>
        <v>3664843.5476057753</v>
      </c>
      <c r="X10" s="1741">
        <f t="shared" si="3"/>
        <v>3958031.0314142378</v>
      </c>
      <c r="Y10" t="str">
        <f t="shared" si="4"/>
        <v>PE006 DCAPP Hotel Ventures LLC</v>
      </c>
    </row>
    <row r="11" spans="1:25">
      <c r="A11" s="513" t="s">
        <v>402</v>
      </c>
      <c r="B11" s="513" t="s">
        <v>403</v>
      </c>
      <c r="C11" s="514">
        <v>2500000</v>
      </c>
      <c r="D11" s="496">
        <v>0.08</v>
      </c>
      <c r="E11" s="515">
        <v>0.125</v>
      </c>
      <c r="F11" s="516">
        <v>44700</v>
      </c>
      <c r="G11" s="518">
        <f>+C11/lgh_inputs!$D$10</f>
        <v>100000</v>
      </c>
      <c r="H11" s="516"/>
      <c r="I11" s="232">
        <f t="shared" si="0"/>
        <v>0</v>
      </c>
      <c r="J11" s="246">
        <f t="shared" si="1"/>
        <v>2622015.5652523842</v>
      </c>
      <c r="K11" s="246">
        <f t="shared" si="1"/>
        <v>2831776.810472575</v>
      </c>
      <c r="L11" s="246">
        <f t="shared" si="1"/>
        <v>3058318.955310381</v>
      </c>
      <c r="M11" s="246">
        <f t="shared" si="2"/>
        <v>3119485.3344165888</v>
      </c>
      <c r="N11" s="1779">
        <f t="shared" si="2"/>
        <v>3181875.0411049207</v>
      </c>
      <c r="O11" s="1779">
        <f t="shared" si="2"/>
        <v>3245512.5419270191</v>
      </c>
      <c r="P11" s="1779">
        <f t="shared" si="2"/>
        <v>3310422.7927655596</v>
      </c>
      <c r="Q11" s="246">
        <f t="shared" si="2"/>
        <v>3376631.248620871</v>
      </c>
      <c r="R11" s="1779">
        <f t="shared" si="2"/>
        <v>3444163.8735932885</v>
      </c>
      <c r="S11" s="1779">
        <f t="shared" si="2"/>
        <v>3513047.1510651545</v>
      </c>
      <c r="T11" s="1779">
        <f t="shared" si="2"/>
        <v>3583308.0940864575</v>
      </c>
      <c r="U11" s="246">
        <f t="shared" si="3"/>
        <v>3869972.7416133746</v>
      </c>
      <c r="V11" s="246">
        <f t="shared" si="3"/>
        <v>4179570.560942445</v>
      </c>
      <c r="W11" s="246">
        <f t="shared" si="3"/>
        <v>4513936.205817841</v>
      </c>
      <c r="X11" s="1741">
        <f t="shared" si="3"/>
        <v>4875051.1022832682</v>
      </c>
      <c r="Y11" t="str">
        <f t="shared" si="4"/>
        <v>PE007 La Pointe Investments LLC</v>
      </c>
    </row>
    <row r="12" spans="1:25">
      <c r="A12" s="513" t="s">
        <v>404</v>
      </c>
      <c r="B12" s="513" t="s">
        <v>403</v>
      </c>
      <c r="C12" s="514">
        <v>2500000</v>
      </c>
      <c r="D12" s="496">
        <v>0.08</v>
      </c>
      <c r="E12" s="515">
        <v>0.125</v>
      </c>
      <c r="F12" s="516">
        <v>44882</v>
      </c>
      <c r="G12" s="518">
        <f>+C12/lgh_inputs!$D$10</f>
        <v>100000</v>
      </c>
      <c r="H12" s="516"/>
      <c r="I12" s="232">
        <f t="shared" si="0"/>
        <v>0</v>
      </c>
      <c r="J12" s="246">
        <f t="shared" si="1"/>
        <v>2523301.661819749</v>
      </c>
      <c r="K12" s="246">
        <f t="shared" si="1"/>
        <v>2725165.794765329</v>
      </c>
      <c r="L12" s="246">
        <f t="shared" si="1"/>
        <v>2943179.0583465556</v>
      </c>
      <c r="M12" s="246">
        <f t="shared" si="2"/>
        <v>3002042.6395134865</v>
      </c>
      <c r="N12" s="1779">
        <f t="shared" si="2"/>
        <v>3062083.4923037565</v>
      </c>
      <c r="O12" s="1779">
        <f t="shared" si="2"/>
        <v>3123325.1621498317</v>
      </c>
      <c r="P12" s="1779">
        <f t="shared" si="2"/>
        <v>3185791.6653928282</v>
      </c>
      <c r="Q12" s="246">
        <f t="shared" si="2"/>
        <v>3249507.4987006849</v>
      </c>
      <c r="R12" s="1779">
        <f t="shared" si="2"/>
        <v>3314497.6486746985</v>
      </c>
      <c r="S12" s="1779">
        <f t="shared" si="2"/>
        <v>3380787.6016481924</v>
      </c>
      <c r="T12" s="1779">
        <f t="shared" si="2"/>
        <v>3448403.3536811564</v>
      </c>
      <c r="U12" s="246">
        <f t="shared" si="3"/>
        <v>3724275.6219756491</v>
      </c>
      <c r="V12" s="246">
        <f t="shared" si="3"/>
        <v>4022217.6717337011</v>
      </c>
      <c r="W12" s="246">
        <f t="shared" si="3"/>
        <v>4343995.0854723975</v>
      </c>
      <c r="X12" s="1741">
        <f t="shared" si="3"/>
        <v>4691514.6923101898</v>
      </c>
      <c r="Y12" t="str">
        <f t="shared" si="4"/>
        <v>PE008 La Pointe Investments LLC</v>
      </c>
    </row>
    <row r="13" spans="1:25">
      <c r="A13" s="513" t="s">
        <v>405</v>
      </c>
      <c r="B13" s="513" t="s">
        <v>403</v>
      </c>
      <c r="C13" s="514">
        <v>1000000</v>
      </c>
      <c r="D13" s="496">
        <v>0.08</v>
      </c>
      <c r="E13" s="515">
        <v>0.125</v>
      </c>
      <c r="F13" s="516">
        <v>45043</v>
      </c>
      <c r="G13" s="518">
        <f>+C13/lgh_inputs!$D$10</f>
        <v>40000</v>
      </c>
      <c r="H13" s="516"/>
      <c r="I13" s="232">
        <f t="shared" si="0"/>
        <v>0</v>
      </c>
      <c r="J13" s="246">
        <f t="shared" si="1"/>
        <v>0</v>
      </c>
      <c r="K13" s="246">
        <f t="shared" si="1"/>
        <v>1053682.6751182266</v>
      </c>
      <c r="L13" s="246">
        <f t="shared" si="1"/>
        <v>1137977.2891276847</v>
      </c>
      <c r="M13" s="246">
        <f t="shared" si="2"/>
        <v>1160736.8349102384</v>
      </c>
      <c r="N13" s="1779">
        <f t="shared" si="2"/>
        <v>1183951.5716084433</v>
      </c>
      <c r="O13" s="1779">
        <f t="shared" si="2"/>
        <v>1207630.6030406121</v>
      </c>
      <c r="P13" s="1779">
        <f t="shared" si="2"/>
        <v>1231783.2151014244</v>
      </c>
      <c r="Q13" s="246">
        <f t="shared" si="2"/>
        <v>1256418.8794034529</v>
      </c>
      <c r="R13" s="1779">
        <f t="shared" si="2"/>
        <v>1281547.2569915219</v>
      </c>
      <c r="S13" s="1779">
        <f t="shared" si="2"/>
        <v>1307178.2021313524</v>
      </c>
      <c r="T13" s="1779">
        <f t="shared" si="2"/>
        <v>1333321.7661739795</v>
      </c>
      <c r="U13" s="246">
        <f t="shared" si="3"/>
        <v>1439987.5074678978</v>
      </c>
      <c r="V13" s="246">
        <f t="shared" si="3"/>
        <v>1555186.5080653299</v>
      </c>
      <c r="W13" s="246">
        <f t="shared" si="3"/>
        <v>1679601.4287105564</v>
      </c>
      <c r="X13" s="1741">
        <f t="shared" si="3"/>
        <v>1813969.5430074011</v>
      </c>
      <c r="Y13" t="str">
        <f t="shared" si="4"/>
        <v>PE009 La Pointe Investments LLC</v>
      </c>
    </row>
    <row r="14" spans="1:25">
      <c r="A14" s="513" t="s">
        <v>406</v>
      </c>
      <c r="B14" s="513" t="s">
        <v>407</v>
      </c>
      <c r="C14" s="514">
        <v>450000</v>
      </c>
      <c r="D14" s="496">
        <v>0.08</v>
      </c>
      <c r="E14" s="496">
        <v>0.1</v>
      </c>
      <c r="F14" s="516">
        <v>44705</v>
      </c>
      <c r="G14" s="518">
        <f>+C14/lgh_inputs!$D$10</f>
        <v>18000</v>
      </c>
      <c r="H14" s="516"/>
      <c r="I14" s="232">
        <f t="shared" si="0"/>
        <v>0</v>
      </c>
      <c r="J14" s="246">
        <f t="shared" si="1"/>
        <v>471465.49203993625</v>
      </c>
      <c r="K14" s="246">
        <f t="shared" si="1"/>
        <v>509182.73140313115</v>
      </c>
      <c r="L14" s="246">
        <f t="shared" si="1"/>
        <v>549917.34991538164</v>
      </c>
      <c r="M14" s="246">
        <f t="shared" si="2"/>
        <v>560915.69691368926</v>
      </c>
      <c r="N14" s="1779">
        <f t="shared" si="2"/>
        <v>572134.01085196307</v>
      </c>
      <c r="O14" s="1779">
        <f t="shared" si="2"/>
        <v>583576.69106900238</v>
      </c>
      <c r="P14" s="1779">
        <f t="shared" si="2"/>
        <v>595248.22489038249</v>
      </c>
      <c r="Q14" s="246">
        <f t="shared" si="2"/>
        <v>607153.18938819016</v>
      </c>
      <c r="R14" s="1779">
        <f t="shared" si="2"/>
        <v>619296.25317595399</v>
      </c>
      <c r="S14" s="1779">
        <f t="shared" si="2"/>
        <v>631682.17823947303</v>
      </c>
      <c r="T14" s="1779">
        <f t="shared" si="2"/>
        <v>644315.82180426246</v>
      </c>
      <c r="U14" s="246">
        <f t="shared" si="3"/>
        <v>695861.08754860354</v>
      </c>
      <c r="V14" s="246">
        <f t="shared" si="3"/>
        <v>751529.97455249191</v>
      </c>
      <c r="W14" s="246">
        <f t="shared" si="3"/>
        <v>811652.37251669134</v>
      </c>
      <c r="X14" s="1741">
        <f t="shared" si="3"/>
        <v>876584.56231802667</v>
      </c>
      <c r="Y14" t="str">
        <f t="shared" si="4"/>
        <v>PE010 Benjamin Rego Jr.</v>
      </c>
    </row>
    <row r="15" spans="1:25">
      <c r="A15" s="513" t="s">
        <v>408</v>
      </c>
      <c r="B15" s="513" t="s">
        <v>407</v>
      </c>
      <c r="C15" s="514">
        <v>50000</v>
      </c>
      <c r="D15" s="496">
        <v>0.08</v>
      </c>
      <c r="E15" s="496">
        <v>0.1</v>
      </c>
      <c r="F15" s="516">
        <v>44706</v>
      </c>
      <c r="G15" s="518">
        <f>+C15/lgh_inputs!$D$10</f>
        <v>2000</v>
      </c>
      <c r="H15" s="516"/>
      <c r="I15" s="232">
        <f t="shared" si="0"/>
        <v>0</v>
      </c>
      <c r="J15" s="246">
        <f t="shared" si="1"/>
        <v>52374.010333184429</v>
      </c>
      <c r="K15" s="246">
        <f t="shared" si="1"/>
        <v>56563.931159839187</v>
      </c>
      <c r="L15" s="246">
        <f t="shared" si="1"/>
        <v>61089.045652626322</v>
      </c>
      <c r="M15" s="246">
        <f t="shared" ref="M15:T24" si="5">IF(AND(YEAR($F15)=YEAR(M$3),ROUNDUP(MONTH($F15)/3,0)=M$4),$C15*(1+$D15/4)^((M$3-$F15)/91),IF(ROUND(L15,0)=0,0,L15*(1+$D15/4)))</f>
        <v>62310.82656567885</v>
      </c>
      <c r="N15" s="1779">
        <f t="shared" si="5"/>
        <v>63557.043096992427</v>
      </c>
      <c r="O15" s="1779">
        <f t="shared" si="5"/>
        <v>64828.183958932277</v>
      </c>
      <c r="P15" s="1779">
        <f t="shared" si="5"/>
        <v>66124.74763811093</v>
      </c>
      <c r="Q15" s="246">
        <f t="shared" si="5"/>
        <v>67447.242590873153</v>
      </c>
      <c r="R15" s="1779">
        <f t="shared" si="5"/>
        <v>68796.187442690614</v>
      </c>
      <c r="S15" s="1779">
        <f t="shared" si="5"/>
        <v>70172.111191544434</v>
      </c>
      <c r="T15" s="1779">
        <f t="shared" si="5"/>
        <v>71575.553415375325</v>
      </c>
      <c r="U15" s="246">
        <f t="shared" si="3"/>
        <v>77301.597688605354</v>
      </c>
      <c r="V15" s="246">
        <f t="shared" si="3"/>
        <v>83485.725503693786</v>
      </c>
      <c r="W15" s="246">
        <f t="shared" si="3"/>
        <v>90164.583543989298</v>
      </c>
      <c r="X15" s="1741">
        <f t="shared" si="3"/>
        <v>97377.750227508455</v>
      </c>
      <c r="Y15" t="str">
        <f t="shared" si="4"/>
        <v>PE011 Benjamin Rego Jr.</v>
      </c>
    </row>
    <row r="16" spans="1:25">
      <c r="A16" s="513" t="s">
        <v>409</v>
      </c>
      <c r="B16" s="513" t="s">
        <v>410</v>
      </c>
      <c r="C16" s="514">
        <v>100000</v>
      </c>
      <c r="D16" s="496">
        <v>0.08</v>
      </c>
      <c r="E16" s="515">
        <v>5.2999999999999999E-2</v>
      </c>
      <c r="F16" s="516">
        <v>45055</v>
      </c>
      <c r="G16" s="518">
        <f>+C16/lgh_inputs!$D$10</f>
        <v>4000</v>
      </c>
      <c r="H16" s="516"/>
      <c r="I16" s="232">
        <f t="shared" si="0"/>
        <v>0</v>
      </c>
      <c r="J16" s="246">
        <f t="shared" si="1"/>
        <v>0</v>
      </c>
      <c r="K16" s="246">
        <f t="shared" si="1"/>
        <v>105101.99898257473</v>
      </c>
      <c r="L16" s="246">
        <f t="shared" si="1"/>
        <v>113510.15890118072</v>
      </c>
      <c r="M16" s="246">
        <f t="shared" si="5"/>
        <v>115780.36207920434</v>
      </c>
      <c r="N16" s="1779">
        <f t="shared" si="5"/>
        <v>118095.96932078843</v>
      </c>
      <c r="O16" s="1779">
        <f t="shared" si="5"/>
        <v>120457.8887072042</v>
      </c>
      <c r="P16" s="1779">
        <f t="shared" si="5"/>
        <v>122867.04648134828</v>
      </c>
      <c r="Q16" s="246">
        <f t="shared" si="5"/>
        <v>125324.38741097525</v>
      </c>
      <c r="R16" s="1779">
        <f t="shared" si="5"/>
        <v>127830.87515919475</v>
      </c>
      <c r="S16" s="1779">
        <f t="shared" si="5"/>
        <v>130387.49266237865</v>
      </c>
      <c r="T16" s="1779">
        <f t="shared" si="5"/>
        <v>132995.24251562622</v>
      </c>
      <c r="U16" s="246">
        <f t="shared" si="3"/>
        <v>143634.86191687631</v>
      </c>
      <c r="V16" s="246">
        <f t="shared" si="3"/>
        <v>155125.65087022644</v>
      </c>
      <c r="W16" s="246">
        <f t="shared" si="3"/>
        <v>167535.70293984457</v>
      </c>
      <c r="X16" s="1741">
        <f t="shared" si="3"/>
        <v>180938.55917503216</v>
      </c>
      <c r="Y16" t="str">
        <f t="shared" si="4"/>
        <v>PE012 Benjamin Rego Jr._1</v>
      </c>
    </row>
    <row r="17" spans="1:25">
      <c r="A17" s="513" t="s">
        <v>411</v>
      </c>
      <c r="B17" s="513" t="s">
        <v>410</v>
      </c>
      <c r="C17" s="514">
        <v>300000</v>
      </c>
      <c r="D17" s="496">
        <v>0.08</v>
      </c>
      <c r="E17" s="515">
        <v>5.2999999999999999E-2</v>
      </c>
      <c r="F17" s="516">
        <v>45058</v>
      </c>
      <c r="G17" s="518">
        <f>+C17/lgh_inputs!$D$10</f>
        <v>12000</v>
      </c>
      <c r="H17" s="516"/>
      <c r="I17" s="232">
        <f t="shared" si="0"/>
        <v>0</v>
      </c>
      <c r="J17" s="246">
        <f t="shared" si="1"/>
        <v>0</v>
      </c>
      <c r="K17" s="246">
        <f t="shared" si="1"/>
        <v>315106.61115711869</v>
      </c>
      <c r="L17" s="246">
        <f t="shared" si="1"/>
        <v>340315.14004968823</v>
      </c>
      <c r="M17" s="246">
        <f t="shared" si="5"/>
        <v>347121.44285068201</v>
      </c>
      <c r="N17" s="1779">
        <f t="shared" si="5"/>
        <v>354063.87170769565</v>
      </c>
      <c r="O17" s="1779">
        <f t="shared" si="5"/>
        <v>361145.1491418496</v>
      </c>
      <c r="P17" s="1779">
        <f t="shared" si="5"/>
        <v>368368.0521246866</v>
      </c>
      <c r="Q17" s="246">
        <f t="shared" si="5"/>
        <v>375735.41316718032</v>
      </c>
      <c r="R17" s="1779">
        <f t="shared" si="5"/>
        <v>383250.12143052393</v>
      </c>
      <c r="S17" s="1779">
        <f t="shared" si="5"/>
        <v>390915.12385913439</v>
      </c>
      <c r="T17" s="1779">
        <f t="shared" si="5"/>
        <v>398733.42633631709</v>
      </c>
      <c r="U17" s="246">
        <f t="shared" si="3"/>
        <v>430632.1004432225</v>
      </c>
      <c r="V17" s="246">
        <f t="shared" si="3"/>
        <v>465082.66847868031</v>
      </c>
      <c r="W17" s="246">
        <f t="shared" si="3"/>
        <v>502289.28195697477</v>
      </c>
      <c r="X17" s="1741">
        <f t="shared" si="3"/>
        <v>542472.42451353278</v>
      </c>
      <c r="Y17" t="str">
        <f t="shared" si="4"/>
        <v>PE013 Benjamin Rego Jr._1</v>
      </c>
    </row>
    <row r="18" spans="1:25">
      <c r="A18" s="513" t="s">
        <v>412</v>
      </c>
      <c r="B18" s="513" t="s">
        <v>410</v>
      </c>
      <c r="C18" s="514">
        <v>600000</v>
      </c>
      <c r="D18" s="496">
        <v>0.08</v>
      </c>
      <c r="E18" s="515">
        <v>5.2999999999999999E-2</v>
      </c>
      <c r="F18" s="516">
        <v>45061</v>
      </c>
      <c r="G18" s="518">
        <f>+C18/lgh_inputs!$D$10</f>
        <v>24000</v>
      </c>
      <c r="H18" s="516"/>
      <c r="I18" s="232">
        <f t="shared" si="0"/>
        <v>0</v>
      </c>
      <c r="J18" s="246">
        <f t="shared" si="1"/>
        <v>0</v>
      </c>
      <c r="K18" s="246">
        <f t="shared" si="1"/>
        <v>629814.70289882028</v>
      </c>
      <c r="L18" s="246">
        <f t="shared" si="1"/>
        <v>680199.87913072598</v>
      </c>
      <c r="M18" s="246">
        <f t="shared" si="5"/>
        <v>693803.87671334052</v>
      </c>
      <c r="N18" s="1779">
        <f t="shared" si="5"/>
        <v>707679.95424760738</v>
      </c>
      <c r="O18" s="1779">
        <f t="shared" si="5"/>
        <v>721833.55333255953</v>
      </c>
      <c r="P18" s="1779">
        <f t="shared" si="5"/>
        <v>736270.22439921077</v>
      </c>
      <c r="Q18" s="246">
        <f t="shared" si="5"/>
        <v>750995.62888719502</v>
      </c>
      <c r="R18" s="1779">
        <f t="shared" si="5"/>
        <v>766015.5414649389</v>
      </c>
      <c r="S18" s="1779">
        <f t="shared" si="5"/>
        <v>781335.8522942377</v>
      </c>
      <c r="T18" s="1779">
        <f t="shared" si="5"/>
        <v>796962.56934012251</v>
      </c>
      <c r="U18" s="246">
        <f t="shared" si="3"/>
        <v>860719.57488733239</v>
      </c>
      <c r="V18" s="246">
        <f t="shared" si="3"/>
        <v>929577.14087831904</v>
      </c>
      <c r="W18" s="246">
        <f t="shared" si="3"/>
        <v>1003943.3121485846</v>
      </c>
      <c r="X18" s="1741">
        <f t="shared" si="3"/>
        <v>1084258.7771204715</v>
      </c>
      <c r="Y18" t="str">
        <f t="shared" si="4"/>
        <v>PE014 Benjamin Rego Jr._1</v>
      </c>
    </row>
    <row r="19" spans="1:25">
      <c r="A19" s="513" t="s">
        <v>413</v>
      </c>
      <c r="B19" s="513" t="s">
        <v>414</v>
      </c>
      <c r="C19" s="514">
        <v>500000</v>
      </c>
      <c r="D19" s="496">
        <v>0.08</v>
      </c>
      <c r="E19" s="496">
        <v>0.1</v>
      </c>
      <c r="F19" s="516">
        <v>44707</v>
      </c>
      <c r="G19" s="518">
        <f>+C19/lgh_inputs!$D$10</f>
        <v>20000</v>
      </c>
      <c r="H19" s="516"/>
      <c r="I19" s="232">
        <f t="shared" si="0"/>
        <v>0</v>
      </c>
      <c r="J19" s="246">
        <f t="shared" si="1"/>
        <v>523629.68323741935</v>
      </c>
      <c r="K19" s="246">
        <f t="shared" si="1"/>
        <v>565520.05789641291</v>
      </c>
      <c r="L19" s="246">
        <f t="shared" si="1"/>
        <v>610761.66252812603</v>
      </c>
      <c r="M19" s="246">
        <f t="shared" si="5"/>
        <v>622976.8957786886</v>
      </c>
      <c r="N19" s="1779">
        <f t="shared" si="5"/>
        <v>635436.43369426241</v>
      </c>
      <c r="O19" s="1779">
        <f t="shared" si="5"/>
        <v>648145.16236814763</v>
      </c>
      <c r="P19" s="1779">
        <f t="shared" si="5"/>
        <v>661108.06561551057</v>
      </c>
      <c r="Q19" s="246">
        <f t="shared" si="5"/>
        <v>674330.22692782083</v>
      </c>
      <c r="R19" s="1779">
        <f t="shared" si="5"/>
        <v>687816.83146637725</v>
      </c>
      <c r="S19" s="1779">
        <f t="shared" si="5"/>
        <v>701573.16809570475</v>
      </c>
      <c r="T19" s="1779">
        <f t="shared" si="5"/>
        <v>715604.6314576189</v>
      </c>
      <c r="U19" s="246">
        <f t="shared" si="3"/>
        <v>772853.00197422842</v>
      </c>
      <c r="V19" s="246">
        <f t="shared" si="3"/>
        <v>834681.24213216675</v>
      </c>
      <c r="W19" s="246">
        <f t="shared" si="3"/>
        <v>901455.74150274019</v>
      </c>
      <c r="X19" s="1741">
        <f t="shared" si="3"/>
        <v>973572.20082295942</v>
      </c>
      <c r="Y19" t="str">
        <f t="shared" si="4"/>
        <v>PE015 LBCW Holdings, LP</v>
      </c>
    </row>
    <row r="20" spans="1:25">
      <c r="A20" s="513" t="s">
        <v>415</v>
      </c>
      <c r="B20" s="513" t="s">
        <v>414</v>
      </c>
      <c r="C20" s="514">
        <v>500000</v>
      </c>
      <c r="D20" s="496">
        <v>0.08</v>
      </c>
      <c r="E20" s="496">
        <v>0.1</v>
      </c>
      <c r="F20" s="516">
        <v>44774</v>
      </c>
      <c r="G20" s="518">
        <f>+C20/lgh_inputs!$D$10</f>
        <v>20000</v>
      </c>
      <c r="H20" s="516"/>
      <c r="I20" s="232">
        <f t="shared" si="0"/>
        <v>0</v>
      </c>
      <c r="J20" s="246">
        <f t="shared" si="1"/>
        <v>516284.32330274855</v>
      </c>
      <c r="K20" s="246">
        <f t="shared" si="1"/>
        <v>557587.06916696846</v>
      </c>
      <c r="L20" s="246">
        <f t="shared" si="1"/>
        <v>602194.03470032592</v>
      </c>
      <c r="M20" s="246">
        <f t="shared" si="5"/>
        <v>614237.91539433249</v>
      </c>
      <c r="N20" s="1779">
        <f t="shared" si="5"/>
        <v>626522.67370221915</v>
      </c>
      <c r="O20" s="1779">
        <f t="shared" si="5"/>
        <v>639053.1271762636</v>
      </c>
      <c r="P20" s="1779">
        <f t="shared" si="5"/>
        <v>651834.18971978885</v>
      </c>
      <c r="Q20" s="246">
        <f t="shared" si="5"/>
        <v>664870.87351418461</v>
      </c>
      <c r="R20" s="1779">
        <f t="shared" si="5"/>
        <v>678168.2909844683</v>
      </c>
      <c r="S20" s="1779">
        <f t="shared" si="5"/>
        <v>691731.65680415765</v>
      </c>
      <c r="T20" s="1779">
        <f t="shared" si="5"/>
        <v>705566.28994024079</v>
      </c>
      <c r="U20" s="246">
        <f t="shared" si="3"/>
        <v>762011.59313546016</v>
      </c>
      <c r="V20" s="246">
        <f t="shared" si="3"/>
        <v>822972.52058629703</v>
      </c>
      <c r="W20" s="246">
        <f t="shared" si="3"/>
        <v>888810.32223320089</v>
      </c>
      <c r="X20" s="1741">
        <f t="shared" si="3"/>
        <v>959915.14801185706</v>
      </c>
      <c r="Y20" t="str">
        <f t="shared" si="4"/>
        <v>PE016 LBCW Holdings, LP</v>
      </c>
    </row>
    <row r="21" spans="1:25">
      <c r="A21" s="513" t="s">
        <v>416</v>
      </c>
      <c r="B21" s="513" t="s">
        <v>417</v>
      </c>
      <c r="C21" s="514">
        <v>1000000</v>
      </c>
      <c r="D21" s="496">
        <v>0.08</v>
      </c>
      <c r="E21" s="496">
        <v>0.1</v>
      </c>
      <c r="F21" s="516">
        <v>44875</v>
      </c>
      <c r="G21" s="518">
        <f>+C21/lgh_inputs!$D$10</f>
        <v>40000</v>
      </c>
      <c r="H21" s="516"/>
      <c r="I21" s="232">
        <f t="shared" si="0"/>
        <v>0</v>
      </c>
      <c r="J21" s="246">
        <f t="shared" si="1"/>
        <v>1010811.4868069866</v>
      </c>
      <c r="K21" s="246">
        <f t="shared" si="1"/>
        <v>1091676.4057515457</v>
      </c>
      <c r="L21" s="246">
        <f t="shared" si="1"/>
        <v>1179010.5182116695</v>
      </c>
      <c r="M21" s="246">
        <f t="shared" si="5"/>
        <v>1202590.728575903</v>
      </c>
      <c r="N21" s="1779">
        <f t="shared" si="5"/>
        <v>1226642.543147421</v>
      </c>
      <c r="O21" s="1779">
        <f t="shared" si="5"/>
        <v>1251175.3940103694</v>
      </c>
      <c r="P21" s="1779">
        <f t="shared" si="5"/>
        <v>1276198.9018905768</v>
      </c>
      <c r="Q21" s="246">
        <f t="shared" si="5"/>
        <v>1301722.8799283884</v>
      </c>
      <c r="R21" s="1779">
        <f t="shared" si="5"/>
        <v>1327757.3375269561</v>
      </c>
      <c r="S21" s="1779">
        <f t="shared" si="5"/>
        <v>1354312.4842774952</v>
      </c>
      <c r="T21" s="1779">
        <f t="shared" si="5"/>
        <v>1381398.7339630451</v>
      </c>
      <c r="U21" s="246">
        <f t="shared" si="3"/>
        <v>1491910.6326800887</v>
      </c>
      <c r="V21" s="246">
        <f t="shared" si="3"/>
        <v>1611263.4832944958</v>
      </c>
      <c r="W21" s="246">
        <f t="shared" si="3"/>
        <v>1740164.5619580557</v>
      </c>
      <c r="X21" s="1741">
        <f t="shared" si="3"/>
        <v>1879377.7269147004</v>
      </c>
      <c r="Y21" t="str">
        <f t="shared" si="4"/>
        <v>PE017 Arbor Green II LP</v>
      </c>
    </row>
    <row r="22" spans="1:25">
      <c r="A22" s="513" t="s">
        <v>418</v>
      </c>
      <c r="B22" s="513" t="s">
        <v>419</v>
      </c>
      <c r="C22" s="514">
        <v>325000</v>
      </c>
      <c r="D22" s="496">
        <v>0.08</v>
      </c>
      <c r="E22" s="496">
        <v>0.1</v>
      </c>
      <c r="F22" s="516">
        <v>44882</v>
      </c>
      <c r="G22" s="518">
        <f>+C22/lgh_inputs!$D$10</f>
        <v>13000</v>
      </c>
      <c r="H22" s="516"/>
      <c r="I22" s="232">
        <f t="shared" si="0"/>
        <v>0</v>
      </c>
      <c r="J22" s="246">
        <f t="shared" si="1"/>
        <v>328029.21603656735</v>
      </c>
      <c r="K22" s="246">
        <f t="shared" si="1"/>
        <v>354271.55331949278</v>
      </c>
      <c r="L22" s="246">
        <f t="shared" si="1"/>
        <v>382613.27758505224</v>
      </c>
      <c r="M22" s="246">
        <f t="shared" si="5"/>
        <v>390265.54313675332</v>
      </c>
      <c r="N22" s="1779">
        <f t="shared" si="5"/>
        <v>398070.8539994884</v>
      </c>
      <c r="O22" s="1779">
        <f t="shared" si="5"/>
        <v>406032.2710794782</v>
      </c>
      <c r="P22" s="1779">
        <f t="shared" si="5"/>
        <v>414152.91650106775</v>
      </c>
      <c r="Q22" s="246">
        <f t="shared" si="5"/>
        <v>422435.97483108914</v>
      </c>
      <c r="R22" s="1779">
        <f t="shared" si="5"/>
        <v>430884.69432771095</v>
      </c>
      <c r="S22" s="1779">
        <f t="shared" si="5"/>
        <v>439502.38821426517</v>
      </c>
      <c r="T22" s="1779">
        <f t="shared" si="5"/>
        <v>448292.43597855046</v>
      </c>
      <c r="U22" s="246">
        <f t="shared" si="3"/>
        <v>484155.83085683454</v>
      </c>
      <c r="V22" s="246">
        <f t="shared" si="3"/>
        <v>522888.29732538131</v>
      </c>
      <c r="W22" s="246">
        <f t="shared" si="3"/>
        <v>564719.36111141182</v>
      </c>
      <c r="X22" s="1741">
        <f t="shared" si="3"/>
        <v>609896.91000032483</v>
      </c>
      <c r="Y22" t="str">
        <f t="shared" si="4"/>
        <v>PE018 Todd &amp; Stephanie Routh</v>
      </c>
    </row>
    <row r="23" spans="1:25">
      <c r="A23" s="513" t="s">
        <v>420</v>
      </c>
      <c r="B23" s="513" t="s">
        <v>419</v>
      </c>
      <c r="C23" s="514">
        <v>100000</v>
      </c>
      <c r="D23" s="496">
        <v>0.08</v>
      </c>
      <c r="E23" s="496">
        <v>0.1</v>
      </c>
      <c r="F23" s="516">
        <v>44882</v>
      </c>
      <c r="G23" s="518">
        <f>+C23/lgh_inputs!$D$10</f>
        <v>4000</v>
      </c>
      <c r="H23" s="516"/>
      <c r="I23" s="232">
        <f t="shared" si="0"/>
        <v>0</v>
      </c>
      <c r="J23" s="246">
        <f t="shared" si="1"/>
        <v>100932.06647278996</v>
      </c>
      <c r="K23" s="246">
        <f t="shared" si="1"/>
        <v>109006.63179061316</v>
      </c>
      <c r="L23" s="246">
        <f t="shared" si="1"/>
        <v>117727.16233386222</v>
      </c>
      <c r="M23" s="246">
        <f t="shared" si="5"/>
        <v>120081.70558053946</v>
      </c>
      <c r="N23" s="1779">
        <f t="shared" si="5"/>
        <v>122483.33969215026</v>
      </c>
      <c r="O23" s="1779">
        <f t="shared" si="5"/>
        <v>124933.00648599326</v>
      </c>
      <c r="P23" s="1779">
        <f t="shared" si="5"/>
        <v>127431.66661571313</v>
      </c>
      <c r="Q23" s="246">
        <f t="shared" si="5"/>
        <v>129980.29994802739</v>
      </c>
      <c r="R23" s="1779">
        <f t="shared" si="5"/>
        <v>132579.90594698794</v>
      </c>
      <c r="S23" s="1779">
        <f t="shared" si="5"/>
        <v>135231.5040659277</v>
      </c>
      <c r="T23" s="1779">
        <f t="shared" si="5"/>
        <v>137936.13414724625</v>
      </c>
      <c r="U23" s="246">
        <f t="shared" si="3"/>
        <v>148971.02487902596</v>
      </c>
      <c r="V23" s="246">
        <f t="shared" si="3"/>
        <v>160888.70686934804</v>
      </c>
      <c r="W23" s="246">
        <f t="shared" si="3"/>
        <v>173759.8034188959</v>
      </c>
      <c r="X23" s="1741">
        <f t="shared" si="3"/>
        <v>187660.58769240757</v>
      </c>
      <c r="Y23" t="str">
        <f t="shared" si="4"/>
        <v>PE019 Todd &amp; Stephanie Routh</v>
      </c>
    </row>
    <row r="24" spans="1:25">
      <c r="A24" s="513" t="s">
        <v>421</v>
      </c>
      <c r="B24" s="513" t="s">
        <v>419</v>
      </c>
      <c r="C24" s="514">
        <v>575000</v>
      </c>
      <c r="D24" s="496">
        <v>0.08</v>
      </c>
      <c r="E24" s="496">
        <v>0.1</v>
      </c>
      <c r="F24" s="516">
        <v>44904</v>
      </c>
      <c r="G24" s="518">
        <f>+C24/lgh_inputs!$D$10</f>
        <v>23000</v>
      </c>
      <c r="H24" s="516"/>
      <c r="I24" s="232">
        <f t="shared" si="0"/>
        <v>0</v>
      </c>
      <c r="J24" s="246">
        <f t="shared" si="1"/>
        <v>577673.4759149513</v>
      </c>
      <c r="K24" s="246">
        <f t="shared" si="1"/>
        <v>623887.35398814746</v>
      </c>
      <c r="L24" s="246">
        <f t="shared" si="1"/>
        <v>673798.34230719926</v>
      </c>
      <c r="M24" s="246">
        <f t="shared" si="5"/>
        <v>687274.3091533432</v>
      </c>
      <c r="N24" s="1779">
        <f t="shared" si="5"/>
        <v>701019.79533641005</v>
      </c>
      <c r="O24" s="1779">
        <f t="shared" si="5"/>
        <v>715040.19124313828</v>
      </c>
      <c r="P24" s="1779">
        <f t="shared" si="5"/>
        <v>729340.9950680011</v>
      </c>
      <c r="Q24" s="246">
        <f t="shared" si="5"/>
        <v>743927.81496936118</v>
      </c>
      <c r="R24" s="1779">
        <f t="shared" si="5"/>
        <v>758806.37126874842</v>
      </c>
      <c r="S24" s="1779">
        <f t="shared" si="5"/>
        <v>773982.49869412335</v>
      </c>
      <c r="T24" s="1779">
        <f t="shared" si="5"/>
        <v>789462.14866800583</v>
      </c>
      <c r="U24" s="246">
        <f t="shared" si="3"/>
        <v>852619.1205614463</v>
      </c>
      <c r="V24" s="246">
        <f t="shared" si="3"/>
        <v>920828.65020636201</v>
      </c>
      <c r="W24" s="246">
        <f t="shared" si="3"/>
        <v>994494.942222871</v>
      </c>
      <c r="X24" s="1741">
        <f t="shared" si="3"/>
        <v>1074054.5376007007</v>
      </c>
      <c r="Y24" t="str">
        <f t="shared" si="4"/>
        <v>PE020 Todd &amp; Stephanie Routh</v>
      </c>
    </row>
    <row r="25" spans="1:25">
      <c r="A25" s="513" t="s">
        <v>422</v>
      </c>
      <c r="B25" s="513" t="s">
        <v>419</v>
      </c>
      <c r="C25" s="514">
        <v>1000000</v>
      </c>
      <c r="D25" s="496">
        <v>0.08</v>
      </c>
      <c r="E25" s="496">
        <v>0.1</v>
      </c>
      <c r="F25" s="516">
        <v>44768</v>
      </c>
      <c r="G25" s="518">
        <f>+C25/lgh_inputs!$D$10</f>
        <v>40000</v>
      </c>
      <c r="H25" s="516"/>
      <c r="I25" s="232">
        <f t="shared" si="0"/>
        <v>0</v>
      </c>
      <c r="J25" s="246">
        <f t="shared" ref="J25:L44" si="6">IF(AND(YEAR($F25)=YEAR(J$3),ROUNDUP(MONTH($F25)/3,0)&lt;=J$4),$C25*(1+$D25)^((J$3-$F25)/365),IF(ROUND(I25,0)=0,0,I25*(1+$D25)))</f>
        <v>1033875.7892961168</v>
      </c>
      <c r="K25" s="246">
        <f t="shared" si="6"/>
        <v>1116585.8524398061</v>
      </c>
      <c r="L25" s="246">
        <f t="shared" si="6"/>
        <v>1205912.7206349906</v>
      </c>
      <c r="M25" s="246">
        <f t="shared" ref="M25:T34" si="7">IF(AND(YEAR($F25)=YEAR(M$3),ROUNDUP(MONTH($F25)/3,0)=M$4),$C25*(1+$D25/4)^((M$3-$F25)/91),IF(ROUND(L25,0)=0,0,L25*(1+$D25/4)))</f>
        <v>1230030.9750476903</v>
      </c>
      <c r="N25" s="1779">
        <f t="shared" si="7"/>
        <v>1254631.5945486443</v>
      </c>
      <c r="O25" s="1779">
        <f t="shared" si="7"/>
        <v>1279724.2264396171</v>
      </c>
      <c r="P25" s="1779">
        <f t="shared" si="7"/>
        <v>1305318.7109684094</v>
      </c>
      <c r="Q25" s="246">
        <f t="shared" si="7"/>
        <v>1331425.0851877776</v>
      </c>
      <c r="R25" s="1779">
        <f t="shared" si="7"/>
        <v>1358053.5868915331</v>
      </c>
      <c r="S25" s="1779">
        <f t="shared" si="7"/>
        <v>1385214.6586293639</v>
      </c>
      <c r="T25" s="1779">
        <f t="shared" si="7"/>
        <v>1412918.9518019513</v>
      </c>
      <c r="U25" s="246">
        <f t="shared" ref="U25:X44" si="8">IF(AND(YEAR($F25)=YEAR(U$3),ROUNDUP(MONTH($F25)/3,0)&lt;=U$4),$C25*(1+$D25)^((U$3-$F25)/365),IF(ROUND(T25,0)=0,0,T25*(1+$D25)))</f>
        <v>1525952.4679461075</v>
      </c>
      <c r="V25" s="246">
        <f t="shared" si="8"/>
        <v>1648028.6653817962</v>
      </c>
      <c r="W25" s="246">
        <f t="shared" si="8"/>
        <v>1779870.95861234</v>
      </c>
      <c r="X25" s="1741">
        <f t="shared" si="8"/>
        <v>1922260.6353013273</v>
      </c>
      <c r="Y25" t="str">
        <f t="shared" si="4"/>
        <v>PE021 Todd &amp; Stephanie Routh</v>
      </c>
    </row>
    <row r="26" spans="1:25">
      <c r="A26" s="513" t="s">
        <v>423</v>
      </c>
      <c r="B26" s="513" t="s">
        <v>424</v>
      </c>
      <c r="C26" s="514">
        <v>1000000</v>
      </c>
      <c r="D26" s="496">
        <v>0.08</v>
      </c>
      <c r="E26" s="496">
        <v>0.1</v>
      </c>
      <c r="F26" s="516">
        <v>44904</v>
      </c>
      <c r="G26" s="518">
        <f>+C26/lgh_inputs!$D$10</f>
        <v>40000</v>
      </c>
      <c r="H26" s="516"/>
      <c r="I26" s="232">
        <f t="shared" si="0"/>
        <v>0</v>
      </c>
      <c r="J26" s="246">
        <f t="shared" si="6"/>
        <v>1004649.5233303501</v>
      </c>
      <c r="K26" s="246">
        <f t="shared" si="6"/>
        <v>1085021.4851967781</v>
      </c>
      <c r="L26" s="246">
        <f t="shared" si="6"/>
        <v>1171823.2040125204</v>
      </c>
      <c r="M26" s="246">
        <f t="shared" si="7"/>
        <v>1195259.6680927707</v>
      </c>
      <c r="N26" s="1779">
        <f t="shared" si="7"/>
        <v>1219164.8614546261</v>
      </c>
      <c r="O26" s="1779">
        <f t="shared" si="7"/>
        <v>1243548.1586837186</v>
      </c>
      <c r="P26" s="1779">
        <f t="shared" si="7"/>
        <v>1268419.1218573931</v>
      </c>
      <c r="Q26" s="246">
        <f t="shared" si="7"/>
        <v>1293787.504294541</v>
      </c>
      <c r="R26" s="1779">
        <f t="shared" si="7"/>
        <v>1319663.2543804317</v>
      </c>
      <c r="S26" s="1779">
        <f t="shared" si="7"/>
        <v>1346056.5194680404</v>
      </c>
      <c r="T26" s="1779">
        <f t="shared" si="7"/>
        <v>1372977.6498574014</v>
      </c>
      <c r="U26" s="246">
        <f t="shared" si="8"/>
        <v>1482815.8618459937</v>
      </c>
      <c r="V26" s="246">
        <f t="shared" si="8"/>
        <v>1601441.1307936732</v>
      </c>
      <c r="W26" s="246">
        <f t="shared" si="8"/>
        <v>1729556.4212571671</v>
      </c>
      <c r="X26" s="1741">
        <f t="shared" si="8"/>
        <v>1867920.9349577406</v>
      </c>
      <c r="Y26" t="str">
        <f t="shared" si="4"/>
        <v>PE022 Huston Street</v>
      </c>
    </row>
    <row r="27" spans="1:25">
      <c r="A27" s="513" t="s">
        <v>425</v>
      </c>
      <c r="B27" s="513" t="s">
        <v>426</v>
      </c>
      <c r="C27" s="514">
        <v>500000</v>
      </c>
      <c r="D27" s="496">
        <v>0.08</v>
      </c>
      <c r="E27" s="515">
        <v>5.2999999999999999E-2</v>
      </c>
      <c r="F27" s="516">
        <v>44992</v>
      </c>
      <c r="G27" s="518">
        <f>+C27/lgh_inputs!$D$10</f>
        <v>20000</v>
      </c>
      <c r="H27" s="516"/>
      <c r="I27" s="232">
        <f t="shared" si="0"/>
        <v>0</v>
      </c>
      <c r="J27" s="246">
        <f t="shared" si="6"/>
        <v>0</v>
      </c>
      <c r="K27" s="246">
        <f t="shared" si="6"/>
        <v>532537.27572950884</v>
      </c>
      <c r="L27" s="246">
        <f t="shared" si="6"/>
        <v>575140.25778786954</v>
      </c>
      <c r="M27" s="246">
        <f t="shared" si="7"/>
        <v>586643.06294362689</v>
      </c>
      <c r="N27" s="1779">
        <f t="shared" si="7"/>
        <v>598375.92420249945</v>
      </c>
      <c r="O27" s="1779">
        <f t="shared" si="7"/>
        <v>610343.44268654939</v>
      </c>
      <c r="P27" s="1779">
        <f t="shared" si="7"/>
        <v>622550.31154028035</v>
      </c>
      <c r="Q27" s="246">
        <f t="shared" si="7"/>
        <v>635001.317771086</v>
      </c>
      <c r="R27" s="1779">
        <f t="shared" si="7"/>
        <v>647701.34412650776</v>
      </c>
      <c r="S27" s="1779">
        <f t="shared" si="7"/>
        <v>660655.37100903795</v>
      </c>
      <c r="T27" s="1779">
        <f t="shared" si="7"/>
        <v>673868.47842921875</v>
      </c>
      <c r="U27" s="246">
        <f t="shared" si="8"/>
        <v>727777.95670355635</v>
      </c>
      <c r="V27" s="246">
        <f t="shared" si="8"/>
        <v>786000.19323984091</v>
      </c>
      <c r="W27" s="246">
        <f t="shared" si="8"/>
        <v>848880.20869902824</v>
      </c>
      <c r="X27" s="1741">
        <f t="shared" si="8"/>
        <v>916790.6253949505</v>
      </c>
      <c r="Y27" t="str">
        <f t="shared" si="4"/>
        <v>PE023 Bruner Interests LLC</v>
      </c>
    </row>
    <row r="28" spans="1:25">
      <c r="A28" s="513" t="s">
        <v>427</v>
      </c>
      <c r="B28" s="513" t="s">
        <v>426</v>
      </c>
      <c r="C28" s="514">
        <v>125000</v>
      </c>
      <c r="D28" s="496">
        <v>0.08</v>
      </c>
      <c r="E28" s="515">
        <v>5.2999999999999999E-2</v>
      </c>
      <c r="F28" s="516">
        <v>45427</v>
      </c>
      <c r="G28" s="518">
        <f>+C28/lgh_inputs!$D$10</f>
        <v>5000</v>
      </c>
      <c r="H28" s="516"/>
      <c r="I28" s="232">
        <f t="shared" si="0"/>
        <v>0</v>
      </c>
      <c r="J28" s="246">
        <f t="shared" si="6"/>
        <v>0</v>
      </c>
      <c r="K28" s="246">
        <f t="shared" si="6"/>
        <v>0</v>
      </c>
      <c r="L28" s="246">
        <f t="shared" si="6"/>
        <v>131211.39643725421</v>
      </c>
      <c r="M28" s="246">
        <f t="shared" si="7"/>
        <v>133835.62436599931</v>
      </c>
      <c r="N28" s="1779">
        <f t="shared" si="7"/>
        <v>136512.33685331928</v>
      </c>
      <c r="O28" s="1779">
        <f t="shared" si="7"/>
        <v>139242.58359038568</v>
      </c>
      <c r="P28" s="1779">
        <f t="shared" si="7"/>
        <v>142027.43526219341</v>
      </c>
      <c r="Q28" s="246">
        <f t="shared" si="7"/>
        <v>144867.98396743729</v>
      </c>
      <c r="R28" s="1779">
        <f t="shared" si="7"/>
        <v>147765.34364678603</v>
      </c>
      <c r="S28" s="1779">
        <f t="shared" si="7"/>
        <v>150720.65051972176</v>
      </c>
      <c r="T28" s="1779">
        <f t="shared" si="7"/>
        <v>153735.0635301162</v>
      </c>
      <c r="U28" s="246">
        <f t="shared" si="8"/>
        <v>166033.86861252549</v>
      </c>
      <c r="V28" s="246">
        <f t="shared" si="8"/>
        <v>179316.57810152753</v>
      </c>
      <c r="W28" s="246">
        <f t="shared" si="8"/>
        <v>193661.90434964973</v>
      </c>
      <c r="X28" s="1741">
        <f t="shared" si="8"/>
        <v>209154.85669762173</v>
      </c>
      <c r="Y28" t="str">
        <f t="shared" si="4"/>
        <v>PE024 Bruner Interests LLC</v>
      </c>
    </row>
    <row r="29" spans="1:25">
      <c r="A29" s="513" t="s">
        <v>428</v>
      </c>
      <c r="B29" s="513" t="s">
        <v>429</v>
      </c>
      <c r="C29" s="514">
        <v>250000</v>
      </c>
      <c r="D29" s="496">
        <v>0.08</v>
      </c>
      <c r="E29" s="515">
        <v>5.2999999999999999E-2</v>
      </c>
      <c r="F29" s="516">
        <v>45536</v>
      </c>
      <c r="G29" s="518">
        <f>+C29/lgh_inputs!$D$10</f>
        <v>10000</v>
      </c>
      <c r="H29" s="516"/>
      <c r="I29" s="232">
        <f t="shared" si="0"/>
        <v>0</v>
      </c>
      <c r="J29" s="246">
        <f t="shared" si="6"/>
        <v>0</v>
      </c>
      <c r="K29" s="246">
        <f t="shared" si="6"/>
        <v>0</v>
      </c>
      <c r="L29" s="246">
        <f t="shared" si="6"/>
        <v>256460.33932202013</v>
      </c>
      <c r="M29" s="246">
        <f t="shared" si="7"/>
        <v>261589.54610846052</v>
      </c>
      <c r="N29" s="1779">
        <f t="shared" si="7"/>
        <v>266821.33703062974</v>
      </c>
      <c r="O29" s="1779">
        <f t="shared" si="7"/>
        <v>272157.76377124235</v>
      </c>
      <c r="P29" s="1779">
        <f t="shared" si="7"/>
        <v>277600.91904666717</v>
      </c>
      <c r="Q29" s="246">
        <f t="shared" si="7"/>
        <v>283152.9374276005</v>
      </c>
      <c r="R29" s="1779">
        <f t="shared" si="7"/>
        <v>288815.99617615249</v>
      </c>
      <c r="S29" s="1779">
        <f t="shared" si="7"/>
        <v>294592.31609967555</v>
      </c>
      <c r="T29" s="1779">
        <f t="shared" si="7"/>
        <v>300484.16242166905</v>
      </c>
      <c r="U29" s="246">
        <f t="shared" si="8"/>
        <v>324522.8954154026</v>
      </c>
      <c r="V29" s="246">
        <f t="shared" si="8"/>
        <v>350484.72704863484</v>
      </c>
      <c r="W29" s="246">
        <f t="shared" si="8"/>
        <v>378523.50521252566</v>
      </c>
      <c r="X29" s="1741">
        <f t="shared" si="8"/>
        <v>408805.38562952774</v>
      </c>
      <c r="Y29" t="str">
        <f t="shared" si="4"/>
        <v>PE025 Sandollar Holdings Limited</v>
      </c>
    </row>
    <row r="30" spans="1:25">
      <c r="A30" s="513" t="s">
        <v>430</v>
      </c>
      <c r="B30" s="513" t="s">
        <v>431</v>
      </c>
      <c r="C30" s="514">
        <v>250000</v>
      </c>
      <c r="D30" s="496">
        <v>0.08</v>
      </c>
      <c r="E30" s="515">
        <v>5.2999999999999999E-2</v>
      </c>
      <c r="F30" s="516">
        <v>45536</v>
      </c>
      <c r="G30" s="518">
        <f>+C30/lgh_inputs!$D$10</f>
        <v>10000</v>
      </c>
      <c r="H30" s="516"/>
      <c r="I30" s="232">
        <f t="shared" si="0"/>
        <v>0</v>
      </c>
      <c r="J30" s="246">
        <f t="shared" si="6"/>
        <v>0</v>
      </c>
      <c r="K30" s="246">
        <f t="shared" si="6"/>
        <v>0</v>
      </c>
      <c r="L30" s="246">
        <f t="shared" si="6"/>
        <v>256460.33932202013</v>
      </c>
      <c r="M30" s="246">
        <f t="shared" si="7"/>
        <v>261589.54610846052</v>
      </c>
      <c r="N30" s="1779">
        <f t="shared" si="7"/>
        <v>266821.33703062974</v>
      </c>
      <c r="O30" s="1779">
        <f t="shared" si="7"/>
        <v>272157.76377124235</v>
      </c>
      <c r="P30" s="1779">
        <f t="shared" si="7"/>
        <v>277600.91904666717</v>
      </c>
      <c r="Q30" s="246">
        <f t="shared" si="7"/>
        <v>283152.9374276005</v>
      </c>
      <c r="R30" s="1779">
        <f t="shared" si="7"/>
        <v>288815.99617615249</v>
      </c>
      <c r="S30" s="1779">
        <f t="shared" si="7"/>
        <v>294592.31609967555</v>
      </c>
      <c r="T30" s="1779">
        <f t="shared" si="7"/>
        <v>300484.16242166905</v>
      </c>
      <c r="U30" s="246">
        <f t="shared" si="8"/>
        <v>324522.8954154026</v>
      </c>
      <c r="V30" s="246">
        <f t="shared" si="8"/>
        <v>350484.72704863484</v>
      </c>
      <c r="W30" s="246">
        <f t="shared" si="8"/>
        <v>378523.50521252566</v>
      </c>
      <c r="X30" s="1741">
        <f t="shared" si="8"/>
        <v>408805.38562952774</v>
      </c>
      <c r="Y30" t="str">
        <f t="shared" si="4"/>
        <v>PE026 James Neuhauser (Jim)</v>
      </c>
    </row>
    <row r="31" spans="1:25">
      <c r="A31" s="513" t="s">
        <v>432</v>
      </c>
      <c r="B31" s="513" t="s">
        <v>433</v>
      </c>
      <c r="C31" s="514"/>
      <c r="D31" s="496"/>
      <c r="E31" s="515">
        <v>2.5</v>
      </c>
      <c r="F31" s="516">
        <v>45292</v>
      </c>
      <c r="G31" s="518">
        <v>200000</v>
      </c>
      <c r="H31" s="519">
        <v>200000</v>
      </c>
      <c r="I31" s="232">
        <f t="shared" si="0"/>
        <v>0</v>
      </c>
      <c r="J31" s="246">
        <f t="shared" si="6"/>
        <v>0</v>
      </c>
      <c r="K31" s="246">
        <f t="shared" si="6"/>
        <v>0</v>
      </c>
      <c r="L31" s="246">
        <f t="shared" si="6"/>
        <v>0</v>
      </c>
      <c r="M31" s="246">
        <f t="shared" si="7"/>
        <v>0</v>
      </c>
      <c r="N31" s="1779">
        <f t="shared" si="7"/>
        <v>0</v>
      </c>
      <c r="O31" s="1779">
        <f t="shared" si="7"/>
        <v>0</v>
      </c>
      <c r="P31" s="1779">
        <f t="shared" si="7"/>
        <v>0</v>
      </c>
      <c r="Q31" s="246">
        <f t="shared" si="7"/>
        <v>0</v>
      </c>
      <c r="R31" s="1779">
        <f t="shared" si="7"/>
        <v>0</v>
      </c>
      <c r="S31" s="1779">
        <f t="shared" si="7"/>
        <v>0</v>
      </c>
      <c r="T31" s="1779">
        <f t="shared" si="7"/>
        <v>0</v>
      </c>
      <c r="U31" s="246">
        <f t="shared" si="8"/>
        <v>0</v>
      </c>
      <c r="V31" s="246">
        <f t="shared" si="8"/>
        <v>0</v>
      </c>
      <c r="W31" s="246">
        <f t="shared" si="8"/>
        <v>0</v>
      </c>
      <c r="X31" s="1741">
        <f t="shared" si="8"/>
        <v>0</v>
      </c>
      <c r="Y31" t="str">
        <f t="shared" si="4"/>
        <v>PE027 PFNGT LLC_side letter part % adj.</v>
      </c>
    </row>
    <row r="32" spans="1:25">
      <c r="A32" s="513" t="s">
        <v>434</v>
      </c>
      <c r="B32" s="513" t="s">
        <v>403</v>
      </c>
      <c r="C32" s="514">
        <v>4000000</v>
      </c>
      <c r="D32" s="496">
        <v>0.08</v>
      </c>
      <c r="E32" s="515">
        <v>0.125</v>
      </c>
      <c r="F32" s="516">
        <v>45575</v>
      </c>
      <c r="G32" s="518">
        <v>160000</v>
      </c>
      <c r="H32" s="516"/>
      <c r="I32" s="232">
        <f t="shared" si="0"/>
        <v>0</v>
      </c>
      <c r="J32" s="246">
        <f t="shared" si="6"/>
        <v>0</v>
      </c>
      <c r="K32" s="246">
        <f t="shared" si="6"/>
        <v>0</v>
      </c>
      <c r="L32" s="246">
        <f t="shared" si="6"/>
        <v>4069760.8513846477</v>
      </c>
      <c r="M32" s="246"/>
      <c r="N32" s="1779">
        <f t="shared" ref="N32:T43" si="9">IF(AND(YEAR($F32)=YEAR(N$3),ROUNDUP(MONTH($F32)/3,0)=N$4),$C32*(1+$D32/4)^((N$3-$F32)/91),IF(ROUND(M32,0)=0,0,M32*(1+$D32/4)))</f>
        <v>0</v>
      </c>
      <c r="O32" s="1779">
        <f t="shared" si="9"/>
        <v>0</v>
      </c>
      <c r="P32" s="1779">
        <f t="shared" si="9"/>
        <v>0</v>
      </c>
      <c r="Q32" s="246">
        <f t="shared" si="9"/>
        <v>0</v>
      </c>
      <c r="R32" s="1779">
        <f t="shared" si="9"/>
        <v>0</v>
      </c>
      <c r="S32" s="1779">
        <f t="shared" si="9"/>
        <v>0</v>
      </c>
      <c r="T32" s="1779">
        <f t="shared" si="9"/>
        <v>0</v>
      </c>
      <c r="U32" s="246">
        <f t="shared" si="8"/>
        <v>0</v>
      </c>
      <c r="V32" s="246">
        <f t="shared" si="8"/>
        <v>0</v>
      </c>
      <c r="W32" s="246">
        <f t="shared" si="8"/>
        <v>0</v>
      </c>
      <c r="X32" s="1741">
        <f t="shared" si="8"/>
        <v>0</v>
      </c>
      <c r="Y32" t="str">
        <f t="shared" si="4"/>
        <v>PE028 La Pointe Investments LLC</v>
      </c>
    </row>
    <row r="33" spans="1:25">
      <c r="A33" s="513" t="s">
        <v>435</v>
      </c>
      <c r="B33" s="513" t="s">
        <v>403</v>
      </c>
      <c r="C33" s="514">
        <v>4000000</v>
      </c>
      <c r="D33" s="496">
        <v>0.08</v>
      </c>
      <c r="E33" s="515">
        <v>0.125</v>
      </c>
      <c r="F33" s="516">
        <v>45621</v>
      </c>
      <c r="G33" s="518">
        <v>160000</v>
      </c>
      <c r="H33" s="516"/>
      <c r="I33" s="232">
        <f t="shared" si="0"/>
        <v>0</v>
      </c>
      <c r="J33" s="246">
        <f t="shared" si="6"/>
        <v>0</v>
      </c>
      <c r="K33" s="246">
        <f t="shared" si="6"/>
        <v>0</v>
      </c>
      <c r="L33" s="246">
        <f t="shared" si="6"/>
        <v>4030478.2410346325</v>
      </c>
      <c r="M33" s="246"/>
      <c r="N33" s="1779">
        <f t="shared" si="9"/>
        <v>0</v>
      </c>
      <c r="O33" s="1779">
        <f t="shared" si="9"/>
        <v>0</v>
      </c>
      <c r="P33" s="1779">
        <f t="shared" si="9"/>
        <v>0</v>
      </c>
      <c r="Q33" s="246">
        <f t="shared" si="9"/>
        <v>0</v>
      </c>
      <c r="R33" s="1779">
        <f t="shared" si="9"/>
        <v>0</v>
      </c>
      <c r="S33" s="1779">
        <f t="shared" si="9"/>
        <v>0</v>
      </c>
      <c r="T33" s="1779">
        <f t="shared" si="9"/>
        <v>0</v>
      </c>
      <c r="U33" s="246">
        <f t="shared" si="8"/>
        <v>0</v>
      </c>
      <c r="V33" s="246">
        <f t="shared" si="8"/>
        <v>0</v>
      </c>
      <c r="W33" s="246">
        <f t="shared" si="8"/>
        <v>0</v>
      </c>
      <c r="X33" s="1741">
        <f t="shared" si="8"/>
        <v>0</v>
      </c>
      <c r="Y33" t="str">
        <f t="shared" si="4"/>
        <v>PE029 La Pointe Investments LLC</v>
      </c>
    </row>
    <row r="34" spans="1:25">
      <c r="A34" s="513" t="s">
        <v>436</v>
      </c>
      <c r="B34" s="513" t="s">
        <v>437</v>
      </c>
      <c r="C34" s="514">
        <v>6050000</v>
      </c>
      <c r="D34" s="496">
        <v>0.08</v>
      </c>
      <c r="E34" s="515">
        <v>5.2999999999999999E-2</v>
      </c>
      <c r="F34" s="516">
        <v>45746</v>
      </c>
      <c r="G34" s="518">
        <f>+C34/lgh_inputs!$D$10</f>
        <v>242000</v>
      </c>
      <c r="H34" s="516"/>
      <c r="I34" s="232">
        <f t="shared" si="0"/>
        <v>0</v>
      </c>
      <c r="J34" s="246">
        <f t="shared" si="6"/>
        <v>0</v>
      </c>
      <c r="K34" s="246">
        <f t="shared" si="6"/>
        <v>0</v>
      </c>
      <c r="L34" s="246">
        <f t="shared" si="6"/>
        <v>0</v>
      </c>
      <c r="M34" s="246">
        <f t="shared" ref="M34:M43" si="10">IF(AND(YEAR($F34)=YEAR(M$3),ROUNDUP(MONTH($F34)/3,0)=M$4),$C34*(1+$D34/4)^((M$3-$F34)/91),IF(ROUND(L34,0)=0,0,L34*(1+$D34/4)))</f>
        <v>6051316.6915565403</v>
      </c>
      <c r="N34" s="1779">
        <f t="shared" si="9"/>
        <v>6172343.0253876708</v>
      </c>
      <c r="O34" s="1779">
        <f t="shared" si="9"/>
        <v>6295789.8858954245</v>
      </c>
      <c r="P34" s="1779">
        <f t="shared" si="9"/>
        <v>6421705.6836133329</v>
      </c>
      <c r="Q34" s="246">
        <f t="shared" si="9"/>
        <v>6550139.7972855996</v>
      </c>
      <c r="R34" s="1779">
        <f t="shared" si="9"/>
        <v>6681142.593231312</v>
      </c>
      <c r="S34" s="1779">
        <f t="shared" si="9"/>
        <v>6814765.4450959386</v>
      </c>
      <c r="T34" s="1779">
        <f t="shared" si="9"/>
        <v>6951060.7539978577</v>
      </c>
      <c r="U34" s="246">
        <f t="shared" si="8"/>
        <v>7507145.6143176872</v>
      </c>
      <c r="V34" s="246">
        <f t="shared" si="8"/>
        <v>8107717.2634631023</v>
      </c>
      <c r="W34" s="246">
        <f t="shared" si="8"/>
        <v>8756334.6445401516</v>
      </c>
      <c r="X34" s="1741">
        <f t="shared" si="8"/>
        <v>9456841.4161033649</v>
      </c>
      <c r="Y34" t="str">
        <f t="shared" si="4"/>
        <v>PE030 King Partner Pref convert</v>
      </c>
    </row>
    <row r="35" spans="1:25">
      <c r="A35" s="513" t="s">
        <v>438</v>
      </c>
      <c r="B35" s="513" t="s">
        <v>439</v>
      </c>
      <c r="C35" s="514">
        <v>1200000</v>
      </c>
      <c r="D35" s="496">
        <v>0.08</v>
      </c>
      <c r="E35" s="515">
        <v>5.2999999999999999E-2</v>
      </c>
      <c r="F35" s="516">
        <v>46021</v>
      </c>
      <c r="G35" s="518">
        <f>+C35/lgh_inputs!$D$10</f>
        <v>48000</v>
      </c>
      <c r="H35" s="516"/>
      <c r="I35" s="232">
        <f t="shared" si="0"/>
        <v>0</v>
      </c>
      <c r="J35" s="246">
        <f t="shared" si="6"/>
        <v>0</v>
      </c>
      <c r="K35" s="246">
        <f t="shared" si="6"/>
        <v>0</v>
      </c>
      <c r="L35" s="246">
        <f t="shared" si="6"/>
        <v>0</v>
      </c>
      <c r="M35" s="246">
        <f t="shared" si="10"/>
        <v>0</v>
      </c>
      <c r="N35" s="1779">
        <f t="shared" si="9"/>
        <v>0</v>
      </c>
      <c r="O35" s="1779">
        <f t="shared" si="9"/>
        <v>0</v>
      </c>
      <c r="P35" s="1779">
        <f t="shared" si="9"/>
        <v>1200261.1619616279</v>
      </c>
      <c r="Q35" s="246">
        <f t="shared" si="9"/>
        <v>1224266.3852008604</v>
      </c>
      <c r="R35" s="1779">
        <f t="shared" si="9"/>
        <v>1248751.7129048777</v>
      </c>
      <c r="S35" s="1779">
        <f t="shared" si="9"/>
        <v>1273726.7471629754</v>
      </c>
      <c r="T35" s="1779">
        <f t="shared" si="9"/>
        <v>1299201.2821062349</v>
      </c>
      <c r="U35" s="246">
        <f t="shared" si="8"/>
        <v>1403137.3846747337</v>
      </c>
      <c r="V35" s="246">
        <f t="shared" si="8"/>
        <v>1515388.3754487126</v>
      </c>
      <c r="W35" s="246">
        <f t="shared" si="8"/>
        <v>1636619.4454846098</v>
      </c>
      <c r="X35" s="1741">
        <f t="shared" si="8"/>
        <v>1767549.0011233788</v>
      </c>
      <c r="Y35" t="str">
        <f t="shared" si="4"/>
        <v>PE031 Edwin2 convert</v>
      </c>
    </row>
    <row r="36" spans="1:25">
      <c r="A36" s="513" t="s">
        <v>440</v>
      </c>
      <c r="B36" s="513" t="s">
        <v>441</v>
      </c>
      <c r="C36" s="514">
        <v>1500000</v>
      </c>
      <c r="D36" s="496">
        <v>0.08</v>
      </c>
      <c r="E36" s="515">
        <v>5.2999999999999999E-2</v>
      </c>
      <c r="F36" s="516">
        <v>46068</v>
      </c>
      <c r="G36" s="518">
        <f>+C36/lgh_inputs!$D$10</f>
        <v>60000</v>
      </c>
      <c r="H36" s="516"/>
      <c r="I36" s="232">
        <f t="shared" si="0"/>
        <v>0</v>
      </c>
      <c r="J36" s="246">
        <f t="shared" si="6"/>
        <v>0</v>
      </c>
      <c r="K36" s="246">
        <f t="shared" si="6"/>
        <v>0</v>
      </c>
      <c r="L36" s="246">
        <f t="shared" si="6"/>
        <v>0</v>
      </c>
      <c r="M36" s="246">
        <f t="shared" si="10"/>
        <v>0</v>
      </c>
      <c r="N36" s="1779">
        <f t="shared" si="9"/>
        <v>0</v>
      </c>
      <c r="O36" s="1779">
        <f t="shared" si="9"/>
        <v>0</v>
      </c>
      <c r="P36" s="1779">
        <f t="shared" si="9"/>
        <v>0</v>
      </c>
      <c r="Q36" s="246">
        <f t="shared" si="9"/>
        <v>1514431.3240369894</v>
      </c>
      <c r="R36" s="1779">
        <f t="shared" si="9"/>
        <v>1544719.9505177292</v>
      </c>
      <c r="S36" s="1779">
        <f t="shared" si="9"/>
        <v>1575614.3495280838</v>
      </c>
      <c r="T36" s="1779">
        <f t="shared" si="9"/>
        <v>1607126.6365186456</v>
      </c>
      <c r="U36" s="246">
        <f t="shared" si="8"/>
        <v>1735696.7674401372</v>
      </c>
      <c r="V36" s="246">
        <f t="shared" si="8"/>
        <v>1874552.5088353483</v>
      </c>
      <c r="W36" s="246">
        <f t="shared" si="8"/>
        <v>2024516.7095421762</v>
      </c>
      <c r="X36" s="1741">
        <f t="shared" si="8"/>
        <v>2186478.0463055503</v>
      </c>
      <c r="Y36" t="str">
        <f t="shared" si="4"/>
        <v>PE032 Buddy</v>
      </c>
    </row>
    <row r="37" spans="1:25">
      <c r="A37" s="513" t="s">
        <v>442</v>
      </c>
      <c r="B37" s="513" t="s">
        <v>394</v>
      </c>
      <c r="C37" s="514">
        <f>-C38</f>
        <v>-1039509</v>
      </c>
      <c r="D37" s="496">
        <v>0.08</v>
      </c>
      <c r="E37" s="515">
        <v>0</v>
      </c>
      <c r="F37" s="516">
        <v>44365</v>
      </c>
      <c r="G37" s="517">
        <f>+C37/lgh_inputs!$D$10</f>
        <v>-41580.36</v>
      </c>
      <c r="H37" s="516"/>
      <c r="I37" s="232">
        <f t="shared" si="0"/>
        <v>-1083368.8709792802</v>
      </c>
      <c r="J37" s="246">
        <f t="shared" si="6"/>
        <v>-1170038.3806576226</v>
      </c>
      <c r="K37" s="246">
        <f t="shared" si="6"/>
        <v>-1263641.4511102324</v>
      </c>
      <c r="L37" s="246">
        <f t="shared" si="6"/>
        <v>-1364732.7671990511</v>
      </c>
      <c r="M37" s="246">
        <f t="shared" si="10"/>
        <v>-1392027.4225430321</v>
      </c>
      <c r="N37" s="1779">
        <f t="shared" si="9"/>
        <v>-1419867.9709938928</v>
      </c>
      <c r="O37" s="1779">
        <f t="shared" si="9"/>
        <v>-1448265.3304137706</v>
      </c>
      <c r="P37" s="1779">
        <f t="shared" si="9"/>
        <v>-1477230.6370220461</v>
      </c>
      <c r="Q37" s="246">
        <f t="shared" si="9"/>
        <v>-1506775.2497624871</v>
      </c>
      <c r="R37" s="1779">
        <f t="shared" si="9"/>
        <v>-1536910.7547577368</v>
      </c>
      <c r="S37" s="1779">
        <f t="shared" si="9"/>
        <v>-1567648.9698528915</v>
      </c>
      <c r="T37" s="1779">
        <f t="shared" si="9"/>
        <v>-1599001.9492499493</v>
      </c>
      <c r="U37" s="246">
        <f t="shared" si="8"/>
        <v>-1726922.1051899453</v>
      </c>
      <c r="V37" s="246">
        <f t="shared" si="8"/>
        <v>-1865075.873605141</v>
      </c>
      <c r="W37" s="246">
        <f t="shared" si="8"/>
        <v>-2014281.9434935523</v>
      </c>
      <c r="X37" s="1741">
        <f t="shared" si="8"/>
        <v>-2175424.4989730367</v>
      </c>
      <c r="Y37" t="str">
        <f t="shared" si="4"/>
        <v>PE033 PFNGT LLC</v>
      </c>
    </row>
    <row r="38" spans="1:25">
      <c r="A38" s="513" t="s">
        <v>443</v>
      </c>
      <c r="B38" s="513" t="s">
        <v>355</v>
      </c>
      <c r="C38" s="514">
        <v>1039509</v>
      </c>
      <c r="D38" s="496">
        <v>0.08</v>
      </c>
      <c r="E38" s="496">
        <v>0</v>
      </c>
      <c r="F38" s="516">
        <v>44365</v>
      </c>
      <c r="G38" s="517">
        <f>+C38/lgh_inputs!$D$10</f>
        <v>41580.36</v>
      </c>
      <c r="H38" s="516"/>
      <c r="I38" s="232">
        <f t="shared" si="0"/>
        <v>1083368.8709792802</v>
      </c>
      <c r="J38" s="246">
        <f t="shared" si="6"/>
        <v>1170038.3806576226</v>
      </c>
      <c r="K38" s="246">
        <f t="shared" si="6"/>
        <v>1263641.4511102324</v>
      </c>
      <c r="L38" s="246">
        <f t="shared" si="6"/>
        <v>1364732.7671990511</v>
      </c>
      <c r="M38" s="246">
        <f t="shared" si="10"/>
        <v>1392027.4225430321</v>
      </c>
      <c r="N38" s="1779">
        <f t="shared" si="9"/>
        <v>1419867.9709938928</v>
      </c>
      <c r="O38" s="1779">
        <f t="shared" si="9"/>
        <v>1448265.3304137706</v>
      </c>
      <c r="P38" s="1779">
        <f t="shared" si="9"/>
        <v>1477230.6370220461</v>
      </c>
      <c r="Q38" s="246">
        <f t="shared" si="9"/>
        <v>1506775.2497624871</v>
      </c>
      <c r="R38" s="1779">
        <f t="shared" si="9"/>
        <v>1536910.7547577368</v>
      </c>
      <c r="S38" s="1779">
        <f t="shared" si="9"/>
        <v>1567648.9698528915</v>
      </c>
      <c r="T38" s="1779">
        <f t="shared" si="9"/>
        <v>1599001.9492499493</v>
      </c>
      <c r="U38" s="246">
        <f t="shared" si="8"/>
        <v>1726922.1051899453</v>
      </c>
      <c r="V38" s="246">
        <f t="shared" si="8"/>
        <v>1865075.873605141</v>
      </c>
      <c r="W38" s="246">
        <f t="shared" si="8"/>
        <v>2014281.9434935523</v>
      </c>
      <c r="X38" s="1741">
        <f t="shared" si="8"/>
        <v>2175424.4989730367</v>
      </c>
      <c r="Y38" t="str">
        <f t="shared" si="4"/>
        <v>PE034 Cambrian</v>
      </c>
    </row>
    <row r="39" spans="1:25">
      <c r="A39" s="1090" t="s">
        <v>444</v>
      </c>
      <c r="B39" s="1090" t="s">
        <v>445</v>
      </c>
      <c r="C39" s="1091">
        <v>1000000</v>
      </c>
      <c r="D39" s="1092">
        <v>0.08</v>
      </c>
      <c r="E39" s="1093">
        <v>5.2999999999999999E-2</v>
      </c>
      <c r="F39" s="1094">
        <v>46115</v>
      </c>
      <c r="G39" s="517">
        <f>+C39/lgh_inputs!$D$10</f>
        <v>40000</v>
      </c>
      <c r="H39" s="516"/>
      <c r="I39" s="232">
        <f t="shared" si="0"/>
        <v>0</v>
      </c>
      <c r="J39" s="246">
        <f t="shared" si="6"/>
        <v>0</v>
      </c>
      <c r="K39" s="246">
        <f t="shared" si="6"/>
        <v>0</v>
      </c>
      <c r="L39" s="246">
        <f t="shared" si="6"/>
        <v>0</v>
      </c>
      <c r="M39" s="246">
        <f t="shared" si="10"/>
        <v>0</v>
      </c>
      <c r="N39" s="1779">
        <f t="shared" si="9"/>
        <v>0</v>
      </c>
      <c r="O39" s="1779">
        <f t="shared" si="9"/>
        <v>0</v>
      </c>
      <c r="P39" s="1779">
        <f t="shared" si="9"/>
        <v>0</v>
      </c>
      <c r="Q39" s="246">
        <f t="shared" si="9"/>
        <v>0</v>
      </c>
      <c r="R39" s="1779">
        <f t="shared" si="9"/>
        <v>1019334.3267664126</v>
      </c>
      <c r="S39" s="1779">
        <f t="shared" si="9"/>
        <v>1039721.0133017409</v>
      </c>
      <c r="T39" s="1779">
        <f t="shared" si="9"/>
        <v>1060515.4335677756</v>
      </c>
      <c r="U39" s="246">
        <f t="shared" si="8"/>
        <v>1145356.6682531978</v>
      </c>
      <c r="V39" s="246">
        <f t="shared" si="8"/>
        <v>1236985.2017134537</v>
      </c>
      <c r="W39" s="246">
        <f t="shared" si="8"/>
        <v>1335944.0178505301</v>
      </c>
      <c r="X39" s="1741">
        <f t="shared" si="8"/>
        <v>1442819.5392785727</v>
      </c>
      <c r="Y39" t="str">
        <f t="shared" si="4"/>
        <v>PE035 guy</v>
      </c>
    </row>
    <row r="40" spans="1:25">
      <c r="A40" s="513" t="s">
        <v>446</v>
      </c>
      <c r="B40" s="1090" t="s">
        <v>403</v>
      </c>
      <c r="C40" s="1091">
        <v>3000000</v>
      </c>
      <c r="D40" s="1092">
        <v>0.08</v>
      </c>
      <c r="E40" s="1093">
        <v>5.2999999999999999E-2</v>
      </c>
      <c r="F40" s="1094">
        <v>46387</v>
      </c>
      <c r="G40" s="517">
        <f>+C40/lgh_inputs!$D$10</f>
        <v>120000</v>
      </c>
      <c r="H40" s="516"/>
      <c r="I40" s="232">
        <f t="shared" si="0"/>
        <v>0</v>
      </c>
      <c r="J40" s="246">
        <f t="shared" si="6"/>
        <v>0</v>
      </c>
      <c r="K40" s="246">
        <f t="shared" si="6"/>
        <v>0</v>
      </c>
      <c r="L40" s="246">
        <f t="shared" si="6"/>
        <v>0</v>
      </c>
      <c r="M40" s="246">
        <f t="shared" si="10"/>
        <v>0</v>
      </c>
      <c r="N40" s="1779">
        <f t="shared" si="9"/>
        <v>0</v>
      </c>
      <c r="O40" s="1779">
        <f t="shared" si="9"/>
        <v>0</v>
      </c>
      <c r="P40" s="1779">
        <f t="shared" si="9"/>
        <v>0</v>
      </c>
      <c r="Q40" s="246">
        <f t="shared" si="9"/>
        <v>0</v>
      </c>
      <c r="R40" s="1779">
        <f t="shared" si="9"/>
        <v>0</v>
      </c>
      <c r="S40" s="1779">
        <f t="shared" si="9"/>
        <v>0</v>
      </c>
      <c r="T40" s="1779">
        <f t="shared" si="9"/>
        <v>3000000</v>
      </c>
      <c r="U40" s="246">
        <f t="shared" si="8"/>
        <v>3240000</v>
      </c>
      <c r="V40" s="246">
        <f t="shared" si="8"/>
        <v>3499200</v>
      </c>
      <c r="W40" s="246">
        <f t="shared" si="8"/>
        <v>3779136.0000000005</v>
      </c>
      <c r="X40" s="1741">
        <f t="shared" si="8"/>
        <v>4081466.8800000008</v>
      </c>
      <c r="Y40" t="str">
        <f t="shared" si="4"/>
        <v>PE036 La Pointe Investments LLC</v>
      </c>
    </row>
    <row r="41" spans="1:25">
      <c r="A41" s="513" t="s">
        <v>447</v>
      </c>
      <c r="B41" s="1090"/>
      <c r="C41" s="1091"/>
      <c r="D41" s="1092"/>
      <c r="E41" s="1092"/>
      <c r="F41" s="1094"/>
      <c r="G41" s="517">
        <f>+C41/lgh_inputs!$D$10</f>
        <v>0</v>
      </c>
      <c r="H41" s="516"/>
      <c r="I41" s="232">
        <f t="shared" si="0"/>
        <v>0</v>
      </c>
      <c r="J41" s="246">
        <f t="shared" si="6"/>
        <v>0</v>
      </c>
      <c r="K41" s="246">
        <f t="shared" si="6"/>
        <v>0</v>
      </c>
      <c r="L41" s="246">
        <f t="shared" si="6"/>
        <v>0</v>
      </c>
      <c r="M41" s="246">
        <f t="shared" si="10"/>
        <v>0</v>
      </c>
      <c r="N41" s="1779">
        <f t="shared" si="9"/>
        <v>0</v>
      </c>
      <c r="O41" s="1779">
        <f t="shared" si="9"/>
        <v>0</v>
      </c>
      <c r="P41" s="1779">
        <f t="shared" si="9"/>
        <v>0</v>
      </c>
      <c r="Q41" s="246">
        <f t="shared" si="9"/>
        <v>0</v>
      </c>
      <c r="R41" s="1779">
        <f t="shared" si="9"/>
        <v>0</v>
      </c>
      <c r="S41" s="1779">
        <f t="shared" si="9"/>
        <v>0</v>
      </c>
      <c r="T41" s="1779">
        <f t="shared" si="9"/>
        <v>0</v>
      </c>
      <c r="U41" s="246">
        <f t="shared" si="8"/>
        <v>0</v>
      </c>
      <c r="V41" s="246">
        <f t="shared" si="8"/>
        <v>0</v>
      </c>
      <c r="W41" s="246">
        <f t="shared" si="8"/>
        <v>0</v>
      </c>
      <c r="X41" s="1741">
        <f t="shared" si="8"/>
        <v>0</v>
      </c>
      <c r="Y41" t="str">
        <f t="shared" si="4"/>
        <v xml:space="preserve">PE037 </v>
      </c>
    </row>
    <row r="42" spans="1:25">
      <c r="A42" s="1095" t="s">
        <v>448</v>
      </c>
      <c r="B42" s="1095"/>
      <c r="C42" s="1096"/>
      <c r="D42" s="1097"/>
      <c r="E42" s="1097"/>
      <c r="F42" s="1098"/>
      <c r="G42" s="1089">
        <f>+C42/lgh_inputs!$D$10</f>
        <v>0</v>
      </c>
      <c r="H42" s="1099"/>
      <c r="I42" s="1062">
        <f t="shared" si="0"/>
        <v>0</v>
      </c>
      <c r="J42" s="1748">
        <f t="shared" si="6"/>
        <v>0</v>
      </c>
      <c r="K42" s="1748">
        <f t="shared" si="6"/>
        <v>0</v>
      </c>
      <c r="L42" s="1748">
        <f t="shared" si="6"/>
        <v>0</v>
      </c>
      <c r="M42" s="1748">
        <f t="shared" si="10"/>
        <v>0</v>
      </c>
      <c r="N42" s="1780">
        <f t="shared" si="9"/>
        <v>0</v>
      </c>
      <c r="O42" s="1780">
        <f t="shared" si="9"/>
        <v>0</v>
      </c>
      <c r="P42" s="1780">
        <f t="shared" si="9"/>
        <v>0</v>
      </c>
      <c r="Q42" s="1748">
        <f t="shared" si="9"/>
        <v>0</v>
      </c>
      <c r="R42" s="1780">
        <f t="shared" si="9"/>
        <v>0</v>
      </c>
      <c r="S42" s="1780">
        <f t="shared" si="9"/>
        <v>0</v>
      </c>
      <c r="T42" s="1780">
        <f t="shared" si="9"/>
        <v>0</v>
      </c>
      <c r="U42" s="1748">
        <f t="shared" si="8"/>
        <v>0</v>
      </c>
      <c r="V42" s="1748">
        <f t="shared" si="8"/>
        <v>0</v>
      </c>
      <c r="W42" s="1748">
        <f t="shared" si="8"/>
        <v>0</v>
      </c>
      <c r="X42" s="1742">
        <f t="shared" si="8"/>
        <v>0</v>
      </c>
      <c r="Y42" s="117" t="str">
        <f t="shared" si="4"/>
        <v xml:space="preserve">PE038 </v>
      </c>
    </row>
    <row r="43" spans="1:25">
      <c r="A43" s="1090"/>
      <c r="B43" s="1090"/>
      <c r="C43" s="1091"/>
      <c r="D43" s="1092"/>
      <c r="E43" s="1092"/>
      <c r="F43" s="1094"/>
      <c r="G43" s="517">
        <f>+C43/lgh_inputs!$D$10</f>
        <v>0</v>
      </c>
      <c r="H43" s="516"/>
      <c r="I43" s="232">
        <f t="shared" si="0"/>
        <v>0</v>
      </c>
      <c r="J43" s="246">
        <f t="shared" si="6"/>
        <v>0</v>
      </c>
      <c r="K43" s="246">
        <f t="shared" si="6"/>
        <v>0</v>
      </c>
      <c r="L43" s="246">
        <f t="shared" si="6"/>
        <v>0</v>
      </c>
      <c r="M43" s="246">
        <f t="shared" si="10"/>
        <v>0</v>
      </c>
      <c r="N43" s="1779">
        <f t="shared" si="9"/>
        <v>0</v>
      </c>
      <c r="O43" s="1779">
        <f t="shared" si="9"/>
        <v>0</v>
      </c>
      <c r="P43" s="1779">
        <f t="shared" si="9"/>
        <v>0</v>
      </c>
      <c r="Q43" s="246">
        <f t="shared" si="9"/>
        <v>0</v>
      </c>
      <c r="R43" s="1779">
        <f t="shared" si="9"/>
        <v>0</v>
      </c>
      <c r="S43" s="1779">
        <f t="shared" si="9"/>
        <v>0</v>
      </c>
      <c r="T43" s="1779">
        <f t="shared" si="9"/>
        <v>0</v>
      </c>
      <c r="U43" s="246">
        <f t="shared" si="8"/>
        <v>0</v>
      </c>
      <c r="V43" s="246">
        <f t="shared" si="8"/>
        <v>0</v>
      </c>
      <c r="W43" s="246">
        <f t="shared" si="8"/>
        <v>0</v>
      </c>
      <c r="X43" s="1741">
        <f t="shared" si="8"/>
        <v>0</v>
      </c>
      <c r="Y43" t="str">
        <f t="shared" si="4"/>
        <v xml:space="preserve"> </v>
      </c>
    </row>
    <row r="44" spans="1:25">
      <c r="C44" s="285">
        <f>SUM(C5:C43)</f>
        <v>55375000</v>
      </c>
      <c r="G44" s="517">
        <f>SUM(G5:G39)</f>
        <v>2295000</v>
      </c>
      <c r="J44" s="248"/>
      <c r="K44" s="248"/>
      <c r="L44" s="248"/>
      <c r="M44" s="1767"/>
      <c r="N44" s="1781"/>
      <c r="O44" s="1781"/>
      <c r="P44" s="1781"/>
      <c r="Q44" s="248"/>
      <c r="R44" s="1781"/>
      <c r="S44" s="1781"/>
      <c r="T44" s="1781"/>
      <c r="U44" s="248"/>
      <c r="V44" s="248"/>
      <c r="W44" s="248"/>
      <c r="X44" s="1743"/>
    </row>
    <row r="45" spans="1:25">
      <c r="A45" s="223" t="s">
        <v>449</v>
      </c>
      <c r="H45" s="223" t="s">
        <v>450</v>
      </c>
      <c r="J45" s="1749">
        <f>+J47+SUM($I$54,$J$54)</f>
        <v>28355191.60977295</v>
      </c>
      <c r="K45" s="1749">
        <f>+K47+SUM($I$54,$J$54,$K$54)</f>
        <v>33699850.202441037</v>
      </c>
      <c r="L45" s="1749">
        <f>+L47+SUM($I$54,$J$54,$K$54,L54)</f>
        <v>37580209.386136912</v>
      </c>
      <c r="M45" s="1767"/>
      <c r="N45" s="1782"/>
      <c r="O45" s="1782"/>
      <c r="P45" s="1782"/>
      <c r="Q45" s="248"/>
      <c r="R45" s="1781"/>
      <c r="S45" s="1781"/>
      <c r="T45" s="1781"/>
      <c r="U45" s="248"/>
      <c r="V45" s="248"/>
      <c r="W45" s="248"/>
      <c r="X45" s="1743"/>
    </row>
    <row r="46" spans="1:25" hidden="1">
      <c r="A46" s="230" t="s">
        <v>451</v>
      </c>
      <c r="B46" s="230"/>
      <c r="C46" s="230"/>
      <c r="D46" s="230"/>
      <c r="E46" s="230"/>
      <c r="F46" s="230"/>
      <c r="G46" s="230"/>
      <c r="H46" s="230"/>
      <c r="I46" s="704"/>
      <c r="J46" s="253"/>
      <c r="K46" s="1768"/>
      <c r="L46" s="253"/>
      <c r="M46" s="1775"/>
      <c r="N46" s="1783"/>
      <c r="O46" s="1783"/>
      <c r="P46" s="1783"/>
      <c r="Q46" s="253"/>
      <c r="R46" s="1800"/>
      <c r="S46" s="1800"/>
      <c r="T46" s="1800"/>
      <c r="U46" s="253"/>
      <c r="V46" s="253"/>
      <c r="W46" s="253"/>
      <c r="X46" s="1744"/>
    </row>
    <row r="47" spans="1:25">
      <c r="A47" s="231" t="s">
        <v>183</v>
      </c>
      <c r="C47" s="232">
        <f>SUM(C5:C43)</f>
        <v>55375000</v>
      </c>
      <c r="I47" s="244">
        <f t="shared" ref="I47:X47" si="11">SUM(I5:I43)+I46</f>
        <v>10421928.727690481</v>
      </c>
      <c r="J47" s="246">
        <f t="shared" si="11"/>
        <v>33855191.60977295</v>
      </c>
      <c r="K47" s="1769">
        <f t="shared" si="11"/>
        <v>39199850.202441037</v>
      </c>
      <c r="L47" s="246">
        <f t="shared" si="11"/>
        <v>51080209.386136912</v>
      </c>
      <c r="M47" s="246">
        <f t="shared" si="11"/>
        <v>49890886.391148508</v>
      </c>
      <c r="N47" s="1779">
        <f t="shared" si="11"/>
        <v>50888704.118971482</v>
      </c>
      <c r="O47" s="1779">
        <f t="shared" si="11"/>
        <v>51906478.20135092</v>
      </c>
      <c r="P47" s="1779">
        <f t="shared" si="11"/>
        <v>54144868.927339561</v>
      </c>
      <c r="Q47" s="246">
        <f t="shared" si="11"/>
        <v>56742197.629923344</v>
      </c>
      <c r="R47" s="1779">
        <f t="shared" si="11"/>
        <v>58896375.909288213</v>
      </c>
      <c r="S47" s="1779">
        <f t="shared" si="11"/>
        <v>60074303.427473977</v>
      </c>
      <c r="T47" s="1779">
        <f t="shared" si="11"/>
        <v>64275789.496023461</v>
      </c>
      <c r="U47" s="246">
        <f t="shared" si="11"/>
        <v>69417852.655705363</v>
      </c>
      <c r="V47" s="246">
        <f t="shared" si="11"/>
        <v>74971280.868161783</v>
      </c>
      <c r="W47" s="246">
        <f t="shared" si="11"/>
        <v>80968983.337614715</v>
      </c>
      <c r="X47" s="1741">
        <f t="shared" si="11"/>
        <v>87446502.004623935</v>
      </c>
    </row>
    <row r="48" spans="1:25">
      <c r="A48" s="223" t="s">
        <v>452</v>
      </c>
      <c r="C48" s="223">
        <f>COUNTA(A5:A43)-COUNTBLANK(A5:A43)</f>
        <v>37</v>
      </c>
      <c r="I48" s="223">
        <f t="shared" ref="I48:X48" si="12">COUNTIF(I5:I43,"&gt;0")</f>
        <v>4</v>
      </c>
      <c r="J48" s="248">
        <f t="shared" si="12"/>
        <v>19</v>
      </c>
      <c r="K48" s="248">
        <f t="shared" si="12"/>
        <v>24</v>
      </c>
      <c r="L48" s="248">
        <f t="shared" si="12"/>
        <v>29</v>
      </c>
      <c r="M48" s="248">
        <f t="shared" si="12"/>
        <v>28</v>
      </c>
      <c r="N48" s="1781">
        <f t="shared" si="12"/>
        <v>28</v>
      </c>
      <c r="O48" s="1781">
        <f t="shared" si="12"/>
        <v>28</v>
      </c>
      <c r="P48" s="1781">
        <f t="shared" si="12"/>
        <v>29</v>
      </c>
      <c r="Q48" s="248">
        <f t="shared" si="12"/>
        <v>30</v>
      </c>
      <c r="R48" s="1781">
        <f t="shared" si="12"/>
        <v>31</v>
      </c>
      <c r="S48" s="1781">
        <f t="shared" si="12"/>
        <v>31</v>
      </c>
      <c r="T48" s="1781">
        <f t="shared" si="12"/>
        <v>32</v>
      </c>
      <c r="U48" s="248">
        <f t="shared" si="12"/>
        <v>32</v>
      </c>
      <c r="V48" s="248">
        <f t="shared" si="12"/>
        <v>32</v>
      </c>
      <c r="W48" s="248">
        <f t="shared" si="12"/>
        <v>32</v>
      </c>
      <c r="X48" s="1743">
        <f t="shared" si="12"/>
        <v>32</v>
      </c>
    </row>
    <row r="49" spans="1:24">
      <c r="A49" s="223" t="s">
        <v>453</v>
      </c>
      <c r="C49" s="233">
        <f>AVERAGE($D$5:D43)</f>
        <v>8.0000000000000029E-2</v>
      </c>
      <c r="J49" s="248"/>
      <c r="K49" s="248"/>
      <c r="L49" s="1749">
        <f>+L47-L45</f>
        <v>13500000</v>
      </c>
      <c r="M49" s="248"/>
      <c r="N49" s="1781"/>
      <c r="O49" s="1781"/>
      <c r="P49" s="1781"/>
      <c r="Q49" s="248"/>
      <c r="R49" s="1781"/>
      <c r="S49" s="1781"/>
      <c r="T49" s="1781"/>
      <c r="U49" s="248"/>
      <c r="V49" s="248"/>
      <c r="W49" s="248"/>
      <c r="X49" s="1743"/>
    </row>
    <row r="50" spans="1:24">
      <c r="A50" s="223" t="s">
        <v>454</v>
      </c>
      <c r="C50" s="233">
        <f>SUMPRODUCT($C$5:$C14,$D$5:$D14)/SUM($C$5:$C14)</f>
        <v>0.08</v>
      </c>
      <c r="J50" s="248"/>
      <c r="K50" s="248"/>
      <c r="L50" s="248"/>
      <c r="M50" s="248"/>
      <c r="N50" s="1781"/>
      <c r="O50" s="1781"/>
      <c r="P50" s="1781"/>
      <c r="Q50" s="248"/>
      <c r="R50" s="1781"/>
      <c r="S50" s="1781"/>
      <c r="T50" s="1781"/>
      <c r="U50" s="248"/>
      <c r="V50" s="248"/>
      <c r="W50" s="248"/>
      <c r="X50" s="1743"/>
    </row>
    <row r="51" spans="1:24">
      <c r="J51" s="248"/>
      <c r="K51" s="248"/>
      <c r="L51" s="248"/>
      <c r="M51" s="249"/>
      <c r="N51" s="1781"/>
      <c r="O51" s="1781"/>
      <c r="P51" s="1781"/>
      <c r="Q51" s="248"/>
      <c r="R51" s="1781"/>
      <c r="S51" s="1781"/>
      <c r="T51" s="1781"/>
      <c r="U51" s="248"/>
      <c r="V51" s="248"/>
      <c r="W51" s="248"/>
      <c r="X51" s="1743"/>
    </row>
    <row r="52" spans="1:24">
      <c r="A52" s="234" t="s">
        <v>455</v>
      </c>
      <c r="J52" s="248"/>
      <c r="K52" s="248"/>
      <c r="L52" s="248"/>
      <c r="M52" s="250"/>
      <c r="N52" s="1781"/>
      <c r="O52" s="1781"/>
      <c r="P52" s="1781"/>
      <c r="Q52" s="248"/>
      <c r="R52" s="1781"/>
      <c r="S52" s="1781"/>
      <c r="T52" s="1781"/>
      <c r="U52" s="248"/>
      <c r="V52" s="248"/>
      <c r="W52" s="248"/>
      <c r="X52" s="1743"/>
    </row>
    <row r="53" spans="1:24">
      <c r="A53" s="223" t="s">
        <v>456</v>
      </c>
      <c r="J53" s="248"/>
      <c r="K53" s="248"/>
      <c r="L53" s="248"/>
      <c r="M53" s="248"/>
      <c r="N53" s="1781"/>
      <c r="O53" s="1781"/>
      <c r="P53" s="1781"/>
      <c r="Q53" s="248"/>
      <c r="R53" s="1781"/>
      <c r="S53" s="1781"/>
      <c r="T53" s="1781"/>
      <c r="U53" s="248"/>
      <c r="V53" s="248"/>
      <c r="W53" s="248"/>
      <c r="X53" s="1743"/>
    </row>
    <row r="54" spans="1:24">
      <c r="A54" s="256" t="s">
        <v>457</v>
      </c>
      <c r="B54" s="256"/>
      <c r="C54" s="256"/>
      <c r="D54" s="256"/>
      <c r="E54" s="256"/>
      <c r="F54" s="256"/>
      <c r="G54" s="256"/>
      <c r="H54" s="256"/>
      <c r="I54" s="1735"/>
      <c r="J54" s="1750">
        <v>-5500000</v>
      </c>
      <c r="K54" s="1750"/>
      <c r="L54" s="1750">
        <v>-8000000</v>
      </c>
      <c r="M54" s="1776"/>
      <c r="N54" s="1784"/>
      <c r="O54" s="1784"/>
      <c r="P54" s="1799"/>
      <c r="Q54" s="1776"/>
      <c r="R54" s="1784"/>
      <c r="S54" s="1784"/>
      <c r="T54" s="1784"/>
      <c r="U54" s="1776"/>
      <c r="V54" s="1776"/>
      <c r="W54" s="1776"/>
      <c r="X54" s="1801"/>
    </row>
    <row r="55" spans="1:24">
      <c r="A55" s="236" t="s">
        <v>458</v>
      </c>
      <c r="B55" s="236"/>
      <c r="C55" s="236"/>
      <c r="D55" s="236"/>
      <c r="E55" s="236"/>
      <c r="F55" s="236"/>
      <c r="G55" s="236"/>
      <c r="H55" s="236"/>
      <c r="I55" s="237">
        <f t="array" ref="I55">SUMPRODUCT((YEAR(I3)=YEAR($F$5:$F42))*(ROUNDUP(MONTH($F$5:$F42)/3,0)=I4)*$C$5:$C42)+I54</f>
        <v>0</v>
      </c>
      <c r="J55" s="1751">
        <f t="array" ref="J55">SUMPRODUCT((YEAR(J3)=YEAR($F$5:$F42))*(ROUNDUP(MONTH($F$5:$F42)/3,0)=J4)*$C$5:$C42)+J54</f>
        <v>0</v>
      </c>
      <c r="K55" s="1751">
        <f t="array" ref="K55">SUMPRODUCT((YEAR(K3)=YEAR($F$5:$F42))*(ROUNDUP(MONTH($F$5:$F42)/3,0)=K4)*$C$5:$C42)+K54</f>
        <v>0</v>
      </c>
      <c r="L55" s="1751">
        <f t="array" ref="L55">SUMPRODUCT((YEAR(L3)=YEAR($F$5:$F42))*(ROUNDUP(MONTH($F$5:$F42)/3,0)=L4)*$C$5:$C42)+L54</f>
        <v>0</v>
      </c>
      <c r="M55" s="1751">
        <f t="array" ref="M55">SUMPRODUCT((YEAR(M3)=YEAR($F$5:$F42))*(ROUNDUP(MONTH($F$5:$F42)/3,0)=M4)*$C$5:$C42)+M54</f>
        <v>6050000</v>
      </c>
      <c r="N55" s="1785">
        <f t="array" ref="N55">SUMPRODUCT((YEAR(N3)=YEAR($F$5:$F42))*(ROUNDUP(MONTH($F$5:$F42)/3,0)=N4)*$C$5:$C42)+N54</f>
        <v>0</v>
      </c>
      <c r="O55" s="1785">
        <f t="array" ref="O55">SUMPRODUCT((YEAR(O3)=YEAR($F$5:$F42))*(ROUNDUP(MONTH($F$5:$F42)/3,0)=O4)*$C$5:$C42)+O54</f>
        <v>0</v>
      </c>
      <c r="P55" s="1785">
        <f t="array" ref="P55">SUMPRODUCT((YEAR(P3)=YEAR($F$5:$F42))*(ROUNDUP(MONTH($F$5:$F42)/3,0)=P4)*$C$5:$C42)+P54</f>
        <v>1200000</v>
      </c>
      <c r="Q55" s="1751">
        <f t="array" ref="Q55">SUMPRODUCT((YEAR(Q3)=YEAR($F$5:$F42))*(ROUNDUP(MONTH($F$5:$F42)/3,0)=Q4)*$C$5:$C42)+Q54</f>
        <v>1500000</v>
      </c>
      <c r="R55" s="1785">
        <f t="array" ref="R55">SUMPRODUCT((YEAR(R3)=YEAR($F$5:$F42))*(ROUNDUP(MONTH($F$5:$F42)/3,0)=R4)*$C$5:$C42)+R54</f>
        <v>1000000</v>
      </c>
      <c r="S55" s="1785">
        <f t="array" ref="S55">SUMPRODUCT((YEAR(S3)=YEAR($F$5:$F42))*(ROUNDUP(MONTH($F$5:$F42)/3,0)=S4)*$C$5:$C42)+S54</f>
        <v>0</v>
      </c>
      <c r="T55" s="1785">
        <f t="array" ref="T55">SUMPRODUCT((YEAR(T3)=YEAR($F$5:$F42))*(ROUNDUP(MONTH($F$5:$F42)/3,0)=T4)*$C$5:$C42)+T54</f>
        <v>3000000</v>
      </c>
      <c r="U55" s="1751">
        <f t="array" ref="U55">SUMPRODUCT((YEAR(U3)=YEAR($F$5:$F42))*(ROUNDUP(MONTH($F$5:$F42)/3,0)=U4)*$C$5:$C42)+U54</f>
        <v>0</v>
      </c>
      <c r="V55" s="1751">
        <f t="array" ref="V55">SUMPRODUCT((YEAR(V3)=YEAR($F$5:$F42))*(ROUNDUP(MONTH($F$5:$F42)/3,0)=V4)*$C$5:$C42)+V54</f>
        <v>0</v>
      </c>
      <c r="W55" s="1751">
        <f t="array" ref="W55">SUMPRODUCT((YEAR(W3)=YEAR($F$5:$F42))*(ROUNDUP(MONTH($F$5:$F42)/3,0)=W4)*$C$5:$C42)+W54</f>
        <v>0</v>
      </c>
      <c r="X55" s="1745">
        <f t="array" ref="X55">SUMPRODUCT((YEAR(X3)=YEAR($F$5:$F42))*(ROUNDUP(MONTH($F$5:$F42)/3,0)=X4)*$C$5:$C42)+X54</f>
        <v>0</v>
      </c>
    </row>
    <row r="56" spans="1:24">
      <c r="J56" s="248"/>
      <c r="K56" s="248"/>
      <c r="L56" s="248"/>
      <c r="M56" s="248"/>
      <c r="N56" s="1781"/>
      <c r="O56" s="1781"/>
      <c r="P56" s="1781"/>
      <c r="Q56" s="248"/>
      <c r="R56" s="1781"/>
      <c r="S56" s="1781"/>
      <c r="T56" s="1781"/>
      <c r="U56" s="248"/>
      <c r="V56" s="248"/>
      <c r="W56" s="248"/>
      <c r="X56" s="1743"/>
    </row>
    <row r="57" spans="1:24" ht="15.9" customHeight="1" thickBot="1">
      <c r="H57" s="302">
        <f>VLOOKUP(B5,B5:F43,5,FALSE)</f>
        <v>44365</v>
      </c>
      <c r="J57" s="1752" t="s">
        <v>459</v>
      </c>
      <c r="K57" s="1752" t="s">
        <v>390</v>
      </c>
      <c r="L57" s="248"/>
      <c r="M57" s="248"/>
      <c r="N57" s="1781"/>
      <c r="O57" s="1781"/>
      <c r="P57" s="1781"/>
      <c r="Q57" s="248"/>
      <c r="R57" s="1781"/>
      <c r="S57" s="1781"/>
      <c r="T57" s="1781"/>
      <c r="U57" s="248"/>
      <c r="V57" s="248"/>
      <c r="W57" s="248"/>
      <c r="X57" s="1743"/>
    </row>
    <row r="58" spans="1:24" ht="15.9" customHeight="1" thickBot="1">
      <c r="A58" s="270" t="s">
        <v>460</v>
      </c>
      <c r="B58" s="271"/>
      <c r="C58" s="271"/>
      <c r="D58" s="271"/>
      <c r="E58" s="271"/>
      <c r="F58" s="272" t="s">
        <v>461</v>
      </c>
      <c r="G58" s="1100">
        <v>45657</v>
      </c>
      <c r="H58" s="271"/>
      <c r="I58" s="272" t="s">
        <v>462</v>
      </c>
      <c r="J58" s="1753">
        <v>50000000</v>
      </c>
      <c r="K58" s="1770">
        <v>2000000</v>
      </c>
      <c r="L58" s="248"/>
      <c r="M58" s="248"/>
      <c r="N58" s="1781"/>
      <c r="O58" s="1781"/>
      <c r="P58" s="1781"/>
      <c r="Q58" s="248"/>
      <c r="R58" s="1781"/>
      <c r="S58" s="1781"/>
      <c r="T58" s="1781"/>
      <c r="U58" s="248"/>
      <c r="V58" s="248"/>
      <c r="W58" s="248"/>
      <c r="X58" s="1743"/>
    </row>
    <row r="59" spans="1:24">
      <c r="A59" s="270"/>
      <c r="B59" s="271"/>
      <c r="C59" s="271"/>
      <c r="D59" s="271"/>
      <c r="E59" s="271"/>
      <c r="F59" s="271"/>
      <c r="G59" s="271"/>
      <c r="H59" s="271"/>
      <c r="I59" s="271"/>
      <c r="J59" s="276"/>
      <c r="K59" s="276"/>
      <c r="L59" s="248"/>
      <c r="M59" s="248"/>
      <c r="N59" s="1781"/>
      <c r="O59" s="1781"/>
      <c r="P59" s="1781"/>
      <c r="Q59" s="248"/>
      <c r="R59" s="1781"/>
      <c r="S59" s="1781"/>
      <c r="T59" s="1781"/>
      <c r="U59" s="248"/>
      <c r="V59" s="248"/>
      <c r="W59" s="248"/>
      <c r="X59" s="1743"/>
    </row>
    <row r="60" spans="1:24" ht="31.5" customHeight="1" thickBot="1">
      <c r="A60" s="273" t="s">
        <v>121</v>
      </c>
      <c r="B60" s="274" t="s">
        <v>463</v>
      </c>
      <c r="C60" s="274" t="s">
        <v>463</v>
      </c>
      <c r="D60" s="274" t="s">
        <v>120</v>
      </c>
      <c r="E60" s="274" t="s">
        <v>464</v>
      </c>
      <c r="F60" s="274" t="s">
        <v>390</v>
      </c>
      <c r="G60" s="274" t="s">
        <v>465</v>
      </c>
      <c r="H60" s="274" t="s">
        <v>183</v>
      </c>
      <c r="I60" s="274" t="s">
        <v>466</v>
      </c>
      <c r="J60" s="1754" t="s">
        <v>467</v>
      </c>
      <c r="K60" s="1771" t="s">
        <v>468</v>
      </c>
      <c r="L60" s="1772"/>
      <c r="M60" s="248"/>
      <c r="N60" s="1781"/>
      <c r="O60" s="1781"/>
      <c r="P60" s="1781"/>
      <c r="Q60" s="248"/>
      <c r="R60" s="1781"/>
      <c r="S60" s="1781"/>
      <c r="T60" s="1781"/>
      <c r="U60" s="248"/>
      <c r="V60" s="248"/>
      <c r="W60" s="248"/>
      <c r="X60" s="1743"/>
    </row>
    <row r="61" spans="1:24">
      <c r="A61" s="275" t="str">
        <f t="shared" ref="A61:A95" si="13">Y5</f>
        <v>PE001 PFNGT LLC</v>
      </c>
      <c r="B61" s="1067"/>
      <c r="C61" s="1068"/>
      <c r="D61" s="278">
        <f t="shared" ref="D61:D95" si="14">YEAR(_xlfn.MINIFS($F$5:$F$43,$Y$5:$Y$43,A61))</f>
        <v>2021</v>
      </c>
      <c r="E61" s="279">
        <f t="array" ref="E61">SUM(IF($A61=$Y$5:$Y$43,$C$5:$C$43,0))</f>
        <v>5000000</v>
      </c>
      <c r="F61" s="279">
        <f t="array" ref="F61">SUM(IF($A61=$Y$5:$Y$43,$G$5:$G$43,0))</f>
        <v>200000</v>
      </c>
      <c r="G61" s="279">
        <f t="shared" ref="G61:G95" si="15">INDEX(L$5:L$43,MATCH(A61,Y$5:Y$43,0))-E61</f>
        <v>1564314.3407082148</v>
      </c>
      <c r="H61" s="279">
        <f t="shared" ref="H61:H95" si="16">+E61+G61</f>
        <v>6564314.3407082148</v>
      </c>
      <c r="I61" s="1736">
        <f t="array" ref="I61">IF(A61&gt;"",SUMPRODUCT((A61=$Y$5:$Y$43)*$E$5:$E$43)/COUNTIF($Y$5:$Y$43,A61),0)</f>
        <v>0.17499999999999999</v>
      </c>
      <c r="J61" s="1755">
        <f t="shared" ref="J61:J95" si="17">IF($I61&gt;0,$F61/$F$97,"")</f>
        <v>0.11730205278592376</v>
      </c>
      <c r="K61" s="1755">
        <f t="shared" ref="K61:K95" si="18">IFERROR($I61*($F$97/$K$58)*100%*$J61,0)</f>
        <v>1.7500000000000002E-2</v>
      </c>
      <c r="L61" s="276"/>
      <c r="M61" s="248"/>
      <c r="N61" s="1781"/>
      <c r="O61" s="1781"/>
      <c r="P61" s="1781"/>
      <c r="Q61" s="248"/>
      <c r="R61" s="1781"/>
      <c r="S61" s="1781"/>
      <c r="T61" s="1781"/>
      <c r="U61" s="248"/>
      <c r="V61" s="248"/>
      <c r="W61" s="248"/>
      <c r="X61" s="1743"/>
    </row>
    <row r="62" spans="1:24">
      <c r="A62" s="276" t="str">
        <f t="shared" si="13"/>
        <v>PE002 Derivee Capital Advisors, LLC</v>
      </c>
      <c r="B62" s="1069"/>
      <c r="C62" s="1070"/>
      <c r="D62" s="278">
        <f t="shared" si="14"/>
        <v>2021</v>
      </c>
      <c r="E62" s="279">
        <f t="array" ref="E62">SUM(IF($A62=$Y$5:$Y$43,$C$5:$C$43,0))</f>
        <v>3000000</v>
      </c>
      <c r="F62" s="279">
        <f t="array" ref="F62">SUM(IF($A62=$Y$5:$Y$43,$G$5:$G$43,0))</f>
        <v>120000</v>
      </c>
      <c r="G62" s="279">
        <f t="shared" si="15"/>
        <v>938588.60442492925</v>
      </c>
      <c r="H62" s="279">
        <f t="shared" si="16"/>
        <v>3938588.6044249292</v>
      </c>
      <c r="I62" s="1736">
        <f t="array" ref="I62">IF(A62&gt;"",SUMPRODUCT((A62=$Y$5:$Y$43)*$E$5:$E$43)/COUNTIF($Y$5:$Y$43,A62),0)</f>
        <v>0.17499999999999999</v>
      </c>
      <c r="J62" s="1755">
        <f t="shared" si="17"/>
        <v>7.0381231671554259E-2</v>
      </c>
      <c r="K62" s="1755">
        <f t="shared" si="18"/>
        <v>1.0500000000000001E-2</v>
      </c>
      <c r="L62" s="276"/>
      <c r="M62" s="248"/>
      <c r="N62" s="1781"/>
      <c r="O62" s="1781"/>
      <c r="P62" s="1781"/>
      <c r="Q62" s="248"/>
      <c r="R62" s="1781"/>
      <c r="S62" s="1781"/>
      <c r="T62" s="1781"/>
      <c r="U62" s="248"/>
      <c r="V62" s="248"/>
      <c r="W62" s="248"/>
      <c r="X62" s="1743"/>
    </row>
    <row r="63" spans="1:24">
      <c r="A63" s="276" t="str">
        <f t="shared" si="13"/>
        <v>PE003 Derivee Capital Advisors, LLC</v>
      </c>
      <c r="B63" s="1069"/>
      <c r="C63" s="1070"/>
      <c r="D63" s="278">
        <f t="shared" si="14"/>
        <v>2021</v>
      </c>
      <c r="E63" s="279">
        <f t="array" ref="E63">SUM(IF($A63=$Y$5:$Y$43,$C$5:$C$43,0))</f>
        <v>2000000</v>
      </c>
      <c r="F63" s="279">
        <f t="array" ref="F63">SUM(IF($A63=$Y$5:$Y$43,$G$5:$G$43,0))</f>
        <v>80000</v>
      </c>
      <c r="G63" s="279">
        <f t="shared" si="15"/>
        <v>625725.73628328601</v>
      </c>
      <c r="H63" s="279">
        <f t="shared" si="16"/>
        <v>2625725.736283286</v>
      </c>
      <c r="I63" s="1736">
        <f t="array" ref="I63">IF(A63&gt;"",SUMPRODUCT((A63=$Y$5:$Y$43)*$E$5:$E$43)/COUNTIF($Y$5:$Y$43,A63),0)</f>
        <v>0.17499999999999999</v>
      </c>
      <c r="J63" s="1755">
        <f t="shared" si="17"/>
        <v>4.6920821114369501E-2</v>
      </c>
      <c r="K63" s="1755">
        <f t="shared" si="18"/>
        <v>7.0000000000000001E-3</v>
      </c>
      <c r="L63" s="276"/>
      <c r="M63" s="248"/>
      <c r="N63" s="1781"/>
      <c r="O63" s="1781"/>
      <c r="P63" s="1781"/>
      <c r="Q63" s="248"/>
      <c r="R63" s="1781"/>
      <c r="S63" s="1781"/>
      <c r="T63" s="1781"/>
      <c r="U63" s="248"/>
      <c r="V63" s="248"/>
      <c r="W63" s="248"/>
      <c r="X63" s="1743"/>
    </row>
    <row r="64" spans="1:24">
      <c r="A64" s="276" t="str">
        <f t="shared" si="13"/>
        <v>PE004 DCAPP Hotel Ventures LLC</v>
      </c>
      <c r="B64" s="1069"/>
      <c r="C64" s="1070"/>
      <c r="D64" s="278">
        <f t="shared" si="14"/>
        <v>2022</v>
      </c>
      <c r="E64" s="279">
        <f t="array" ref="E64">SUM(IF($A64=$Y$5:$Y$43,$C$5:$C$43,0))</f>
        <v>5000000</v>
      </c>
      <c r="F64" s="279">
        <f t="array" ref="F64">SUM(IF($A64=$Y$5:$Y$43,$G$5:$G$43,0))</f>
        <v>200000</v>
      </c>
      <c r="G64" s="279">
        <f t="shared" si="15"/>
        <v>1289270.4020512132</v>
      </c>
      <c r="H64" s="279">
        <f t="shared" si="16"/>
        <v>6289270.4020512132</v>
      </c>
      <c r="I64" s="1736">
        <f t="array" ref="I64">IF(A64&gt;"",SUMPRODUCT((A64=$Y$5:$Y$43)*$E$5:$E$43)/COUNTIF($Y$5:$Y$43,A64),0)</f>
        <v>0.14000000000000001</v>
      </c>
      <c r="J64" s="1755">
        <f t="shared" si="17"/>
        <v>0.11730205278592376</v>
      </c>
      <c r="K64" s="1755">
        <f t="shared" si="18"/>
        <v>1.4000000000000002E-2</v>
      </c>
      <c r="L64" s="276"/>
      <c r="M64" s="248"/>
      <c r="N64" s="1781"/>
      <c r="O64" s="1781"/>
      <c r="P64" s="1781"/>
      <c r="Q64" s="248"/>
      <c r="R64" s="1781"/>
      <c r="S64" s="1781"/>
      <c r="T64" s="1781"/>
      <c r="U64" s="248"/>
      <c r="V64" s="248"/>
      <c r="W64" s="248"/>
      <c r="X64" s="1743"/>
    </row>
    <row r="65" spans="1:24">
      <c r="A65" s="276" t="str">
        <f t="shared" si="13"/>
        <v>PE005 DCAPP Hotel Ventures LLC</v>
      </c>
      <c r="B65" s="1069"/>
      <c r="C65" s="1070"/>
      <c r="D65" s="278">
        <f t="shared" si="14"/>
        <v>2022</v>
      </c>
      <c r="E65" s="279">
        <f t="array" ref="E65">SUM(IF($A65=$Y$5:$Y$43,$C$5:$C$43,0))</f>
        <v>4000000</v>
      </c>
      <c r="F65" s="279">
        <f t="array" ref="F65">SUM(IF($A65=$Y$5:$Y$43,$G$5:$G$43,0))</f>
        <v>160000</v>
      </c>
      <c r="G65" s="279">
        <f t="shared" si="15"/>
        <v>1031416.3216409702</v>
      </c>
      <c r="H65" s="279">
        <f t="shared" si="16"/>
        <v>5031416.3216409702</v>
      </c>
      <c r="I65" s="1736">
        <f t="array" ref="I65">IF(A65&gt;"",SUMPRODUCT((A65=$Y$5:$Y$43)*$E$5:$E$43)/COUNTIF($Y$5:$Y$43,A65),0)</f>
        <v>0.14000000000000001</v>
      </c>
      <c r="J65" s="1755">
        <f t="shared" si="17"/>
        <v>9.3841642228739003E-2</v>
      </c>
      <c r="K65" s="1755">
        <f t="shared" si="18"/>
        <v>1.1200000000000002E-2</v>
      </c>
      <c r="L65" s="1757"/>
      <c r="M65" s="248"/>
      <c r="N65" s="1781"/>
      <c r="O65" s="1781"/>
      <c r="P65" s="1781"/>
      <c r="Q65" s="248"/>
      <c r="R65" s="1781"/>
      <c r="S65" s="1781"/>
      <c r="T65" s="1781"/>
      <c r="U65" s="248"/>
      <c r="V65" s="248"/>
      <c r="W65" s="248"/>
      <c r="X65" s="1743"/>
    </row>
    <row r="66" spans="1:24">
      <c r="A66" s="276" t="str">
        <f t="shared" si="13"/>
        <v>PE006 DCAPP Hotel Ventures LLC</v>
      </c>
      <c r="B66" s="1069"/>
      <c r="C66" s="1070"/>
      <c r="D66" s="278">
        <f t="shared" si="14"/>
        <v>2022</v>
      </c>
      <c r="E66" s="279">
        <f t="array" ref="E66">SUM(IF($A66=$Y$5:$Y$43,$C$5:$C$43,0))</f>
        <v>2000000</v>
      </c>
      <c r="F66" s="279">
        <f t="array" ref="F66">SUM(IF($A66=$Y$5:$Y$43,$G$5:$G$43,0))</f>
        <v>80000</v>
      </c>
      <c r="G66" s="279">
        <f t="shared" si="15"/>
        <v>483034.75699186558</v>
      </c>
      <c r="H66" s="279">
        <f t="shared" si="16"/>
        <v>2483034.7569918656</v>
      </c>
      <c r="I66" s="1736">
        <f t="array" ref="I66">IF(A66&gt;"",SUMPRODUCT((A66=$Y$5:$Y$43)*$E$5:$E$43)/COUNTIF($Y$5:$Y$43,A66),0)</f>
        <v>0.14000000000000001</v>
      </c>
      <c r="J66" s="1755">
        <f t="shared" si="17"/>
        <v>4.6920821114369501E-2</v>
      </c>
      <c r="K66" s="1755">
        <f t="shared" si="18"/>
        <v>5.6000000000000008E-3</v>
      </c>
      <c r="L66" s="276"/>
      <c r="M66" s="248"/>
      <c r="N66" s="1781"/>
      <c r="O66" s="1781"/>
      <c r="P66" s="1781"/>
      <c r="Q66" s="248"/>
      <c r="R66" s="1781"/>
      <c r="S66" s="1781"/>
      <c r="T66" s="1781"/>
      <c r="U66" s="248"/>
      <c r="V66" s="248"/>
      <c r="W66" s="248"/>
      <c r="X66" s="1743"/>
    </row>
    <row r="67" spans="1:24">
      <c r="A67" s="276" t="str">
        <f t="shared" si="13"/>
        <v>PE007 La Pointe Investments LLC</v>
      </c>
      <c r="B67" s="1069"/>
      <c r="C67" s="1070"/>
      <c r="D67" s="278">
        <f t="shared" si="14"/>
        <v>2022</v>
      </c>
      <c r="E67" s="279">
        <f t="array" ref="E67">SUM(IF($A67=$Y$5:$Y$43,$C$5:$C$43,0))</f>
        <v>2500000</v>
      </c>
      <c r="F67" s="279">
        <f t="array" ref="F67">SUM(IF($A67=$Y$5:$Y$43,$G$5:$G$43,0))</f>
        <v>100000</v>
      </c>
      <c r="G67" s="279">
        <f t="shared" si="15"/>
        <v>558318.95531038102</v>
      </c>
      <c r="H67" s="279">
        <f t="shared" si="16"/>
        <v>3058318.955310381</v>
      </c>
      <c r="I67" s="1736">
        <f t="array" ref="I67">IF(A67&gt;"",SUMPRODUCT((A67=$Y$5:$Y$43)*$E$5:$E$43)/COUNTIF($Y$5:$Y$43,A67),0)</f>
        <v>0.125</v>
      </c>
      <c r="J67" s="1755">
        <f t="shared" si="17"/>
        <v>5.865102639296188E-2</v>
      </c>
      <c r="K67" s="1755">
        <f t="shared" si="18"/>
        <v>6.2500000000000003E-3</v>
      </c>
      <c r="L67" s="276"/>
      <c r="M67" s="248"/>
      <c r="N67" s="1781"/>
      <c r="O67" s="1781"/>
      <c r="P67" s="1781"/>
      <c r="Q67" s="248"/>
      <c r="R67" s="1781"/>
      <c r="S67" s="1781"/>
      <c r="T67" s="1781"/>
      <c r="U67" s="248"/>
      <c r="V67" s="248"/>
      <c r="W67" s="248"/>
      <c r="X67" s="1743"/>
    </row>
    <row r="68" spans="1:24">
      <c r="A68" s="276" t="str">
        <f t="shared" si="13"/>
        <v>PE008 La Pointe Investments LLC</v>
      </c>
      <c r="B68" s="1069"/>
      <c r="C68" s="1070"/>
      <c r="D68" s="278">
        <f t="shared" si="14"/>
        <v>2022</v>
      </c>
      <c r="E68" s="279">
        <f t="array" ref="E68">SUM(IF($A68=$Y$5:$Y$43,$C$5:$C$43,0))</f>
        <v>2500000</v>
      </c>
      <c r="F68" s="279">
        <f t="array" ref="F68">SUM(IF($A68=$Y$5:$Y$43,$G$5:$G$43,0))</f>
        <v>100000</v>
      </c>
      <c r="G68" s="279">
        <f t="shared" si="15"/>
        <v>443179.05834655557</v>
      </c>
      <c r="H68" s="279">
        <f t="shared" si="16"/>
        <v>2943179.0583465556</v>
      </c>
      <c r="I68" s="1736">
        <f t="array" ref="I68">IF(A68&gt;"",SUMPRODUCT((A68=$Y$5:$Y$43)*$E$5:$E$43)/COUNTIF($Y$5:$Y$43,A68),0)</f>
        <v>0.125</v>
      </c>
      <c r="J68" s="1755">
        <f t="shared" si="17"/>
        <v>5.865102639296188E-2</v>
      </c>
      <c r="K68" s="1755">
        <f t="shared" si="18"/>
        <v>6.2500000000000003E-3</v>
      </c>
      <c r="L68" s="276"/>
      <c r="M68" s="248"/>
      <c r="N68" s="1781"/>
      <c r="O68" s="1781"/>
      <c r="P68" s="1781"/>
      <c r="Q68" s="248"/>
      <c r="R68" s="1781"/>
      <c r="S68" s="1781"/>
      <c r="T68" s="1781"/>
      <c r="U68" s="248"/>
      <c r="V68" s="248"/>
      <c r="W68" s="248"/>
      <c r="X68" s="1743"/>
    </row>
    <row r="69" spans="1:24">
      <c r="A69" s="276" t="str">
        <f t="shared" si="13"/>
        <v>PE009 La Pointe Investments LLC</v>
      </c>
      <c r="B69" s="1069"/>
      <c r="C69" s="1070"/>
      <c r="D69" s="278">
        <f t="shared" si="14"/>
        <v>2023</v>
      </c>
      <c r="E69" s="279">
        <f t="array" ref="E69">SUM(IF($A69=$Y$5:$Y$43,$C$5:$C$43,0))</f>
        <v>1000000</v>
      </c>
      <c r="F69" s="279">
        <f t="array" ref="F69">SUM(IF($A69=$Y$5:$Y$43,$G$5:$G$43,0))</f>
        <v>40000</v>
      </c>
      <c r="G69" s="279">
        <f t="shared" si="15"/>
        <v>137977.28912768466</v>
      </c>
      <c r="H69" s="279">
        <f t="shared" si="16"/>
        <v>1137977.2891276847</v>
      </c>
      <c r="I69" s="1736">
        <f t="array" ref="I69">IF(A69&gt;"",SUMPRODUCT((A69=$Y$5:$Y$43)*$E$5:$E$43)/COUNTIF($Y$5:$Y$43,A69),0)</f>
        <v>0.125</v>
      </c>
      <c r="J69" s="1755">
        <f t="shared" si="17"/>
        <v>2.3460410557184751E-2</v>
      </c>
      <c r="K69" s="1755">
        <f t="shared" si="18"/>
        <v>2.5000000000000001E-3</v>
      </c>
      <c r="L69" s="276"/>
      <c r="M69" s="248"/>
      <c r="N69" s="1781"/>
      <c r="O69" s="1781"/>
      <c r="P69" s="1781"/>
      <c r="Q69" s="248"/>
      <c r="R69" s="1781"/>
      <c r="S69" s="1781"/>
      <c r="T69" s="1781"/>
      <c r="U69" s="248"/>
      <c r="V69" s="248"/>
      <c r="W69" s="248"/>
      <c r="X69" s="1743"/>
    </row>
    <row r="70" spans="1:24">
      <c r="A70" s="276" t="str">
        <f t="shared" si="13"/>
        <v>PE010 Benjamin Rego Jr.</v>
      </c>
      <c r="B70" s="1069"/>
      <c r="C70" s="1070"/>
      <c r="D70" s="278">
        <f t="shared" si="14"/>
        <v>2022</v>
      </c>
      <c r="E70" s="279">
        <f t="array" ref="E70">SUM(IF($A70=$Y$5:$Y$43,$C$5:$C$43,0))</f>
        <v>450000</v>
      </c>
      <c r="F70" s="279">
        <f t="array" ref="F70">SUM(IF($A70=$Y$5:$Y$43,$G$5:$G$43,0))</f>
        <v>18000</v>
      </c>
      <c r="G70" s="279">
        <f t="shared" si="15"/>
        <v>99917.349915381637</v>
      </c>
      <c r="H70" s="279">
        <f t="shared" si="16"/>
        <v>549917.34991538164</v>
      </c>
      <c r="I70" s="1736">
        <f t="array" ref="I70">IF(A70&gt;"",SUMPRODUCT((A70=$Y$5:$Y$43)*$E$5:$E$43)/COUNTIF($Y$5:$Y$43,A70),0)</f>
        <v>0.1</v>
      </c>
      <c r="J70" s="1755">
        <f t="shared" si="17"/>
        <v>1.0557184750733138E-2</v>
      </c>
      <c r="K70" s="1755">
        <f t="shared" si="18"/>
        <v>9.0000000000000008E-4</v>
      </c>
      <c r="L70" s="276"/>
      <c r="M70" s="248"/>
      <c r="N70" s="1781"/>
      <c r="O70" s="1781"/>
      <c r="P70" s="1781"/>
      <c r="Q70" s="248"/>
      <c r="R70" s="1781"/>
      <c r="S70" s="1781"/>
      <c r="T70" s="1781"/>
      <c r="U70" s="248"/>
      <c r="V70" s="248"/>
      <c r="W70" s="248"/>
      <c r="X70" s="1743"/>
    </row>
    <row r="71" spans="1:24">
      <c r="A71" s="276" t="str">
        <f t="shared" si="13"/>
        <v>PE011 Benjamin Rego Jr.</v>
      </c>
      <c r="B71" s="1069"/>
      <c r="C71" s="1070"/>
      <c r="D71" s="278">
        <f t="shared" si="14"/>
        <v>2022</v>
      </c>
      <c r="E71" s="279">
        <f t="array" ref="E71">SUM(IF($A71=$Y$5:$Y$43,$C$5:$C$43,0))</f>
        <v>50000</v>
      </c>
      <c r="F71" s="279">
        <f t="array" ref="F71">SUM(IF($A71=$Y$5:$Y$43,$G$5:$G$43,0))</f>
        <v>2000</v>
      </c>
      <c r="G71" s="279">
        <f t="shared" si="15"/>
        <v>11089.045652626322</v>
      </c>
      <c r="H71" s="279">
        <f t="shared" si="16"/>
        <v>61089.045652626322</v>
      </c>
      <c r="I71" s="1736">
        <f t="array" ref="I71">IF(A71&gt;"",SUMPRODUCT((A71=$Y$5:$Y$43)*$E$5:$E$43)/COUNTIF($Y$5:$Y$43,A71),0)</f>
        <v>0.1</v>
      </c>
      <c r="J71" s="1755">
        <f t="shared" si="17"/>
        <v>1.1730205278592375E-3</v>
      </c>
      <c r="K71" s="1755">
        <f t="shared" si="18"/>
        <v>1E-4</v>
      </c>
      <c r="L71" s="276"/>
      <c r="M71" s="248"/>
      <c r="N71" s="1786"/>
      <c r="O71" s="1798"/>
      <c r="P71" s="1781"/>
      <c r="Q71" s="248"/>
      <c r="R71" s="1781"/>
      <c r="S71" s="1781"/>
      <c r="T71" s="1781"/>
      <c r="U71" s="248"/>
      <c r="V71" s="248"/>
      <c r="W71" s="248"/>
      <c r="X71" s="1743"/>
    </row>
    <row r="72" spans="1:24">
      <c r="A72" s="276" t="str">
        <f t="shared" si="13"/>
        <v>PE012 Benjamin Rego Jr._1</v>
      </c>
      <c r="B72" s="1069"/>
      <c r="C72" s="1070"/>
      <c r="D72" s="278">
        <f t="shared" si="14"/>
        <v>2023</v>
      </c>
      <c r="E72" s="279">
        <f t="array" ref="E72">SUM(IF($A72=$Y$5:$Y$43,$C$5:$C$43,0))</f>
        <v>100000</v>
      </c>
      <c r="F72" s="279">
        <f t="array" ref="F72">SUM(IF($A72=$Y$5:$Y$43,$G$5:$G$43,0))</f>
        <v>4000</v>
      </c>
      <c r="G72" s="279">
        <f t="shared" si="15"/>
        <v>13510.158901180723</v>
      </c>
      <c r="H72" s="279">
        <f t="shared" si="16"/>
        <v>113510.15890118072</v>
      </c>
      <c r="I72" s="1736">
        <f t="array" ref="I72">IF(A72&gt;"",SUMPRODUCT((A72=$Y$5:$Y$43)*$E$5:$E$43)/COUNTIF($Y$5:$Y$43,A72),0)</f>
        <v>5.2999999999999999E-2</v>
      </c>
      <c r="J72" s="1755">
        <f t="shared" si="17"/>
        <v>2.3460410557184751E-3</v>
      </c>
      <c r="K72" s="1755">
        <f t="shared" si="18"/>
        <v>1.06E-4</v>
      </c>
      <c r="L72" s="276"/>
      <c r="M72" s="248"/>
      <c r="N72" s="1786"/>
      <c r="O72" s="1781"/>
      <c r="P72" s="1781"/>
      <c r="Q72" s="248"/>
      <c r="R72" s="1781"/>
      <c r="S72" s="1781"/>
      <c r="T72" s="1781"/>
      <c r="U72" s="248"/>
      <c r="V72" s="248"/>
      <c r="W72" s="248"/>
      <c r="X72" s="1743"/>
    </row>
    <row r="73" spans="1:24">
      <c r="A73" s="276" t="str">
        <f t="shared" si="13"/>
        <v>PE013 Benjamin Rego Jr._1</v>
      </c>
      <c r="B73" s="1069"/>
      <c r="C73" s="1070"/>
      <c r="D73" s="278">
        <f t="shared" si="14"/>
        <v>2023</v>
      </c>
      <c r="E73" s="279">
        <f t="array" ref="E73">SUM(IF($A73=$Y$5:$Y$43,$C$5:$C$43,0))</f>
        <v>300000</v>
      </c>
      <c r="F73" s="279">
        <f t="array" ref="F73">SUM(IF($A73=$Y$5:$Y$43,$G$5:$G$43,0))</f>
        <v>12000</v>
      </c>
      <c r="G73" s="279">
        <f t="shared" si="15"/>
        <v>40315.140049688227</v>
      </c>
      <c r="H73" s="279">
        <f t="shared" si="16"/>
        <v>340315.14004968823</v>
      </c>
      <c r="I73" s="1736">
        <f t="array" ref="I73">IF(A73&gt;"",SUMPRODUCT((A73=$Y$5:$Y$43)*$E$5:$E$43)/COUNTIF($Y$5:$Y$43,A73),0)</f>
        <v>5.2999999999999999E-2</v>
      </c>
      <c r="J73" s="1755">
        <f t="shared" si="17"/>
        <v>7.0381231671554252E-3</v>
      </c>
      <c r="K73" s="1755">
        <f t="shared" si="18"/>
        <v>3.1799999999999998E-4</v>
      </c>
      <c r="L73" s="276"/>
      <c r="M73" s="248"/>
      <c r="N73" s="1786"/>
      <c r="O73" s="1781"/>
      <c r="P73" s="1781"/>
      <c r="Q73" s="248"/>
      <c r="R73" s="1781"/>
      <c r="S73" s="1781"/>
      <c r="T73" s="1781"/>
      <c r="U73" s="248"/>
      <c r="V73" s="248"/>
      <c r="W73" s="248"/>
      <c r="X73" s="1743"/>
    </row>
    <row r="74" spans="1:24">
      <c r="A74" s="276" t="str">
        <f t="shared" si="13"/>
        <v>PE014 Benjamin Rego Jr._1</v>
      </c>
      <c r="B74" s="1069"/>
      <c r="C74" s="1070"/>
      <c r="D74" s="278">
        <f t="shared" si="14"/>
        <v>2023</v>
      </c>
      <c r="E74" s="279">
        <f t="array" ref="E74">SUM(IF($A74=$Y$5:$Y$43,$C$5:$C$43,0))</f>
        <v>600000</v>
      </c>
      <c r="F74" s="279">
        <f t="array" ref="F74">SUM(IF($A74=$Y$5:$Y$43,$G$5:$G$43,0))</f>
        <v>24000</v>
      </c>
      <c r="G74" s="279">
        <f t="shared" si="15"/>
        <v>80199.879130725982</v>
      </c>
      <c r="H74" s="279">
        <f t="shared" si="16"/>
        <v>680199.87913072598</v>
      </c>
      <c r="I74" s="1736">
        <f t="array" ref="I74">IF(A74&gt;"",SUMPRODUCT((A74=$Y$5:$Y$43)*$E$5:$E$43)/COUNTIF($Y$5:$Y$43,A74),0)</f>
        <v>5.2999999999999999E-2</v>
      </c>
      <c r="J74" s="1755">
        <f t="shared" si="17"/>
        <v>1.407624633431085E-2</v>
      </c>
      <c r="K74" s="1755">
        <f t="shared" si="18"/>
        <v>6.3599999999999996E-4</v>
      </c>
      <c r="L74" s="276"/>
      <c r="M74" s="248"/>
      <c r="N74" s="1781"/>
      <c r="O74" s="1781"/>
      <c r="P74" s="1781"/>
      <c r="Q74" s="248"/>
      <c r="R74" s="1781"/>
      <c r="S74" s="1781"/>
      <c r="T74" s="1781"/>
      <c r="U74" s="248"/>
      <c r="V74" s="248"/>
      <c r="W74" s="248"/>
      <c r="X74" s="1743"/>
    </row>
    <row r="75" spans="1:24">
      <c r="A75" s="276" t="str">
        <f t="shared" si="13"/>
        <v>PE015 LBCW Holdings, LP</v>
      </c>
      <c r="B75" s="1069"/>
      <c r="C75" s="1070"/>
      <c r="D75" s="278">
        <f t="shared" si="14"/>
        <v>2022</v>
      </c>
      <c r="E75" s="279">
        <f t="array" ref="E75">SUM(IF($A75=$Y$5:$Y$43,$C$5:$C$43,0))</f>
        <v>500000</v>
      </c>
      <c r="F75" s="279">
        <f t="array" ref="F75">SUM(IF($A75=$Y$5:$Y$43,$G$5:$G$43,0))</f>
        <v>20000</v>
      </c>
      <c r="G75" s="279">
        <f t="shared" si="15"/>
        <v>110761.66252812603</v>
      </c>
      <c r="H75" s="279">
        <f t="shared" si="16"/>
        <v>610761.66252812603</v>
      </c>
      <c r="I75" s="1736">
        <f t="array" ref="I75">IF(A75&gt;"",SUMPRODUCT((A75=$Y$5:$Y$43)*$E$5:$E$43)/COUNTIF($Y$5:$Y$43,A75),0)</f>
        <v>0.1</v>
      </c>
      <c r="J75" s="1755">
        <f t="shared" si="17"/>
        <v>1.1730205278592375E-2</v>
      </c>
      <c r="K75" s="1755">
        <f t="shared" si="18"/>
        <v>1E-3</v>
      </c>
      <c r="L75" s="276"/>
      <c r="M75" s="248"/>
      <c r="N75" s="1781"/>
      <c r="O75" s="1781"/>
      <c r="P75" s="1781"/>
      <c r="Q75" s="248"/>
      <c r="R75" s="1781"/>
      <c r="S75" s="1781"/>
      <c r="T75" s="1781"/>
      <c r="U75" s="248"/>
      <c r="V75" s="248"/>
      <c r="W75" s="248"/>
      <c r="X75" s="1743"/>
    </row>
    <row r="76" spans="1:24">
      <c r="A76" s="276" t="str">
        <f t="shared" si="13"/>
        <v>PE016 LBCW Holdings, LP</v>
      </c>
      <c r="B76" s="1069"/>
      <c r="C76" s="1070"/>
      <c r="D76" s="278">
        <f t="shared" si="14"/>
        <v>2022</v>
      </c>
      <c r="E76" s="279">
        <f t="array" ref="E76">SUM(IF($A76=$Y$5:$Y$43,$C$5:$C$43,0))</f>
        <v>500000</v>
      </c>
      <c r="F76" s="279">
        <f t="array" ref="F76">SUM(IF($A76=$Y$5:$Y$43,$G$5:$G$43,0))</f>
        <v>20000</v>
      </c>
      <c r="G76" s="279">
        <f t="shared" si="15"/>
        <v>102194.03470032592</v>
      </c>
      <c r="H76" s="279">
        <f t="shared" si="16"/>
        <v>602194.03470032592</v>
      </c>
      <c r="I76" s="1736">
        <f t="array" ref="I76">IF(A76&gt;"",SUMPRODUCT((A76=$Y$5:$Y$43)*$E$5:$E$43)/COUNTIF($Y$5:$Y$43,A76),0)</f>
        <v>0.1</v>
      </c>
      <c r="J76" s="1755">
        <f t="shared" si="17"/>
        <v>1.1730205278592375E-2</v>
      </c>
      <c r="K76" s="1755">
        <f t="shared" si="18"/>
        <v>1E-3</v>
      </c>
      <c r="L76" s="276"/>
      <c r="M76" s="248"/>
      <c r="N76" s="1781"/>
      <c r="O76" s="1781"/>
      <c r="P76" s="1781"/>
      <c r="Q76" s="248"/>
      <c r="R76" s="1781"/>
      <c r="S76" s="1781"/>
      <c r="T76" s="1781"/>
      <c r="U76" s="248"/>
      <c r="V76" s="248"/>
      <c r="W76" s="248"/>
      <c r="X76" s="1743"/>
    </row>
    <row r="77" spans="1:24">
      <c r="A77" s="276" t="str">
        <f t="shared" si="13"/>
        <v>PE017 Arbor Green II LP</v>
      </c>
      <c r="B77" s="1069"/>
      <c r="C77" s="1070"/>
      <c r="D77" s="278">
        <f t="shared" si="14"/>
        <v>2022</v>
      </c>
      <c r="E77" s="279">
        <f t="array" ref="E77">SUM(IF($A77=$Y$5:$Y$43,$C$5:$C$43,0))</f>
        <v>1000000</v>
      </c>
      <c r="F77" s="279">
        <f t="array" ref="F77">SUM(IF($A77=$Y$5:$Y$43,$G$5:$G$43,0))</f>
        <v>40000</v>
      </c>
      <c r="G77" s="279">
        <f t="shared" si="15"/>
        <v>179010.51821166952</v>
      </c>
      <c r="H77" s="279">
        <f t="shared" si="16"/>
        <v>1179010.5182116695</v>
      </c>
      <c r="I77" s="1736">
        <f t="array" ref="I77">IF(A77&gt;"",SUMPRODUCT((A77=$Y$5:$Y$43)*$E$5:$E$43)/COUNTIF($Y$5:$Y$43,A77),0)</f>
        <v>0.1</v>
      </c>
      <c r="J77" s="1755">
        <f t="shared" si="17"/>
        <v>2.3460410557184751E-2</v>
      </c>
      <c r="K77" s="1755">
        <f t="shared" si="18"/>
        <v>2E-3</v>
      </c>
      <c r="L77" s="276"/>
      <c r="M77" s="248"/>
      <c r="N77" s="1781"/>
      <c r="O77" s="1781"/>
      <c r="P77" s="1781"/>
      <c r="Q77" s="248"/>
      <c r="R77" s="1781"/>
      <c r="S77" s="1781"/>
      <c r="T77" s="1781"/>
      <c r="U77" s="248"/>
      <c r="V77" s="248"/>
      <c r="W77" s="248"/>
      <c r="X77" s="1743"/>
    </row>
    <row r="78" spans="1:24">
      <c r="A78" s="276" t="str">
        <f t="shared" si="13"/>
        <v>PE018 Todd &amp; Stephanie Routh</v>
      </c>
      <c r="B78" s="1069"/>
      <c r="C78" s="1070"/>
      <c r="D78" s="278">
        <f t="shared" si="14"/>
        <v>2022</v>
      </c>
      <c r="E78" s="279">
        <f t="array" ref="E78">SUM(IF($A78=$Y$5:$Y$43,$C$5:$C$43,0))</f>
        <v>325000</v>
      </c>
      <c r="F78" s="279">
        <f t="array" ref="F78">SUM(IF($A78=$Y$5:$Y$43,$G$5:$G$43,0))</f>
        <v>13000</v>
      </c>
      <c r="G78" s="279">
        <f t="shared" si="15"/>
        <v>57613.277585052245</v>
      </c>
      <c r="H78" s="279">
        <f t="shared" si="16"/>
        <v>382613.27758505224</v>
      </c>
      <c r="I78" s="1736">
        <f t="array" ref="I78">IF(A78&gt;"",SUMPRODUCT((A78=$Y$5:$Y$43)*$E$5:$E$43)/COUNTIF($Y$5:$Y$43,A78),0)</f>
        <v>0.1</v>
      </c>
      <c r="J78" s="1755">
        <f t="shared" si="17"/>
        <v>7.624633431085044E-3</v>
      </c>
      <c r="K78" s="1755">
        <f t="shared" si="18"/>
        <v>6.5000000000000008E-4</v>
      </c>
      <c r="L78" s="276"/>
      <c r="M78" s="248"/>
      <c r="N78" s="1781"/>
      <c r="O78" s="1781"/>
      <c r="P78" s="1781"/>
      <c r="Q78" s="248"/>
      <c r="R78" s="1781"/>
      <c r="S78" s="1781"/>
      <c r="T78" s="1781"/>
      <c r="U78" s="248"/>
      <c r="V78" s="248"/>
      <c r="W78" s="248"/>
      <c r="X78" s="1743"/>
    </row>
    <row r="79" spans="1:24">
      <c r="A79" s="276" t="str">
        <f t="shared" si="13"/>
        <v>PE019 Todd &amp; Stephanie Routh</v>
      </c>
      <c r="B79" s="1069"/>
      <c r="C79" s="1070"/>
      <c r="D79" s="278">
        <f t="shared" si="14"/>
        <v>2022</v>
      </c>
      <c r="E79" s="279">
        <f t="array" ref="E79">SUM(IF($A79=$Y$5:$Y$43,$C$5:$C$43,0))</f>
        <v>100000</v>
      </c>
      <c r="F79" s="279">
        <f t="array" ref="F79">SUM(IF($A79=$Y$5:$Y$43,$G$5:$G$43,0))</f>
        <v>4000</v>
      </c>
      <c r="G79" s="279">
        <f t="shared" si="15"/>
        <v>17727.162333862216</v>
      </c>
      <c r="H79" s="279">
        <f t="shared" si="16"/>
        <v>117727.16233386222</v>
      </c>
      <c r="I79" s="1736">
        <f t="array" ref="I79">IF(A79&gt;"",SUMPRODUCT((A79=$Y$5:$Y$43)*$E$5:$E$43)/COUNTIF($Y$5:$Y$43,A79),0)</f>
        <v>0.1</v>
      </c>
      <c r="J79" s="1755">
        <f t="shared" si="17"/>
        <v>2.3460410557184751E-3</v>
      </c>
      <c r="K79" s="1755">
        <f t="shared" si="18"/>
        <v>2.0000000000000001E-4</v>
      </c>
      <c r="L79" s="276"/>
      <c r="M79" s="248"/>
      <c r="N79" s="1781"/>
      <c r="O79" s="1781"/>
      <c r="P79" s="1781"/>
      <c r="Q79" s="248"/>
      <c r="R79" s="1781"/>
      <c r="S79" s="1781"/>
      <c r="T79" s="1781"/>
      <c r="U79" s="248"/>
      <c r="V79" s="248"/>
      <c r="W79" s="248"/>
      <c r="X79" s="1743"/>
    </row>
    <row r="80" spans="1:24">
      <c r="A80" s="276" t="str">
        <f t="shared" si="13"/>
        <v>PE020 Todd &amp; Stephanie Routh</v>
      </c>
      <c r="B80" s="1069"/>
      <c r="C80" s="1070"/>
      <c r="D80" s="278">
        <f t="shared" si="14"/>
        <v>2022</v>
      </c>
      <c r="E80" s="279">
        <f t="array" ref="E80">SUM(IF($A80=$Y$5:$Y$43,$C$5:$C$43,0))</f>
        <v>575000</v>
      </c>
      <c r="F80" s="279">
        <f t="array" ref="F80">SUM(IF($A80=$Y$5:$Y$43,$G$5:$G$43,0))</f>
        <v>23000</v>
      </c>
      <c r="G80" s="279">
        <f t="shared" si="15"/>
        <v>98798.342307199258</v>
      </c>
      <c r="H80" s="279">
        <f t="shared" si="16"/>
        <v>673798.34230719926</v>
      </c>
      <c r="I80" s="1736">
        <f t="array" ref="I80">IF(A80&gt;"",SUMPRODUCT((A80=$Y$5:$Y$43)*$E$5:$E$43)/COUNTIF($Y$5:$Y$43,A80),0)</f>
        <v>0.1</v>
      </c>
      <c r="J80" s="1755">
        <f t="shared" si="17"/>
        <v>1.3489736070381233E-2</v>
      </c>
      <c r="K80" s="1755">
        <f t="shared" si="18"/>
        <v>1.1500000000000002E-3</v>
      </c>
      <c r="L80" s="276"/>
      <c r="M80" s="248"/>
      <c r="N80" s="1781"/>
      <c r="O80" s="1781"/>
      <c r="P80" s="1781"/>
      <c r="Q80" s="248"/>
      <c r="R80" s="1781"/>
      <c r="S80" s="1781"/>
      <c r="T80" s="1781"/>
      <c r="U80" s="248"/>
      <c r="V80" s="248"/>
      <c r="W80" s="248"/>
      <c r="X80" s="1743"/>
    </row>
    <row r="81" spans="1:24">
      <c r="A81" s="276" t="str">
        <f t="shared" si="13"/>
        <v>PE021 Todd &amp; Stephanie Routh</v>
      </c>
      <c r="B81" s="1069"/>
      <c r="C81" s="1070"/>
      <c r="D81" s="278">
        <f t="shared" si="14"/>
        <v>2022</v>
      </c>
      <c r="E81" s="279">
        <f t="array" ref="E81">SUM(IF($A81=$Y$5:$Y$43,$C$5:$C$43,0))</f>
        <v>1000000</v>
      </c>
      <c r="F81" s="279">
        <f t="array" ref="F81">SUM(IF($A81=$Y$5:$Y$43,$G$5:$G$43,0))</f>
        <v>40000</v>
      </c>
      <c r="G81" s="279">
        <f t="shared" si="15"/>
        <v>205912.7206349906</v>
      </c>
      <c r="H81" s="279">
        <f t="shared" si="16"/>
        <v>1205912.7206349906</v>
      </c>
      <c r="I81" s="1736">
        <f t="array" ref="I81">IF(A81&gt;"",SUMPRODUCT((A81=$Y$5:$Y$43)*$E$5:$E$43)/COUNTIF($Y$5:$Y$43,A81),0)</f>
        <v>0.1</v>
      </c>
      <c r="J81" s="1755">
        <f t="shared" si="17"/>
        <v>2.3460410557184751E-2</v>
      </c>
      <c r="K81" s="1755">
        <f t="shared" si="18"/>
        <v>2E-3</v>
      </c>
      <c r="L81" s="276"/>
      <c r="M81" s="248"/>
      <c r="N81" s="1781"/>
      <c r="O81" s="1781"/>
      <c r="P81" s="1781"/>
      <c r="Q81" s="248"/>
      <c r="R81" s="1781"/>
      <c r="S81" s="1781"/>
      <c r="T81" s="1781"/>
      <c r="U81" s="248"/>
      <c r="V81" s="248"/>
      <c r="W81" s="248"/>
      <c r="X81" s="1743"/>
    </row>
    <row r="82" spans="1:24">
      <c r="A82" s="276" t="str">
        <f t="shared" si="13"/>
        <v>PE022 Huston Street</v>
      </c>
      <c r="B82" s="1069"/>
      <c r="C82" s="1070"/>
      <c r="D82" s="278">
        <f t="shared" si="14"/>
        <v>2022</v>
      </c>
      <c r="E82" s="279">
        <f t="array" ref="E82">SUM(IF($A82=$Y$5:$Y$43,$C$5:$C$43,0))</f>
        <v>1000000</v>
      </c>
      <c r="F82" s="279">
        <f t="array" ref="F82">SUM(IF($A82=$Y$5:$Y$43,$G$5:$G$43,0))</f>
        <v>40000</v>
      </c>
      <c r="G82" s="279">
        <f t="shared" si="15"/>
        <v>171823.20401252038</v>
      </c>
      <c r="H82" s="279">
        <f t="shared" si="16"/>
        <v>1171823.2040125204</v>
      </c>
      <c r="I82" s="1736">
        <f t="array" ref="I82">IF(A82&gt;"",SUMPRODUCT((A82=$Y$5:$Y$43)*$E$5:$E$43)/COUNTIF($Y$5:$Y$43,A82),0)</f>
        <v>0.1</v>
      </c>
      <c r="J82" s="1755">
        <f t="shared" si="17"/>
        <v>2.3460410557184751E-2</v>
      </c>
      <c r="K82" s="1755">
        <f t="shared" si="18"/>
        <v>2E-3</v>
      </c>
      <c r="L82" s="276"/>
      <c r="M82" s="248"/>
      <c r="N82" s="1781"/>
      <c r="O82" s="1781"/>
      <c r="P82" s="1781"/>
      <c r="Q82" s="248"/>
      <c r="R82" s="1781"/>
      <c r="S82" s="1781"/>
      <c r="T82" s="1781"/>
      <c r="U82" s="248"/>
      <c r="V82" s="248"/>
      <c r="W82" s="248"/>
      <c r="X82" s="1743"/>
    </row>
    <row r="83" spans="1:24">
      <c r="A83" s="276" t="str">
        <f t="shared" si="13"/>
        <v>PE023 Bruner Interests LLC</v>
      </c>
      <c r="B83" s="1069"/>
      <c r="C83" s="1070"/>
      <c r="D83" s="278">
        <f t="shared" si="14"/>
        <v>2023</v>
      </c>
      <c r="E83" s="279">
        <f t="array" ref="E83">SUM(IF($A83=$Y$5:$Y$43,$C$5:$C$43,0))</f>
        <v>500000</v>
      </c>
      <c r="F83" s="279">
        <f t="array" ref="F83">SUM(IF($A83=$Y$5:$Y$43,$G$5:$G$43,0))</f>
        <v>20000</v>
      </c>
      <c r="G83" s="279">
        <f t="shared" si="15"/>
        <v>75140.257787869545</v>
      </c>
      <c r="H83" s="279">
        <f t="shared" si="16"/>
        <v>575140.25778786954</v>
      </c>
      <c r="I83" s="1736">
        <f t="array" ref="I83">IF(A83&gt;"",SUMPRODUCT((A83=$Y$5:$Y$43)*$E$5:$E$43)/COUNTIF($Y$5:$Y$43,A83),0)</f>
        <v>5.2999999999999999E-2</v>
      </c>
      <c r="J83" s="1755">
        <f t="shared" si="17"/>
        <v>1.1730205278592375E-2</v>
      </c>
      <c r="K83" s="1755">
        <f t="shared" si="18"/>
        <v>5.2999999999999998E-4</v>
      </c>
      <c r="L83" s="276"/>
      <c r="M83" s="248"/>
      <c r="N83" s="1781"/>
      <c r="O83" s="1781"/>
      <c r="P83" s="1781"/>
      <c r="Q83" s="248"/>
      <c r="R83" s="1781"/>
      <c r="S83" s="1781"/>
      <c r="T83" s="1781"/>
      <c r="U83" s="248"/>
      <c r="V83" s="248"/>
      <c r="W83" s="248"/>
      <c r="X83" s="1743"/>
    </row>
    <row r="84" spans="1:24">
      <c r="A84" s="276" t="str">
        <f t="shared" si="13"/>
        <v>PE024 Bruner Interests LLC</v>
      </c>
      <c r="B84" s="1069"/>
      <c r="C84" s="1070"/>
      <c r="D84" s="278">
        <f t="shared" si="14"/>
        <v>2024</v>
      </c>
      <c r="E84" s="279">
        <f t="array" ref="E84">SUM(IF($A84=$Y$5:$Y$43,$C$5:$C$43,0))</f>
        <v>125000</v>
      </c>
      <c r="F84" s="279">
        <f t="array" ref="F84">SUM(IF($A84=$Y$5:$Y$43,$G$5:$G$43,0))</f>
        <v>5000</v>
      </c>
      <c r="G84" s="279">
        <f t="shared" si="15"/>
        <v>6211.3964372542105</v>
      </c>
      <c r="H84" s="279">
        <f t="shared" si="16"/>
        <v>131211.39643725421</v>
      </c>
      <c r="I84" s="1736">
        <f t="array" ref="I84">IF(A84&gt;"",SUMPRODUCT((A84=$Y$5:$Y$43)*$E$5:$E$43)/COUNTIF($Y$5:$Y$43,A84),0)</f>
        <v>5.2999999999999999E-2</v>
      </c>
      <c r="J84" s="1755">
        <f t="shared" si="17"/>
        <v>2.9325513196480938E-3</v>
      </c>
      <c r="K84" s="1755">
        <f t="shared" si="18"/>
        <v>1.325E-4</v>
      </c>
      <c r="L84" s="276"/>
      <c r="M84" s="248"/>
      <c r="N84" s="1781"/>
      <c r="O84" s="1781"/>
      <c r="P84" s="1781"/>
      <c r="Q84" s="248"/>
      <c r="R84" s="1781"/>
      <c r="S84" s="1781"/>
      <c r="T84" s="1781"/>
      <c r="U84" s="248"/>
      <c r="V84" s="248"/>
      <c r="W84" s="248"/>
      <c r="X84" s="1743"/>
    </row>
    <row r="85" spans="1:24">
      <c r="A85" s="276" t="str">
        <f t="shared" si="13"/>
        <v>PE025 Sandollar Holdings Limited</v>
      </c>
      <c r="B85" s="1069"/>
      <c r="C85" s="1070"/>
      <c r="D85" s="278">
        <f t="shared" si="14"/>
        <v>2024</v>
      </c>
      <c r="E85" s="279">
        <f t="array" ref="E85">SUM(IF($A85=$Y$5:$Y$43,$C$5:$C$43,0))</f>
        <v>250000</v>
      </c>
      <c r="F85" s="279">
        <f t="array" ref="F85">SUM(IF($A85=$Y$5:$Y$43,$G$5:$G$43,0))</f>
        <v>10000</v>
      </c>
      <c r="G85" s="279">
        <f t="shared" si="15"/>
        <v>6460.3393220201251</v>
      </c>
      <c r="H85" s="279">
        <f t="shared" si="16"/>
        <v>256460.33932202013</v>
      </c>
      <c r="I85" s="1736">
        <f t="array" ref="I85">IF(A85&gt;"",SUMPRODUCT((A85=$Y$5:$Y$43)*$E$5:$E$43)/COUNTIF($Y$5:$Y$43,A85),0)</f>
        <v>5.2999999999999999E-2</v>
      </c>
      <c r="J85" s="1755">
        <f t="shared" si="17"/>
        <v>5.8651026392961877E-3</v>
      </c>
      <c r="K85" s="1755">
        <f t="shared" si="18"/>
        <v>2.6499999999999999E-4</v>
      </c>
      <c r="L85" s="276"/>
      <c r="M85" s="248"/>
      <c r="N85" s="1781"/>
      <c r="O85" s="1781"/>
      <c r="P85" s="1781"/>
      <c r="Q85" s="248"/>
      <c r="R85" s="1781"/>
      <c r="S85" s="1781"/>
      <c r="T85" s="1781"/>
      <c r="U85" s="248"/>
      <c r="V85" s="248"/>
      <c r="W85" s="248"/>
      <c r="X85" s="1743"/>
    </row>
    <row r="86" spans="1:24">
      <c r="A86" s="276" t="str">
        <f t="shared" si="13"/>
        <v>PE026 James Neuhauser (Jim)</v>
      </c>
      <c r="B86" s="1069"/>
      <c r="C86" s="1070"/>
      <c r="D86" s="278">
        <f t="shared" si="14"/>
        <v>2024</v>
      </c>
      <c r="E86" s="279">
        <f t="array" ref="E86">SUM(IF($A86=$Y$5:$Y$43,$C$5:$C$43,0))</f>
        <v>250000</v>
      </c>
      <c r="F86" s="279">
        <f t="array" ref="F86">SUM(IF($A86=$Y$5:$Y$43,$G$5:$G$43,0))</f>
        <v>10000</v>
      </c>
      <c r="G86" s="279">
        <f t="shared" si="15"/>
        <v>6460.3393220201251</v>
      </c>
      <c r="H86" s="279">
        <f t="shared" si="16"/>
        <v>256460.33932202013</v>
      </c>
      <c r="I86" s="1736">
        <f t="array" ref="I86">IF(A86&gt;"",SUMPRODUCT((A86=$Y$5:$Y$43)*$E$5:$E$43)/COUNTIF($Y$5:$Y$43,A86),0)</f>
        <v>5.2999999999999999E-2</v>
      </c>
      <c r="J86" s="1755">
        <f t="shared" si="17"/>
        <v>5.8651026392961877E-3</v>
      </c>
      <c r="K86" s="1755">
        <f t="shared" si="18"/>
        <v>2.6499999999999999E-4</v>
      </c>
      <c r="L86" s="276"/>
      <c r="M86" s="248"/>
      <c r="N86" s="1781"/>
      <c r="O86" s="1781"/>
      <c r="P86" s="1781"/>
      <c r="Q86" s="248"/>
      <c r="R86" s="1781"/>
      <c r="S86" s="1781"/>
      <c r="T86" s="1781"/>
      <c r="U86" s="248"/>
      <c r="V86" s="248"/>
      <c r="W86" s="248"/>
      <c r="X86" s="1743"/>
    </row>
    <row r="87" spans="1:24">
      <c r="A87" s="276" t="str">
        <f t="shared" si="13"/>
        <v>PE027 PFNGT LLC_side letter part % adj.</v>
      </c>
      <c r="B87" s="1069"/>
      <c r="C87" s="1070"/>
      <c r="D87" s="278">
        <f t="shared" si="14"/>
        <v>2024</v>
      </c>
      <c r="E87" s="279">
        <f t="array" ref="E87">SUM(IF($A87=$Y$5:$Y$43,$C$5:$C$43,0))</f>
        <v>0</v>
      </c>
      <c r="F87" s="279">
        <f t="array" ref="F87">SUM(IF($A87=$Y$5:$Y$43,$G$5:$G$43,0))</f>
        <v>200000</v>
      </c>
      <c r="G87" s="279">
        <f t="shared" si="15"/>
        <v>0</v>
      </c>
      <c r="H87" s="279">
        <f t="shared" si="16"/>
        <v>0</v>
      </c>
      <c r="I87" s="1736">
        <f t="array" ref="I87">IF(A87&gt;"",SUMPRODUCT((A87=$Y$5:$Y$43)*$E$5:$E$43)/COUNTIF($Y$5:$Y$43,A87),0)</f>
        <v>2.5</v>
      </c>
      <c r="J87" s="1755">
        <f t="shared" si="17"/>
        <v>0.11730205278592376</v>
      </c>
      <c r="K87" s="1755">
        <f t="shared" si="18"/>
        <v>0.25</v>
      </c>
      <c r="L87" s="276"/>
      <c r="M87" s="248"/>
      <c r="N87" s="1781"/>
      <c r="O87" s="1781"/>
      <c r="P87" s="1781"/>
      <c r="Q87" s="248"/>
      <c r="R87" s="1781"/>
      <c r="S87" s="1781"/>
      <c r="T87" s="1781"/>
      <c r="U87" s="248"/>
      <c r="V87" s="248"/>
      <c r="W87" s="248"/>
      <c r="X87" s="1743"/>
    </row>
    <row r="88" spans="1:24">
      <c r="A88" s="276" t="str">
        <f t="shared" si="13"/>
        <v>PE028 La Pointe Investments LLC</v>
      </c>
      <c r="B88" s="1069"/>
      <c r="C88" s="1070"/>
      <c r="D88" s="278">
        <f t="shared" si="14"/>
        <v>2024</v>
      </c>
      <c r="E88" s="279">
        <f t="array" ref="E88">SUM(IF($A88=$Y$5:$Y$43,$C$5:$C$43,0))</f>
        <v>4000000</v>
      </c>
      <c r="F88" s="279">
        <f t="array" ref="F88">SUM(IF($A88=$Y$5:$Y$43,$G$5:$G$43,0))</f>
        <v>160000</v>
      </c>
      <c r="G88" s="279">
        <f t="shared" si="15"/>
        <v>69760.851384647656</v>
      </c>
      <c r="H88" s="279">
        <f t="shared" si="16"/>
        <v>4069760.8513846477</v>
      </c>
      <c r="I88" s="1736">
        <f t="array" ref="I88">IF(A88&gt;"",SUMPRODUCT((A88=$Y$5:$Y$43)*$E$5:$E$43)/COUNTIF($Y$5:$Y$43,A88),0)</f>
        <v>0.125</v>
      </c>
      <c r="J88" s="1755">
        <f t="shared" si="17"/>
        <v>9.3841642228739003E-2</v>
      </c>
      <c r="K88" s="1755">
        <f t="shared" si="18"/>
        <v>0.01</v>
      </c>
      <c r="L88" s="276"/>
      <c r="M88" s="248"/>
      <c r="N88" s="1781"/>
      <c r="O88" s="1781"/>
      <c r="P88" s="1781"/>
      <c r="Q88" s="248"/>
      <c r="R88" s="1781"/>
      <c r="S88" s="1781"/>
      <c r="T88" s="1781"/>
      <c r="U88" s="248"/>
      <c r="V88" s="248"/>
      <c r="W88" s="248"/>
      <c r="X88" s="1743"/>
    </row>
    <row r="89" spans="1:24">
      <c r="A89" s="276" t="str">
        <f t="shared" si="13"/>
        <v>PE029 La Pointe Investments LLC</v>
      </c>
      <c r="B89" s="1069"/>
      <c r="C89" s="1070"/>
      <c r="D89" s="278">
        <f t="shared" si="14"/>
        <v>2024</v>
      </c>
      <c r="E89" s="279">
        <f t="array" ref="E89">SUM(IF($A89=$Y$5:$Y$43,$C$5:$C$43,0))</f>
        <v>4000000</v>
      </c>
      <c r="F89" s="279">
        <f t="array" ref="F89">SUM(IF($A89=$Y$5:$Y$43,$G$5:$G$43,0))</f>
        <v>160000</v>
      </c>
      <c r="G89" s="279">
        <f t="shared" si="15"/>
        <v>30478.241034632549</v>
      </c>
      <c r="H89" s="279">
        <f t="shared" si="16"/>
        <v>4030478.2410346325</v>
      </c>
      <c r="I89" s="1736">
        <f t="array" ref="I89">IF(A89&gt;"",SUMPRODUCT((A89=$Y$5:$Y$43)*$E$5:$E$43)/COUNTIF($Y$5:$Y$43,A89),0)</f>
        <v>0.125</v>
      </c>
      <c r="J89" s="1755">
        <f t="shared" si="17"/>
        <v>9.3841642228739003E-2</v>
      </c>
      <c r="K89" s="1755">
        <f t="shared" si="18"/>
        <v>0.01</v>
      </c>
      <c r="L89" s="276"/>
      <c r="M89" s="248"/>
      <c r="N89" s="1781"/>
      <c r="O89" s="1781"/>
      <c r="P89" s="1781"/>
      <c r="Q89" s="248"/>
      <c r="R89" s="1781"/>
      <c r="S89" s="1781"/>
      <c r="T89" s="1781"/>
      <c r="U89" s="248"/>
      <c r="V89" s="248"/>
      <c r="W89" s="248"/>
      <c r="X89" s="1743"/>
    </row>
    <row r="90" spans="1:24">
      <c r="A90" s="276" t="str">
        <f t="shared" si="13"/>
        <v>PE030 King Partner Pref convert</v>
      </c>
      <c r="B90" s="1069"/>
      <c r="C90" s="1070"/>
      <c r="D90" s="278">
        <f t="shared" si="14"/>
        <v>2025</v>
      </c>
      <c r="E90" s="279">
        <f t="array" ref="E90">SUM(IF($A90=$Y$5:$Y$43,$C$5:$C$43,0))</f>
        <v>6050000</v>
      </c>
      <c r="F90" s="279">
        <f t="array" ref="F90">SUM(IF($A90=$Y$5:$Y$43,$G$5:$G$43,0))</f>
        <v>242000</v>
      </c>
      <c r="G90" s="279">
        <f t="shared" si="15"/>
        <v>-6050000</v>
      </c>
      <c r="H90" s="279">
        <f t="shared" si="16"/>
        <v>0</v>
      </c>
      <c r="I90" s="1736">
        <f t="array" ref="I90">IF(A90&gt;"",SUMPRODUCT((A90=$Y$5:$Y$43)*$E$5:$E$43)/COUNTIF($Y$5:$Y$43,A90),0)</f>
        <v>5.2999999999999999E-2</v>
      </c>
      <c r="J90" s="1755">
        <f t="shared" si="17"/>
        <v>0.14193548387096774</v>
      </c>
      <c r="K90" s="1755">
        <f t="shared" si="18"/>
        <v>6.4130000000000003E-3</v>
      </c>
      <c r="L90" s="276"/>
      <c r="M90" s="248"/>
      <c r="N90" s="1781"/>
      <c r="O90" s="1781"/>
      <c r="P90" s="1781"/>
      <c r="Q90" s="248"/>
      <c r="R90" s="1781"/>
      <c r="S90" s="1781"/>
      <c r="T90" s="1781"/>
      <c r="U90" s="248"/>
      <c r="V90" s="248"/>
      <c r="W90" s="248"/>
      <c r="X90" s="1743"/>
    </row>
    <row r="91" spans="1:24">
      <c r="A91" s="276" t="str">
        <f t="shared" si="13"/>
        <v>PE031 Edwin2 convert</v>
      </c>
      <c r="B91" s="1069"/>
      <c r="C91" s="1070"/>
      <c r="D91" s="278">
        <f t="shared" si="14"/>
        <v>2025</v>
      </c>
      <c r="E91" s="279">
        <f t="array" ref="E91">SUM(IF($A91=$Y$5:$Y$43,$C$5:$C$43,0))</f>
        <v>1200000</v>
      </c>
      <c r="F91" s="279">
        <f t="array" ref="F91">SUM(IF($A91=$Y$5:$Y$43,$G$5:$G$43,0))</f>
        <v>48000</v>
      </c>
      <c r="G91" s="279">
        <f t="shared" si="15"/>
        <v>-1200000</v>
      </c>
      <c r="H91" s="279">
        <f t="shared" si="16"/>
        <v>0</v>
      </c>
      <c r="I91" s="1736">
        <f t="array" ref="I91">IF(A91&gt;"",SUMPRODUCT((A91=$Y$5:$Y$43)*$E$5:$E$43)/COUNTIF($Y$5:$Y$43,A91),0)</f>
        <v>5.2999999999999999E-2</v>
      </c>
      <c r="J91" s="1755">
        <f t="shared" si="17"/>
        <v>2.8152492668621701E-2</v>
      </c>
      <c r="K91" s="1755">
        <f t="shared" si="18"/>
        <v>1.2719999999999999E-3</v>
      </c>
      <c r="L91" s="276"/>
      <c r="M91" s="248"/>
      <c r="N91" s="1781"/>
      <c r="O91" s="1781"/>
      <c r="P91" s="1781"/>
      <c r="Q91" s="248"/>
      <c r="R91" s="1781"/>
      <c r="S91" s="1781"/>
      <c r="T91" s="1781"/>
      <c r="U91" s="248"/>
      <c r="V91" s="248"/>
      <c r="W91" s="248"/>
      <c r="X91" s="1743"/>
    </row>
    <row r="92" spans="1:24">
      <c r="A92" s="276" t="str">
        <f t="shared" si="13"/>
        <v>PE032 Buddy</v>
      </c>
      <c r="B92" s="1069"/>
      <c r="C92" s="1070"/>
      <c r="D92" s="278">
        <f t="shared" si="14"/>
        <v>2026</v>
      </c>
      <c r="E92" s="279">
        <f t="array" ref="E92">SUM(IF($A92=$Y$5:$Y$43,$C$5:$C$43,0))</f>
        <v>1500000</v>
      </c>
      <c r="F92" s="279">
        <f t="array" ref="F92">SUM(IF($A92=$Y$5:$Y$43,$G$5:$G$43,0))</f>
        <v>60000</v>
      </c>
      <c r="G92" s="279">
        <f t="shared" si="15"/>
        <v>-1500000</v>
      </c>
      <c r="H92" s="279">
        <f t="shared" si="16"/>
        <v>0</v>
      </c>
      <c r="I92" s="1736">
        <f t="array" ref="I92">IF(A92&gt;"",SUMPRODUCT((A92=$Y$5:$Y$43)*$E$5:$E$43)/COUNTIF($Y$5:$Y$43,A92),0)</f>
        <v>5.2999999999999999E-2</v>
      </c>
      <c r="J92" s="1755">
        <f t="shared" si="17"/>
        <v>3.519061583577713E-2</v>
      </c>
      <c r="K92" s="1755">
        <f t="shared" si="18"/>
        <v>1.5900000000000003E-3</v>
      </c>
      <c r="L92" s="276"/>
      <c r="M92" s="248"/>
      <c r="N92" s="1781"/>
      <c r="O92" s="1781"/>
      <c r="P92" s="1781"/>
      <c r="Q92" s="248"/>
      <c r="R92" s="1781"/>
      <c r="S92" s="1781"/>
      <c r="T92" s="1781"/>
      <c r="U92" s="248"/>
      <c r="V92" s="248"/>
      <c r="W92" s="248"/>
      <c r="X92" s="1743"/>
    </row>
    <row r="93" spans="1:24">
      <c r="A93" s="276" t="str">
        <f t="shared" si="13"/>
        <v>PE033 PFNGT LLC</v>
      </c>
      <c r="B93" s="1069"/>
      <c r="C93" s="1070"/>
      <c r="D93" s="278">
        <f t="shared" si="14"/>
        <v>2021</v>
      </c>
      <c r="E93" s="279">
        <f t="array" ref="E93">SUM(IF($A93=$Y$5:$Y$43,$C$5:$C$43,0))</f>
        <v>-1039509</v>
      </c>
      <c r="F93" s="279">
        <f t="array" ref="F93">SUM(IF($A93=$Y$5:$Y$43,$G$5:$G$43,0))</f>
        <v>-41580.36</v>
      </c>
      <c r="G93" s="279">
        <f t="shared" si="15"/>
        <v>-325223.7671990511</v>
      </c>
      <c r="H93" s="279">
        <f t="shared" si="16"/>
        <v>-1364732.7671990511</v>
      </c>
      <c r="I93" s="1736">
        <f t="array" ref="I93">IF(A93&gt;"",SUMPRODUCT((A93=$Y$5:$Y$43)*$E$5:$E$43)/COUNTIF($Y$5:$Y$43,A93),0)</f>
        <v>0</v>
      </c>
      <c r="J93" s="1755" t="str">
        <f t="shared" si="17"/>
        <v/>
      </c>
      <c r="K93" s="1755">
        <f t="shared" si="18"/>
        <v>0</v>
      </c>
      <c r="L93" s="276"/>
      <c r="M93" s="248"/>
      <c r="N93" s="1781"/>
      <c r="O93" s="1781"/>
      <c r="P93" s="1781"/>
      <c r="Q93" s="248"/>
      <c r="R93" s="1781"/>
      <c r="S93" s="1781"/>
      <c r="T93" s="1781"/>
      <c r="U93" s="248"/>
      <c r="V93" s="248"/>
      <c r="W93" s="248"/>
      <c r="X93" s="1743"/>
    </row>
    <row r="94" spans="1:24">
      <c r="A94" s="276" t="str">
        <f t="shared" si="13"/>
        <v>PE034 Cambrian</v>
      </c>
      <c r="B94" s="1069"/>
      <c r="C94" s="1070"/>
      <c r="D94" s="278">
        <f t="shared" si="14"/>
        <v>2021</v>
      </c>
      <c r="E94" s="279">
        <f t="array" ref="E94">SUM(IF($A94=$Y$5:$Y$43,$C$5:$C$43,0))</f>
        <v>1039509</v>
      </c>
      <c r="F94" s="279">
        <f t="array" ref="F94">SUM(IF($A94=$Y$5:$Y$43,$G$5:$G$43,0))</f>
        <v>41580.36</v>
      </c>
      <c r="G94" s="279">
        <f t="shared" si="15"/>
        <v>325223.7671990511</v>
      </c>
      <c r="H94" s="279">
        <f t="shared" si="16"/>
        <v>1364732.7671990511</v>
      </c>
      <c r="I94" s="1736">
        <f t="array" ref="I94">IF(A94&gt;"",SUMPRODUCT((A94=$Y$5:$Y$43)*$E$5:$E$43)/COUNTIF($Y$5:$Y$43,A94),0)</f>
        <v>0</v>
      </c>
      <c r="J94" s="1755" t="str">
        <f t="shared" si="17"/>
        <v/>
      </c>
      <c r="K94" s="1755">
        <f t="shared" si="18"/>
        <v>0</v>
      </c>
      <c r="L94" s="276"/>
      <c r="M94" s="248"/>
      <c r="N94" s="1781"/>
      <c r="O94" s="1781"/>
      <c r="P94" s="1781"/>
      <c r="Q94" s="248"/>
      <c r="R94" s="1781"/>
      <c r="S94" s="1781"/>
      <c r="T94" s="1781"/>
      <c r="U94" s="248"/>
      <c r="V94" s="248"/>
      <c r="W94" s="248"/>
      <c r="X94" s="1743"/>
    </row>
    <row r="95" spans="1:24">
      <c r="A95" s="276" t="str">
        <f t="shared" si="13"/>
        <v>PE035 guy</v>
      </c>
      <c r="B95" s="1069"/>
      <c r="C95" s="1070"/>
      <c r="D95" s="278">
        <f t="shared" si="14"/>
        <v>2026</v>
      </c>
      <c r="E95" s="279">
        <f t="array" ref="E95">SUM(IF($A95=$Y$5:$Y$43,$C$5:$C$43,0))</f>
        <v>1000000</v>
      </c>
      <c r="F95" s="279">
        <f t="array" ref="F95">SUM(IF($A95=$Y$5:$Y$43,$G$5:$G$43,0))</f>
        <v>40000</v>
      </c>
      <c r="G95" s="279">
        <f t="shared" si="15"/>
        <v>-1000000</v>
      </c>
      <c r="H95" s="279">
        <f t="shared" si="16"/>
        <v>0</v>
      </c>
      <c r="I95" s="1736">
        <f t="array" ref="I95">IF(A95&gt;"",SUMPRODUCT((A95=$Y$5:$Y$43)*$E$5:$E$43)/COUNTIF($Y$5:$Y$43,A95),0)</f>
        <v>5.2999999999999999E-2</v>
      </c>
      <c r="J95" s="1755">
        <f t="shared" si="17"/>
        <v>2.3460410557184751E-2</v>
      </c>
      <c r="K95" s="1755">
        <f t="shared" si="18"/>
        <v>1.06E-3</v>
      </c>
      <c r="L95" s="276"/>
      <c r="M95" s="248"/>
      <c r="N95" s="1781"/>
      <c r="O95" s="1781"/>
      <c r="P95" s="1781"/>
      <c r="Q95" s="248"/>
      <c r="R95" s="1781"/>
      <c r="S95" s="1781"/>
      <c r="T95" s="1781"/>
      <c r="U95" s="248"/>
      <c r="V95" s="248"/>
      <c r="W95" s="248"/>
      <c r="X95" s="1743"/>
    </row>
    <row r="96" spans="1:24" ht="15.9" customHeight="1" thickBot="1">
      <c r="A96" s="277"/>
      <c r="B96" s="1071"/>
      <c r="C96" s="1072"/>
      <c r="D96" s="281"/>
      <c r="E96" s="282"/>
      <c r="F96" s="282"/>
      <c r="G96" s="282"/>
      <c r="H96" s="1731"/>
      <c r="I96" s="1737"/>
      <c r="J96" s="1756"/>
      <c r="K96" s="1756"/>
      <c r="L96" s="276"/>
      <c r="M96" s="248"/>
      <c r="N96" s="1781"/>
      <c r="O96" s="1781"/>
      <c r="P96" s="1781"/>
      <c r="Q96" s="248"/>
      <c r="R96" s="1781"/>
      <c r="S96" s="1781"/>
      <c r="T96" s="1781"/>
      <c r="U96" s="248"/>
      <c r="V96" s="248"/>
      <c r="W96" s="248"/>
      <c r="X96" s="1743"/>
    </row>
    <row r="97" spans="1:24">
      <c r="A97" s="271"/>
      <c r="B97" s="271"/>
      <c r="C97" s="271"/>
      <c r="D97" s="271"/>
      <c r="E97" s="280">
        <f t="array" ref="E97">SUMPRODUCT((G58&gt;=F5:F43)*C5:C43)</f>
        <v>42625000</v>
      </c>
      <c r="F97" s="280">
        <f t="array" ref="F97">SUMPRODUCT((G58&gt;=F5:F43)*G5:G43)-SUMPRODUCT((G58&gt;+F5:F43)*H5:H43)</f>
        <v>1705000</v>
      </c>
      <c r="G97" s="280"/>
      <c r="H97" s="280"/>
      <c r="I97" s="1738"/>
      <c r="J97" s="1757"/>
      <c r="K97" s="1757">
        <f t="array" ref="K97">SUMPRODUCT((YEAR($G$58)&gt;=$D$61:$D$96)*K61:K96)</f>
        <v>0.3640525</v>
      </c>
      <c r="L97" s="276"/>
      <c r="M97" s="248"/>
      <c r="N97" s="1781"/>
      <c r="O97" s="1781"/>
      <c r="P97" s="1781"/>
      <c r="Q97" s="248"/>
      <c r="R97" s="1781"/>
      <c r="S97" s="1781"/>
      <c r="T97" s="1781"/>
      <c r="U97" s="248"/>
      <c r="V97" s="248"/>
      <c r="W97" s="248"/>
      <c r="X97" s="1743"/>
    </row>
    <row r="98" spans="1:24">
      <c r="J98" s="248"/>
      <c r="K98" s="248"/>
      <c r="L98" s="248"/>
      <c r="M98" s="248"/>
      <c r="N98" s="1781"/>
      <c r="O98" s="1781"/>
      <c r="P98" s="1781"/>
      <c r="Q98" s="248"/>
      <c r="R98" s="1781"/>
      <c r="S98" s="1781"/>
      <c r="T98" s="1781"/>
      <c r="U98" s="248"/>
      <c r="V98" s="248"/>
      <c r="W98" s="248"/>
      <c r="X98" s="1743"/>
    </row>
    <row r="99" spans="1:24">
      <c r="A99" s="5" t="s">
        <v>469</v>
      </c>
      <c r="B99" s="15"/>
      <c r="C99" s="15"/>
      <c r="D99" s="15"/>
      <c r="E99" s="15"/>
      <c r="F99" s="196"/>
      <c r="J99" s="56"/>
      <c r="K99" s="56"/>
      <c r="L99" s="56"/>
      <c r="M99" s="56"/>
      <c r="N99" s="65"/>
      <c r="O99" s="1781"/>
      <c r="P99" s="1781"/>
      <c r="Q99" s="248"/>
      <c r="R99" s="1781"/>
      <c r="S99" s="1781"/>
      <c r="T99" s="1781"/>
      <c r="U99" s="248"/>
      <c r="V99" s="248"/>
      <c r="W99" s="248"/>
      <c r="X99" s="1743"/>
    </row>
    <row r="100" spans="1:24">
      <c r="A100" s="5"/>
      <c r="B100" s="2049">
        <v>2024</v>
      </c>
      <c r="C100" s="3">
        <v>2025</v>
      </c>
      <c r="D100" s="3">
        <v>2025</v>
      </c>
      <c r="E100" s="3">
        <v>2025</v>
      </c>
      <c r="F100" s="3">
        <v>2025</v>
      </c>
      <c r="G100" s="148">
        <v>2026</v>
      </c>
      <c r="H100" s="148">
        <v>2026</v>
      </c>
      <c r="I100" s="148">
        <v>2026</v>
      </c>
      <c r="J100" s="148">
        <v>2026</v>
      </c>
      <c r="K100" s="1787">
        <v>2027</v>
      </c>
      <c r="L100" s="1787">
        <v>2028</v>
      </c>
      <c r="M100" s="1787">
        <v>2029</v>
      </c>
      <c r="N100" s="148">
        <v>2030</v>
      </c>
      <c r="O100" s="1781"/>
      <c r="P100" s="1781"/>
      <c r="Q100" s="1781"/>
      <c r="R100" s="248"/>
      <c r="S100" s="248"/>
      <c r="T100" s="248"/>
      <c r="U100" s="1743"/>
    </row>
    <row r="101" spans="1:24">
      <c r="A101" s="5"/>
      <c r="B101" s="2049"/>
      <c r="C101" s="3" t="s">
        <v>3</v>
      </c>
      <c r="D101" s="3" t="s">
        <v>4</v>
      </c>
      <c r="E101" s="3" t="s">
        <v>5</v>
      </c>
      <c r="F101" s="3" t="s">
        <v>2</v>
      </c>
      <c r="G101" s="148" t="s">
        <v>3</v>
      </c>
      <c r="H101" s="148" t="s">
        <v>4</v>
      </c>
      <c r="I101" s="148" t="s">
        <v>5</v>
      </c>
      <c r="J101" s="148" t="s">
        <v>2</v>
      </c>
      <c r="K101" s="1787"/>
      <c r="L101" s="1787"/>
      <c r="M101" s="1787"/>
      <c r="N101" s="148"/>
      <c r="O101" s="1781"/>
      <c r="P101" s="1781"/>
      <c r="Q101" s="1781"/>
      <c r="R101" s="248"/>
      <c r="S101" s="248"/>
      <c r="T101" s="248"/>
      <c r="U101" s="1743"/>
    </row>
    <row r="102" spans="1:24">
      <c r="A102" t="str">
        <f t="shared" ref="A102:A136" si="19">+A61</f>
        <v>PE001 PFNGT LLC</v>
      </c>
      <c r="B102" s="2017">
        <v>1.7326732673267332E-2</v>
      </c>
      <c r="C102" s="196">
        <f t="array" ref="C102">IF(SUMPRODUCT(($A102=$Y$5:$Y$43)*(C$100=YEAR($F$5:$F$43)))&gt;=1,SUMPRODUCT(($A102=$A$61:$A$95)*$I$61:$I$95)*((SUMPRODUCT((C$100&gt;=YEAR($F$5:$F$43))*$G$5:$G$43)/$K$58)*100%)*(SUMPRODUCT(($A102=$Y$5:$Y$43)*(C$100&gt;=YEAR($F$5:$F$43))*$G$5:$G$43)/SUMPRODUCT((C$100&gt;=YEAR($F$5:$F$43))*$G$5:$G$43)),IF(B102&gt;0,B102/(1+lgh_equity!C$24),0))</f>
        <v>1.7326732673267332E-2</v>
      </c>
      <c r="D102" s="196">
        <f t="array" ref="D102">IF(SUMPRODUCT(($A102=$Y$5:$Y$43)*(D$100=YEAR($F$5:$F$43)))&gt;=1,SUMPRODUCT(($A102=$A$61:$A$95)*$I$61:$I$95)*((SUMPRODUCT((D$100&gt;=YEAR($F$5:$F$43))*$G$5:$G$43)/$K$58)*100%)*(SUMPRODUCT(($A102=$Y$5:$Y$43)*(D$100&gt;=YEAR($F$5:$F$43))*$G$5:$G$43)/SUMPRODUCT((D$100&gt;=YEAR($F$5:$F$43))*$G$5:$G$43)),IF(C102&gt;0,C102/(1+lgh_equity!D$24),0))</f>
        <v>1.4018392130475187E-2</v>
      </c>
      <c r="E102" s="196">
        <f t="array" ref="E102">IF(SUMPRODUCT(($A102=$Y$5:$Y$43)*(E$100=YEAR($F$5:$F$43)))&gt;=1,SUMPRODUCT(($A102=$A$61:$A$95)*$I$61:$I$95)*((SUMPRODUCT((E$100&gt;=YEAR($F$5:$F$43))*$G$5:$G$43)/$K$58)*100%)*(SUMPRODUCT(($A102=$Y$5:$Y$43)*(E$100&gt;=YEAR($F$5:$F$43))*$G$5:$G$43)/SUMPRODUCT((E$100&gt;=YEAR($F$5:$F$43))*$G$5:$G$43)),IF(D102&gt;0,D102/(1+lgh_equity!E$24),0))</f>
        <v>1.3973676366103653E-2</v>
      </c>
      <c r="F102" s="196">
        <f t="array" ref="F102">IF(SUMPRODUCT(($A102=$Y$5:$Y$43)*(F$100=YEAR($F$5:$F$43)))&gt;=1,SUMPRODUCT(($A102=$A$61:$A$95)*$I$61:$I$95)*((SUMPRODUCT((F$100&gt;=YEAR($F$5:$F$43))*$G$5:$G$43)/$K$58)*100%)*(SUMPRODUCT(($A102=$Y$5:$Y$43)*(F$100&gt;=YEAR($F$5:$F$43))*$G$5:$G$43)/SUMPRODUCT((F$100&gt;=YEAR($F$5:$F$43))*$G$5:$G$43)),IF(E102&gt;0,E102/(1+lgh_equity!F$24),0))</f>
        <v>1.3973676366103653E-2</v>
      </c>
      <c r="G102" s="1758">
        <f t="array" ref="G102">IF(SUMPRODUCT(($A102=$Y$5:$Y$43)*(G$100=YEAR($F$5:$F$43)))&gt;=1,SUMPRODUCT(($A102=$A$61:$A$95)*$I$61:$I$95)*((SUMPRODUCT((G$100&gt;=YEAR($F$5:$F$43))*$G$5:$G$43)/$K$58)*100%)*(SUMPRODUCT(($A102=$Y$5:$Y$43)*(G$100&gt;=YEAR($F$5:$F$43))*$G$5:$G$43)/SUMPRODUCT((G$100&gt;=YEAR($F$5:$F$43))*$G$5:$G$43)),IF(F102&gt;0,F102/(1+lgh_equity!G$24),0))</f>
        <v>1.3973676366103653E-2</v>
      </c>
      <c r="H102" s="1758">
        <f t="array" ref="H102">IF(SUMPRODUCT(($A102=$Y$5:$Y$43)*(H$100=YEAR($F$5:$F$43)))&gt;=1,SUMPRODUCT(($A102=$A$61:$A$95)*$I$61:$I$95)*((SUMPRODUCT((H$100&gt;=YEAR($F$5:$F$43))*$G$5:$G$43)/$K$58)*100%)*(SUMPRODUCT(($A102=$Y$5:$Y$43)*(H$100&gt;=YEAR($F$5:$F$43))*$G$5:$G$43)/SUMPRODUCT((H$100&gt;=YEAR($F$5:$F$43))*$G$5:$G$43)),IF(G102&gt;0,G102/(1+lgh_equity!H$24),0))</f>
        <v>1.3973676366103653E-2</v>
      </c>
      <c r="I102" s="1773">
        <f t="array" ref="I102">IF(SUMPRODUCT(($A102=$Y$5:$Y$43)*(I$100=YEAR($F$5:$F$43)))&gt;=1,SUMPRODUCT(($A102=$A$61:$A$95)*$I$61:$I$95)*((SUMPRODUCT((I$100&gt;=YEAR($F$5:$F$43))*$G$5:$G$43)/$K$58)*100%)*(SUMPRODUCT(($A102=$Y$5:$Y$43)*(I$100&gt;=YEAR($F$5:$F$43))*$G$5:$G$43)/SUMPRODUCT((I$100&gt;=YEAR($F$5:$F$43))*$G$5:$G$43)),IF(H102&gt;0,H102/(1+lgh_equity!I$24),0))</f>
        <v>1.3973676366103653E-2</v>
      </c>
      <c r="J102" s="1773">
        <f t="array" ref="J102">IF(SUMPRODUCT(($A102=$Y$5:$Y$43)*(J$100=YEAR($F$5:$F$43)))&gt;=1,SUMPRODUCT(($A102=$A$61:$A$95)*$I$61:$I$95)*((SUMPRODUCT((J$100&gt;=YEAR($F$5:$F$43))*$G$5:$G$43)/$K$58)*100%)*(SUMPRODUCT(($A102=$Y$5:$Y$43)*(J$100&gt;=YEAR($F$5:$F$43))*$G$5:$G$43)/SUMPRODUCT((J$100&gt;=YEAR($F$5:$F$43))*$G$5:$G$43)),IF(I102&gt;0,I102/(1+lgh_equity!J$24),0))</f>
        <v>1.3973676366103653E-2</v>
      </c>
      <c r="K102" s="1788">
        <f t="array" ref="K102">IF(SUMPRODUCT(($A102=$Y$5:$Y$43)*(K$100=YEAR($F$5:$F$43)))&gt;=1,SUMPRODUCT(($A102=$A$61:$A$95)*$I$61:$I$95)*((SUMPRODUCT((K$100&gt;=YEAR($F$5:$F$43))*$G$5:$G$43)/$K$58)*100%)*(SUMPRODUCT(($A102=$Y$5:$Y$43)*(K$100&gt;=YEAR($F$5:$F$43))*$G$5:$G$43)/SUMPRODUCT((K$100&gt;=YEAR($F$5:$F$43))*$G$5:$G$43)),IF(J102&gt;0,J102/(1+lgh_equity!K$24),0))</f>
        <v>1.3973676366103653E-2</v>
      </c>
      <c r="L102" s="1788">
        <f t="array" ref="L102">IF(SUMPRODUCT(($A102=$Y$5:$Y$43)*(L$100=YEAR($F$5:$F$43)))&gt;=1,SUMPRODUCT(($A102=$A$61:$A$95)*$I$61:$I$95)*((SUMPRODUCT((L$100&gt;=YEAR($F$5:$F$43))*$G$5:$G$43)/$K$58)*100%)*(SUMPRODUCT(($A102=$Y$5:$Y$43)*(L$100&gt;=YEAR($F$5:$F$43))*$G$5:$G$43)/SUMPRODUCT((L$100&gt;=YEAR($F$5:$F$43))*$G$5:$G$43)),IF(K102&gt;0,K102/(1+lgh_equity!L$24),0))</f>
        <v>1.3973676366103653E-2</v>
      </c>
      <c r="M102" s="1788">
        <f t="array" ref="M102">IF(SUMPRODUCT(($A102=$Y$5:$Y$43)*(M$100=YEAR($F$5:$F$43)))&gt;=1,SUMPRODUCT(($A102=$A$61:$A$95)*$I$61:$I$95)*((SUMPRODUCT((M$100&gt;=YEAR($F$5:$F$43))*$G$5:$G$43)/$K$58)*100%)*(SUMPRODUCT(($A102=$Y$5:$Y$43)*(M$100&gt;=YEAR($F$5:$F$43))*$G$5:$G$43)/SUMPRODUCT((M$100&gt;=YEAR($F$5:$F$43))*$G$5:$G$43)),IF(L102&gt;0,L102/(1+lgh_equity!M$24),0))</f>
        <v>1.3973676366103653E-2</v>
      </c>
      <c r="N102" s="1773">
        <f t="array" ref="N102">IF(SUMPRODUCT(($A102=$Y$5:$Y$43)*(N$100=YEAR($F$5:$F$43)))&gt;=1,SUMPRODUCT(($A102=$A$61:$A$95)*$I$61:$I$95)*((SUMPRODUCT((N$100&gt;=YEAR($F$5:$F$43))*$G$5:$G$43)/$K$58)*100%)*(SUMPRODUCT(($A102=$Y$5:$Y$43)*(N$100&gt;=YEAR($F$5:$F$43))*$G$5:$G$43)/SUMPRODUCT((N$100&gt;=YEAR($F$5:$F$43))*$G$5:$G$43)),IF(M102&gt;0,M102/(1+lgh_equity!N$24),0))</f>
        <v>1.3973676366103653E-2</v>
      </c>
      <c r="O102" s="1781"/>
      <c r="P102" s="1781"/>
      <c r="Q102" s="1781"/>
      <c r="R102" s="248"/>
      <c r="S102" s="248"/>
      <c r="T102" s="248"/>
      <c r="U102" s="1743"/>
    </row>
    <row r="103" spans="1:24">
      <c r="A103" t="str">
        <f t="shared" si="19"/>
        <v>PE002 Derivee Capital Advisors, LLC</v>
      </c>
      <c r="B103" s="2017">
        <v>1.03960396039604E-2</v>
      </c>
      <c r="C103" s="196">
        <f t="array" ref="C103">IF(SUMPRODUCT(($A103=$Y$5:$Y$43)*(C$100=YEAR($F$5:$F$43)))&gt;=1,SUMPRODUCT(($A103=$A$61:$A$95)*$I$61:$I$95)*((SUMPRODUCT((C$100&gt;=YEAR($F$5:$F$43))*$G$5:$G$43)/$K$58)*100%)*(SUMPRODUCT(($A103=$Y$5:$Y$43)*(C$100&gt;=YEAR($F$5:$F$43))*$G$5:$G$43)/SUMPRODUCT((C$100&gt;=YEAR($F$5:$F$43))*$G$5:$G$43)),IF(B103&gt;0,B103/(1+lgh_equity!C$24),0))</f>
        <v>1.03960396039604E-2</v>
      </c>
      <c r="D103" s="196">
        <f t="array" ref="D103">IF(SUMPRODUCT(($A103=$Y$5:$Y$43)*(D$100=YEAR($F$5:$F$43)))&gt;=1,SUMPRODUCT(($A103=$A$61:$A$95)*$I$61:$I$95)*((SUMPRODUCT((D$100&gt;=YEAR($F$5:$F$43))*$G$5:$G$43)/$K$58)*100%)*(SUMPRODUCT(($A103=$Y$5:$Y$43)*(D$100&gt;=YEAR($F$5:$F$43))*$G$5:$G$43)/SUMPRODUCT((D$100&gt;=YEAR($F$5:$F$43))*$G$5:$G$43)),IF(C103&gt;0,C103/(1+lgh_equity!D$24),0))</f>
        <v>8.4110352782851127E-3</v>
      </c>
      <c r="E103" s="196">
        <f t="array" ref="E103">IF(SUMPRODUCT(($A103=$Y$5:$Y$43)*(E$100=YEAR($F$5:$F$43)))&gt;=1,SUMPRODUCT(($A103=$A$61:$A$95)*$I$61:$I$95)*((SUMPRODUCT((E$100&gt;=YEAR($F$5:$F$43))*$G$5:$G$43)/$K$58)*100%)*(SUMPRODUCT(($A103=$Y$5:$Y$43)*(E$100&gt;=YEAR($F$5:$F$43))*$G$5:$G$43)/SUMPRODUCT((E$100&gt;=YEAR($F$5:$F$43))*$G$5:$G$43)),IF(D103&gt;0,D103/(1+lgh_equity!E$24),0))</f>
        <v>8.3842058196621928E-3</v>
      </c>
      <c r="F103" s="196">
        <f t="array" ref="F103">IF(SUMPRODUCT(($A103=$Y$5:$Y$43)*(F$100=YEAR($F$5:$F$43)))&gt;=1,SUMPRODUCT(($A103=$A$61:$A$95)*$I$61:$I$95)*((SUMPRODUCT((F$100&gt;=YEAR($F$5:$F$43))*$G$5:$G$43)/$K$58)*100%)*(SUMPRODUCT(($A103=$Y$5:$Y$43)*(F$100&gt;=YEAR($F$5:$F$43))*$G$5:$G$43)/SUMPRODUCT((F$100&gt;=YEAR($F$5:$F$43))*$G$5:$G$43)),IF(E103&gt;0,E103/(1+lgh_equity!F$24),0))</f>
        <v>8.3842058196621928E-3</v>
      </c>
      <c r="G103" s="1758">
        <f t="array" ref="G103">IF(SUMPRODUCT(($A103=$Y$5:$Y$43)*(G$100=YEAR($F$5:$F$43)))&gt;=1,SUMPRODUCT(($A103=$A$61:$A$95)*$I$61:$I$95)*((SUMPRODUCT((G$100&gt;=YEAR($F$5:$F$43))*$G$5:$G$43)/$K$58)*100%)*(SUMPRODUCT(($A103=$Y$5:$Y$43)*(G$100&gt;=YEAR($F$5:$F$43))*$G$5:$G$43)/SUMPRODUCT((G$100&gt;=YEAR($F$5:$F$43))*$G$5:$G$43)),IF(F103&gt;0,F103/(1+lgh_equity!G$24),0))</f>
        <v>8.3842058196621928E-3</v>
      </c>
      <c r="H103" s="1758">
        <f t="array" ref="H103">IF(SUMPRODUCT(($A103=$Y$5:$Y$43)*(H$100=YEAR($F$5:$F$43)))&gt;=1,SUMPRODUCT(($A103=$A$61:$A$95)*$I$61:$I$95)*((SUMPRODUCT((H$100&gt;=YEAR($F$5:$F$43))*$G$5:$G$43)/$K$58)*100%)*(SUMPRODUCT(($A103=$Y$5:$Y$43)*(H$100&gt;=YEAR($F$5:$F$43))*$G$5:$G$43)/SUMPRODUCT((H$100&gt;=YEAR($F$5:$F$43))*$G$5:$G$43)),IF(G103&gt;0,G103/(1+lgh_equity!H$24),0))</f>
        <v>8.3842058196621928E-3</v>
      </c>
      <c r="I103" s="1773">
        <f t="array" ref="I103">IF(SUMPRODUCT(($A103=$Y$5:$Y$43)*(I$100=YEAR($F$5:$F$43)))&gt;=1,SUMPRODUCT(($A103=$A$61:$A$95)*$I$61:$I$95)*((SUMPRODUCT((I$100&gt;=YEAR($F$5:$F$43))*$G$5:$G$43)/$K$58)*100%)*(SUMPRODUCT(($A103=$Y$5:$Y$43)*(I$100&gt;=YEAR($F$5:$F$43))*$G$5:$G$43)/SUMPRODUCT((I$100&gt;=YEAR($F$5:$F$43))*$G$5:$G$43)),IF(H103&gt;0,H103/(1+lgh_equity!I$24),0))</f>
        <v>8.3842058196621928E-3</v>
      </c>
      <c r="J103" s="1773">
        <f t="array" ref="J103">IF(SUMPRODUCT(($A103=$Y$5:$Y$43)*(J$100=YEAR($F$5:$F$43)))&gt;=1,SUMPRODUCT(($A103=$A$61:$A$95)*$I$61:$I$95)*((SUMPRODUCT((J$100&gt;=YEAR($F$5:$F$43))*$G$5:$G$43)/$K$58)*100%)*(SUMPRODUCT(($A103=$Y$5:$Y$43)*(J$100&gt;=YEAR($F$5:$F$43))*$G$5:$G$43)/SUMPRODUCT((J$100&gt;=YEAR($F$5:$F$43))*$G$5:$G$43)),IF(I103&gt;0,I103/(1+lgh_equity!J$24),0))</f>
        <v>8.3842058196621928E-3</v>
      </c>
      <c r="K103" s="1788">
        <f t="array" ref="K103">IF(SUMPRODUCT(($A103=$Y$5:$Y$43)*(K$100=YEAR($F$5:$F$43)))&gt;=1,SUMPRODUCT(($A103=$A$61:$A$95)*$I$61:$I$95)*((SUMPRODUCT((K$100&gt;=YEAR($F$5:$F$43))*$G$5:$G$43)/$K$58)*100%)*(SUMPRODUCT(($A103=$Y$5:$Y$43)*(K$100&gt;=YEAR($F$5:$F$43))*$G$5:$G$43)/SUMPRODUCT((K$100&gt;=YEAR($F$5:$F$43))*$G$5:$G$43)),IF(J103&gt;0,J103/(1+lgh_equity!K$24),0))</f>
        <v>8.3842058196621928E-3</v>
      </c>
      <c r="L103" s="1788">
        <f t="array" ref="L103">IF(SUMPRODUCT(($A103=$Y$5:$Y$43)*(L$100=YEAR($F$5:$F$43)))&gt;=1,SUMPRODUCT(($A103=$A$61:$A$95)*$I$61:$I$95)*((SUMPRODUCT((L$100&gt;=YEAR($F$5:$F$43))*$G$5:$G$43)/$K$58)*100%)*(SUMPRODUCT(($A103=$Y$5:$Y$43)*(L$100&gt;=YEAR($F$5:$F$43))*$G$5:$G$43)/SUMPRODUCT((L$100&gt;=YEAR($F$5:$F$43))*$G$5:$G$43)),IF(K103&gt;0,K103/(1+lgh_equity!L$24),0))</f>
        <v>8.3842058196621928E-3</v>
      </c>
      <c r="M103" s="1788">
        <f t="array" ref="M103">IF(SUMPRODUCT(($A103=$Y$5:$Y$43)*(M$100=YEAR($F$5:$F$43)))&gt;=1,SUMPRODUCT(($A103=$A$61:$A$95)*$I$61:$I$95)*((SUMPRODUCT((M$100&gt;=YEAR($F$5:$F$43))*$G$5:$G$43)/$K$58)*100%)*(SUMPRODUCT(($A103=$Y$5:$Y$43)*(M$100&gt;=YEAR($F$5:$F$43))*$G$5:$G$43)/SUMPRODUCT((M$100&gt;=YEAR($F$5:$F$43))*$G$5:$G$43)),IF(L103&gt;0,L103/(1+lgh_equity!M$24),0))</f>
        <v>8.3842058196621928E-3</v>
      </c>
      <c r="N103" s="1773">
        <f t="array" ref="N103">IF(SUMPRODUCT(($A103=$Y$5:$Y$43)*(N$100=YEAR($F$5:$F$43)))&gt;=1,SUMPRODUCT(($A103=$A$61:$A$95)*$I$61:$I$95)*((SUMPRODUCT((N$100&gt;=YEAR($F$5:$F$43))*$G$5:$G$43)/$K$58)*100%)*(SUMPRODUCT(($A103=$Y$5:$Y$43)*(N$100&gt;=YEAR($F$5:$F$43))*$G$5:$G$43)/SUMPRODUCT((N$100&gt;=YEAR($F$5:$F$43))*$G$5:$G$43)),IF(M103&gt;0,M103/(1+lgh_equity!N$24),0))</f>
        <v>8.3842058196621928E-3</v>
      </c>
      <c r="O103" s="1781"/>
      <c r="P103" s="1781"/>
      <c r="Q103" s="1781"/>
      <c r="R103" s="248"/>
      <c r="S103" s="248"/>
      <c r="T103" s="248"/>
      <c r="U103" s="1743"/>
    </row>
    <row r="104" spans="1:24">
      <c r="A104" t="str">
        <f t="shared" si="19"/>
        <v>PE003 Derivee Capital Advisors, LLC</v>
      </c>
      <c r="B104" s="2017">
        <v>6.9306930693069308E-3</v>
      </c>
      <c r="C104" s="196">
        <f t="array" ref="C104">IF(SUMPRODUCT(($A104=$Y$5:$Y$43)*(C$100=YEAR($F$5:$F$43)))&gt;=1,SUMPRODUCT(($A104=$A$61:$A$95)*$I$61:$I$95)*((SUMPRODUCT((C$100&gt;=YEAR($F$5:$F$43))*$G$5:$G$43)/$K$58)*100%)*(SUMPRODUCT(($A104=$Y$5:$Y$43)*(C$100&gt;=YEAR($F$5:$F$43))*$G$5:$G$43)/SUMPRODUCT((C$100&gt;=YEAR($F$5:$F$43))*$G$5:$G$43)),IF(B104&gt;0,B104/(1+lgh_equity!C$24),0))</f>
        <v>6.9306930693069308E-3</v>
      </c>
      <c r="D104" s="196">
        <f t="array" ref="D104">IF(SUMPRODUCT(($A104=$Y$5:$Y$43)*(D$100=YEAR($F$5:$F$43)))&gt;=1,SUMPRODUCT(($A104=$A$61:$A$95)*$I$61:$I$95)*((SUMPRODUCT((D$100&gt;=YEAR($F$5:$F$43))*$G$5:$G$43)/$K$58)*100%)*(SUMPRODUCT(($A104=$Y$5:$Y$43)*(D$100&gt;=YEAR($F$5:$F$43))*$G$5:$G$43)/SUMPRODUCT((D$100&gt;=YEAR($F$5:$F$43))*$G$5:$G$43)),IF(C104&gt;0,C104/(1+lgh_equity!D$24),0))</f>
        <v>5.6073568521900737E-3</v>
      </c>
      <c r="E104" s="196">
        <f t="array" ref="E104">IF(SUMPRODUCT(($A104=$Y$5:$Y$43)*(E$100=YEAR($F$5:$F$43)))&gt;=1,SUMPRODUCT(($A104=$A$61:$A$95)*$I$61:$I$95)*((SUMPRODUCT((E$100&gt;=YEAR($F$5:$F$43))*$G$5:$G$43)/$K$58)*100%)*(SUMPRODUCT(($A104=$Y$5:$Y$43)*(E$100&gt;=YEAR($F$5:$F$43))*$G$5:$G$43)/SUMPRODUCT((E$100&gt;=YEAR($F$5:$F$43))*$G$5:$G$43)),IF(D104&gt;0,D104/(1+lgh_equity!E$24),0))</f>
        <v>5.5894705464414607E-3</v>
      </c>
      <c r="F104" s="196">
        <f t="array" ref="F104">IF(SUMPRODUCT(($A104=$Y$5:$Y$43)*(F$100=YEAR($F$5:$F$43)))&gt;=1,SUMPRODUCT(($A104=$A$61:$A$95)*$I$61:$I$95)*((SUMPRODUCT((F$100&gt;=YEAR($F$5:$F$43))*$G$5:$G$43)/$K$58)*100%)*(SUMPRODUCT(($A104=$Y$5:$Y$43)*(F$100&gt;=YEAR($F$5:$F$43))*$G$5:$G$43)/SUMPRODUCT((F$100&gt;=YEAR($F$5:$F$43))*$G$5:$G$43)),IF(E104&gt;0,E104/(1+lgh_equity!F$24),0))</f>
        <v>5.5894705464414607E-3</v>
      </c>
      <c r="G104" s="1758">
        <f t="array" ref="G104">IF(SUMPRODUCT(($A104=$Y$5:$Y$43)*(G$100=YEAR($F$5:$F$43)))&gt;=1,SUMPRODUCT(($A104=$A$61:$A$95)*$I$61:$I$95)*((SUMPRODUCT((G$100&gt;=YEAR($F$5:$F$43))*$G$5:$G$43)/$K$58)*100%)*(SUMPRODUCT(($A104=$Y$5:$Y$43)*(G$100&gt;=YEAR($F$5:$F$43))*$G$5:$G$43)/SUMPRODUCT((G$100&gt;=YEAR($F$5:$F$43))*$G$5:$G$43)),IF(F104&gt;0,F104/(1+lgh_equity!G$24),0))</f>
        <v>5.5894705464414607E-3</v>
      </c>
      <c r="H104" s="1758">
        <f t="array" ref="H104">IF(SUMPRODUCT(($A104=$Y$5:$Y$43)*(H$100=YEAR($F$5:$F$43)))&gt;=1,SUMPRODUCT(($A104=$A$61:$A$95)*$I$61:$I$95)*((SUMPRODUCT((H$100&gt;=YEAR($F$5:$F$43))*$G$5:$G$43)/$K$58)*100%)*(SUMPRODUCT(($A104=$Y$5:$Y$43)*(H$100&gt;=YEAR($F$5:$F$43))*$G$5:$G$43)/SUMPRODUCT((H$100&gt;=YEAR($F$5:$F$43))*$G$5:$G$43)),IF(G104&gt;0,G104/(1+lgh_equity!H$24),0))</f>
        <v>5.5894705464414607E-3</v>
      </c>
      <c r="I104" s="1773">
        <f t="array" ref="I104">IF(SUMPRODUCT(($A104=$Y$5:$Y$43)*(I$100=YEAR($F$5:$F$43)))&gt;=1,SUMPRODUCT(($A104=$A$61:$A$95)*$I$61:$I$95)*((SUMPRODUCT((I$100&gt;=YEAR($F$5:$F$43))*$G$5:$G$43)/$K$58)*100%)*(SUMPRODUCT(($A104=$Y$5:$Y$43)*(I$100&gt;=YEAR($F$5:$F$43))*$G$5:$G$43)/SUMPRODUCT((I$100&gt;=YEAR($F$5:$F$43))*$G$5:$G$43)),IF(H104&gt;0,H104/(1+lgh_equity!I$24),0))</f>
        <v>5.5894705464414607E-3</v>
      </c>
      <c r="J104" s="1773">
        <f t="array" ref="J104">IF(SUMPRODUCT(($A104=$Y$5:$Y$43)*(J$100=YEAR($F$5:$F$43)))&gt;=1,SUMPRODUCT(($A104=$A$61:$A$95)*$I$61:$I$95)*((SUMPRODUCT((J$100&gt;=YEAR($F$5:$F$43))*$G$5:$G$43)/$K$58)*100%)*(SUMPRODUCT(($A104=$Y$5:$Y$43)*(J$100&gt;=YEAR($F$5:$F$43))*$G$5:$G$43)/SUMPRODUCT((J$100&gt;=YEAR($F$5:$F$43))*$G$5:$G$43)),IF(I104&gt;0,I104/(1+lgh_equity!J$24),0))</f>
        <v>5.5894705464414607E-3</v>
      </c>
      <c r="K104" s="1788">
        <f t="array" ref="K104">IF(SUMPRODUCT(($A104=$Y$5:$Y$43)*(K$100=YEAR($F$5:$F$43)))&gt;=1,SUMPRODUCT(($A104=$A$61:$A$95)*$I$61:$I$95)*((SUMPRODUCT((K$100&gt;=YEAR($F$5:$F$43))*$G$5:$G$43)/$K$58)*100%)*(SUMPRODUCT(($A104=$Y$5:$Y$43)*(K$100&gt;=YEAR($F$5:$F$43))*$G$5:$G$43)/SUMPRODUCT((K$100&gt;=YEAR($F$5:$F$43))*$G$5:$G$43)),IF(J104&gt;0,J104/(1+lgh_equity!K$24),0))</f>
        <v>5.5894705464414607E-3</v>
      </c>
      <c r="L104" s="1788">
        <f t="array" ref="L104">IF(SUMPRODUCT(($A104=$Y$5:$Y$43)*(L$100=YEAR($F$5:$F$43)))&gt;=1,SUMPRODUCT(($A104=$A$61:$A$95)*$I$61:$I$95)*((SUMPRODUCT((L$100&gt;=YEAR($F$5:$F$43))*$G$5:$G$43)/$K$58)*100%)*(SUMPRODUCT(($A104=$Y$5:$Y$43)*(L$100&gt;=YEAR($F$5:$F$43))*$G$5:$G$43)/SUMPRODUCT((L$100&gt;=YEAR($F$5:$F$43))*$G$5:$G$43)),IF(K104&gt;0,K104/(1+lgh_equity!L$24),0))</f>
        <v>5.5894705464414607E-3</v>
      </c>
      <c r="M104" s="1788">
        <f t="array" ref="M104">IF(SUMPRODUCT(($A104=$Y$5:$Y$43)*(M$100=YEAR($F$5:$F$43)))&gt;=1,SUMPRODUCT(($A104=$A$61:$A$95)*$I$61:$I$95)*((SUMPRODUCT((M$100&gt;=YEAR($F$5:$F$43))*$G$5:$G$43)/$K$58)*100%)*(SUMPRODUCT(($A104=$Y$5:$Y$43)*(M$100&gt;=YEAR($F$5:$F$43))*$G$5:$G$43)/SUMPRODUCT((M$100&gt;=YEAR($F$5:$F$43))*$G$5:$G$43)),IF(L104&gt;0,L104/(1+lgh_equity!M$24),0))</f>
        <v>5.5894705464414607E-3</v>
      </c>
      <c r="N104" s="1773">
        <f t="array" ref="N104">IF(SUMPRODUCT(($A104=$Y$5:$Y$43)*(N$100=YEAR($F$5:$F$43)))&gt;=1,SUMPRODUCT(($A104=$A$61:$A$95)*$I$61:$I$95)*((SUMPRODUCT((N$100&gt;=YEAR($F$5:$F$43))*$G$5:$G$43)/$K$58)*100%)*(SUMPRODUCT(($A104=$Y$5:$Y$43)*(N$100&gt;=YEAR($F$5:$F$43))*$G$5:$G$43)/SUMPRODUCT((N$100&gt;=YEAR($F$5:$F$43))*$G$5:$G$43)),IF(M104&gt;0,M104/(1+lgh_equity!N$24),0))</f>
        <v>5.5894705464414607E-3</v>
      </c>
      <c r="O104" s="1781"/>
      <c r="P104" s="1781"/>
      <c r="Q104" s="1781"/>
      <c r="R104" s="248"/>
      <c r="S104" s="248"/>
      <c r="T104" s="248"/>
      <c r="U104" s="1743"/>
    </row>
    <row r="105" spans="1:24">
      <c r="A105" t="str">
        <f t="shared" si="19"/>
        <v>PE004 DCAPP Hotel Ventures LLC</v>
      </c>
      <c r="B105" s="2017">
        <v>1.386138613861386E-2</v>
      </c>
      <c r="C105" s="196">
        <f t="array" ref="C105">IF(SUMPRODUCT(($A105=$Y$5:$Y$43)*(C$100=YEAR($F$5:$F$43)))&gt;=1,SUMPRODUCT(($A105=$A$61:$A$95)*$I$61:$I$95)*((SUMPRODUCT((C$100&gt;=YEAR($F$5:$F$43))*$G$5:$G$43)/$K$58)*100%)*(SUMPRODUCT(($A105=$Y$5:$Y$43)*(C$100&gt;=YEAR($F$5:$F$43))*$G$5:$G$43)/SUMPRODUCT((C$100&gt;=YEAR($F$5:$F$43))*$G$5:$G$43)),IF(B105&gt;0,B105/(1+lgh_equity!C$24),0))</f>
        <v>1.386138613861386E-2</v>
      </c>
      <c r="D105" s="196">
        <f t="array" ref="D105">IF(SUMPRODUCT(($A105=$Y$5:$Y$43)*(D$100=YEAR($F$5:$F$43)))&gt;=1,SUMPRODUCT(($A105=$A$61:$A$95)*$I$61:$I$95)*((SUMPRODUCT((D$100&gt;=YEAR($F$5:$F$43))*$G$5:$G$43)/$K$58)*100%)*(SUMPRODUCT(($A105=$Y$5:$Y$43)*(D$100&gt;=YEAR($F$5:$F$43))*$G$5:$G$43)/SUMPRODUCT((D$100&gt;=YEAR($F$5:$F$43))*$G$5:$G$43)),IF(C105&gt;0,C105/(1+lgh_equity!D$24),0))</f>
        <v>1.1214713704380146E-2</v>
      </c>
      <c r="E105" s="196">
        <f t="array" ref="E105">IF(SUMPRODUCT(($A105=$Y$5:$Y$43)*(E$100=YEAR($F$5:$F$43)))&gt;=1,SUMPRODUCT(($A105=$A$61:$A$95)*$I$61:$I$95)*((SUMPRODUCT((E$100&gt;=YEAR($F$5:$F$43))*$G$5:$G$43)/$K$58)*100%)*(SUMPRODUCT(($A105=$Y$5:$Y$43)*(E$100&gt;=YEAR($F$5:$F$43))*$G$5:$G$43)/SUMPRODUCT((E$100&gt;=YEAR($F$5:$F$43))*$G$5:$G$43)),IF(D105&gt;0,D105/(1+lgh_equity!E$24),0))</f>
        <v>1.117894109288292E-2</v>
      </c>
      <c r="F105" s="196">
        <f t="array" ref="F105">IF(SUMPRODUCT(($A105=$Y$5:$Y$43)*(F$100=YEAR($F$5:$F$43)))&gt;=1,SUMPRODUCT(($A105=$A$61:$A$95)*$I$61:$I$95)*((SUMPRODUCT((F$100&gt;=YEAR($F$5:$F$43))*$G$5:$G$43)/$K$58)*100%)*(SUMPRODUCT(($A105=$Y$5:$Y$43)*(F$100&gt;=YEAR($F$5:$F$43))*$G$5:$G$43)/SUMPRODUCT((F$100&gt;=YEAR($F$5:$F$43))*$G$5:$G$43)),IF(E105&gt;0,E105/(1+lgh_equity!F$24),0))</f>
        <v>1.117894109288292E-2</v>
      </c>
      <c r="G105" s="1758">
        <f t="array" ref="G105">IF(SUMPRODUCT(($A105=$Y$5:$Y$43)*(G$100=YEAR($F$5:$F$43)))&gt;=1,SUMPRODUCT(($A105=$A$61:$A$95)*$I$61:$I$95)*((SUMPRODUCT((G$100&gt;=YEAR($F$5:$F$43))*$G$5:$G$43)/$K$58)*100%)*(SUMPRODUCT(($A105=$Y$5:$Y$43)*(G$100&gt;=YEAR($F$5:$F$43))*$G$5:$G$43)/SUMPRODUCT((G$100&gt;=YEAR($F$5:$F$43))*$G$5:$G$43)),IF(F105&gt;0,F105/(1+lgh_equity!G$24),0))</f>
        <v>1.117894109288292E-2</v>
      </c>
      <c r="H105" s="1758">
        <f t="array" ref="H105">IF(SUMPRODUCT(($A105=$Y$5:$Y$43)*(H$100=YEAR($F$5:$F$43)))&gt;=1,SUMPRODUCT(($A105=$A$61:$A$95)*$I$61:$I$95)*((SUMPRODUCT((H$100&gt;=YEAR($F$5:$F$43))*$G$5:$G$43)/$K$58)*100%)*(SUMPRODUCT(($A105=$Y$5:$Y$43)*(H$100&gt;=YEAR($F$5:$F$43))*$G$5:$G$43)/SUMPRODUCT((H$100&gt;=YEAR($F$5:$F$43))*$G$5:$G$43)),IF(G105&gt;0,G105/(1+lgh_equity!H$24),0))</f>
        <v>1.117894109288292E-2</v>
      </c>
      <c r="I105" s="1773">
        <f t="array" ref="I105">IF(SUMPRODUCT(($A105=$Y$5:$Y$43)*(I$100=YEAR($F$5:$F$43)))&gt;=1,SUMPRODUCT(($A105=$A$61:$A$95)*$I$61:$I$95)*((SUMPRODUCT((I$100&gt;=YEAR($F$5:$F$43))*$G$5:$G$43)/$K$58)*100%)*(SUMPRODUCT(($A105=$Y$5:$Y$43)*(I$100&gt;=YEAR($F$5:$F$43))*$G$5:$G$43)/SUMPRODUCT((I$100&gt;=YEAR($F$5:$F$43))*$G$5:$G$43)),IF(H105&gt;0,H105/(1+lgh_equity!I$24),0))</f>
        <v>1.117894109288292E-2</v>
      </c>
      <c r="J105" s="1773">
        <f t="array" ref="J105">IF(SUMPRODUCT(($A105=$Y$5:$Y$43)*(J$100=YEAR($F$5:$F$43)))&gt;=1,SUMPRODUCT(($A105=$A$61:$A$95)*$I$61:$I$95)*((SUMPRODUCT((J$100&gt;=YEAR($F$5:$F$43))*$G$5:$G$43)/$K$58)*100%)*(SUMPRODUCT(($A105=$Y$5:$Y$43)*(J$100&gt;=YEAR($F$5:$F$43))*$G$5:$G$43)/SUMPRODUCT((J$100&gt;=YEAR($F$5:$F$43))*$G$5:$G$43)),IF(I105&gt;0,I105/(1+lgh_equity!J$24),0))</f>
        <v>1.117894109288292E-2</v>
      </c>
      <c r="K105" s="1788">
        <f t="array" ref="K105">IF(SUMPRODUCT(($A105=$Y$5:$Y$43)*(K$100=YEAR($F$5:$F$43)))&gt;=1,SUMPRODUCT(($A105=$A$61:$A$95)*$I$61:$I$95)*((SUMPRODUCT((K$100&gt;=YEAR($F$5:$F$43))*$G$5:$G$43)/$K$58)*100%)*(SUMPRODUCT(($A105=$Y$5:$Y$43)*(K$100&gt;=YEAR($F$5:$F$43))*$G$5:$G$43)/SUMPRODUCT((K$100&gt;=YEAR($F$5:$F$43))*$G$5:$G$43)),IF(J105&gt;0,J105/(1+lgh_equity!K$24),0))</f>
        <v>1.117894109288292E-2</v>
      </c>
      <c r="L105" s="1788">
        <f t="array" ref="L105">IF(SUMPRODUCT(($A105=$Y$5:$Y$43)*(L$100=YEAR($F$5:$F$43)))&gt;=1,SUMPRODUCT(($A105=$A$61:$A$95)*$I$61:$I$95)*((SUMPRODUCT((L$100&gt;=YEAR($F$5:$F$43))*$G$5:$G$43)/$K$58)*100%)*(SUMPRODUCT(($A105=$Y$5:$Y$43)*(L$100&gt;=YEAR($F$5:$F$43))*$G$5:$G$43)/SUMPRODUCT((L$100&gt;=YEAR($F$5:$F$43))*$G$5:$G$43)),IF(K105&gt;0,K105/(1+lgh_equity!L$24),0))</f>
        <v>1.117894109288292E-2</v>
      </c>
      <c r="M105" s="1788">
        <f t="array" ref="M105">IF(SUMPRODUCT(($A105=$Y$5:$Y$43)*(M$100=YEAR($F$5:$F$43)))&gt;=1,SUMPRODUCT(($A105=$A$61:$A$95)*$I$61:$I$95)*((SUMPRODUCT((M$100&gt;=YEAR($F$5:$F$43))*$G$5:$G$43)/$K$58)*100%)*(SUMPRODUCT(($A105=$Y$5:$Y$43)*(M$100&gt;=YEAR($F$5:$F$43))*$G$5:$G$43)/SUMPRODUCT((M$100&gt;=YEAR($F$5:$F$43))*$G$5:$G$43)),IF(L105&gt;0,L105/(1+lgh_equity!M$24),0))</f>
        <v>1.117894109288292E-2</v>
      </c>
      <c r="N105" s="1773">
        <f t="array" ref="N105">IF(SUMPRODUCT(($A105=$Y$5:$Y$43)*(N$100=YEAR($F$5:$F$43)))&gt;=1,SUMPRODUCT(($A105=$A$61:$A$95)*$I$61:$I$95)*((SUMPRODUCT((N$100&gt;=YEAR($F$5:$F$43))*$G$5:$G$43)/$K$58)*100%)*(SUMPRODUCT(($A105=$Y$5:$Y$43)*(N$100&gt;=YEAR($F$5:$F$43))*$G$5:$G$43)/SUMPRODUCT((N$100&gt;=YEAR($F$5:$F$43))*$G$5:$G$43)),IF(M105&gt;0,M105/(1+lgh_equity!N$24),0))</f>
        <v>1.117894109288292E-2</v>
      </c>
      <c r="O105" s="1781"/>
      <c r="P105" s="1781"/>
      <c r="Q105" s="1781"/>
      <c r="R105" s="248"/>
      <c r="S105" s="248"/>
      <c r="T105" s="248"/>
      <c r="U105" s="1743"/>
    </row>
    <row r="106" spans="1:24">
      <c r="A106" t="str">
        <f t="shared" si="19"/>
        <v>PE005 DCAPP Hotel Ventures LLC</v>
      </c>
      <c r="B106" s="2017">
        <v>1.108910891089109E-2</v>
      </c>
      <c r="C106" s="196">
        <f t="array" ref="C106">IF(SUMPRODUCT(($A106=$Y$5:$Y$43)*(C$100=YEAR($F$5:$F$43)))&gt;=1,SUMPRODUCT(($A106=$A$61:$A$95)*$I$61:$I$95)*((SUMPRODUCT((C$100&gt;=YEAR($F$5:$F$43))*$G$5:$G$43)/$K$58)*100%)*(SUMPRODUCT(($A106=$Y$5:$Y$43)*(C$100&gt;=YEAR($F$5:$F$43))*$G$5:$G$43)/SUMPRODUCT((C$100&gt;=YEAR($F$5:$F$43))*$G$5:$G$43)),IF(B106&gt;0,B106/(1+lgh_equity!C$24),0))</f>
        <v>1.108910891089109E-2</v>
      </c>
      <c r="D106" s="196">
        <f t="array" ref="D106">IF(SUMPRODUCT(($A106=$Y$5:$Y$43)*(D$100=YEAR($F$5:$F$43)))&gt;=1,SUMPRODUCT(($A106=$A$61:$A$95)*$I$61:$I$95)*((SUMPRODUCT((D$100&gt;=YEAR($F$5:$F$43))*$G$5:$G$43)/$K$58)*100%)*(SUMPRODUCT(($A106=$Y$5:$Y$43)*(D$100&gt;=YEAR($F$5:$F$43))*$G$5:$G$43)/SUMPRODUCT((D$100&gt;=YEAR($F$5:$F$43))*$G$5:$G$43)),IF(C106&gt;0,C106/(1+lgh_equity!D$24),0))</f>
        <v>8.9717709635041189E-3</v>
      </c>
      <c r="E106" s="196">
        <f t="array" ref="E106">IF(SUMPRODUCT(($A106=$Y$5:$Y$43)*(E$100=YEAR($F$5:$F$43)))&gt;=1,SUMPRODUCT(($A106=$A$61:$A$95)*$I$61:$I$95)*((SUMPRODUCT((E$100&gt;=YEAR($F$5:$F$43))*$G$5:$G$43)/$K$58)*100%)*(SUMPRODUCT(($A106=$Y$5:$Y$43)*(E$100&gt;=YEAR($F$5:$F$43))*$G$5:$G$43)/SUMPRODUCT((E$100&gt;=YEAR($F$5:$F$43))*$G$5:$G$43)),IF(D106&gt;0,D106/(1+lgh_equity!E$24),0))</f>
        <v>8.9431528743063385E-3</v>
      </c>
      <c r="F106" s="196">
        <f t="array" ref="F106">IF(SUMPRODUCT(($A106=$Y$5:$Y$43)*(F$100=YEAR($F$5:$F$43)))&gt;=1,SUMPRODUCT(($A106=$A$61:$A$95)*$I$61:$I$95)*((SUMPRODUCT((F$100&gt;=YEAR($F$5:$F$43))*$G$5:$G$43)/$K$58)*100%)*(SUMPRODUCT(($A106=$Y$5:$Y$43)*(F$100&gt;=YEAR($F$5:$F$43))*$G$5:$G$43)/SUMPRODUCT((F$100&gt;=YEAR($F$5:$F$43))*$G$5:$G$43)),IF(E106&gt;0,E106/(1+lgh_equity!F$24),0))</f>
        <v>8.9431528743063385E-3</v>
      </c>
      <c r="G106" s="1758">
        <f t="array" ref="G106">IF(SUMPRODUCT(($A106=$Y$5:$Y$43)*(G$100=YEAR($F$5:$F$43)))&gt;=1,SUMPRODUCT(($A106=$A$61:$A$95)*$I$61:$I$95)*((SUMPRODUCT((G$100&gt;=YEAR($F$5:$F$43))*$G$5:$G$43)/$K$58)*100%)*(SUMPRODUCT(($A106=$Y$5:$Y$43)*(G$100&gt;=YEAR($F$5:$F$43))*$G$5:$G$43)/SUMPRODUCT((G$100&gt;=YEAR($F$5:$F$43))*$G$5:$G$43)),IF(F106&gt;0,F106/(1+lgh_equity!G$24),0))</f>
        <v>8.9431528743063385E-3</v>
      </c>
      <c r="H106" s="1758">
        <f t="array" ref="H106">IF(SUMPRODUCT(($A106=$Y$5:$Y$43)*(H$100=YEAR($F$5:$F$43)))&gt;=1,SUMPRODUCT(($A106=$A$61:$A$95)*$I$61:$I$95)*((SUMPRODUCT((H$100&gt;=YEAR($F$5:$F$43))*$G$5:$G$43)/$K$58)*100%)*(SUMPRODUCT(($A106=$Y$5:$Y$43)*(H$100&gt;=YEAR($F$5:$F$43))*$G$5:$G$43)/SUMPRODUCT((H$100&gt;=YEAR($F$5:$F$43))*$G$5:$G$43)),IF(G106&gt;0,G106/(1+lgh_equity!H$24),0))</f>
        <v>8.9431528743063385E-3</v>
      </c>
      <c r="I106" s="1773">
        <f t="array" ref="I106">IF(SUMPRODUCT(($A106=$Y$5:$Y$43)*(I$100=YEAR($F$5:$F$43)))&gt;=1,SUMPRODUCT(($A106=$A$61:$A$95)*$I$61:$I$95)*((SUMPRODUCT((I$100&gt;=YEAR($F$5:$F$43))*$G$5:$G$43)/$K$58)*100%)*(SUMPRODUCT(($A106=$Y$5:$Y$43)*(I$100&gt;=YEAR($F$5:$F$43))*$G$5:$G$43)/SUMPRODUCT((I$100&gt;=YEAR($F$5:$F$43))*$G$5:$G$43)),IF(H106&gt;0,H106/(1+lgh_equity!I$24),0))</f>
        <v>8.9431528743063385E-3</v>
      </c>
      <c r="J106" s="1773">
        <f t="array" ref="J106">IF(SUMPRODUCT(($A106=$Y$5:$Y$43)*(J$100=YEAR($F$5:$F$43)))&gt;=1,SUMPRODUCT(($A106=$A$61:$A$95)*$I$61:$I$95)*((SUMPRODUCT((J$100&gt;=YEAR($F$5:$F$43))*$G$5:$G$43)/$K$58)*100%)*(SUMPRODUCT(($A106=$Y$5:$Y$43)*(J$100&gt;=YEAR($F$5:$F$43))*$G$5:$G$43)/SUMPRODUCT((J$100&gt;=YEAR($F$5:$F$43))*$G$5:$G$43)),IF(I106&gt;0,I106/(1+lgh_equity!J$24),0))</f>
        <v>8.9431528743063385E-3</v>
      </c>
      <c r="K106" s="1788">
        <f t="array" ref="K106">IF(SUMPRODUCT(($A106=$Y$5:$Y$43)*(K$100=YEAR($F$5:$F$43)))&gt;=1,SUMPRODUCT(($A106=$A$61:$A$95)*$I$61:$I$95)*((SUMPRODUCT((K$100&gt;=YEAR($F$5:$F$43))*$G$5:$G$43)/$K$58)*100%)*(SUMPRODUCT(($A106=$Y$5:$Y$43)*(K$100&gt;=YEAR($F$5:$F$43))*$G$5:$G$43)/SUMPRODUCT((K$100&gt;=YEAR($F$5:$F$43))*$G$5:$G$43)),IF(J106&gt;0,J106/(1+lgh_equity!K$24),0))</f>
        <v>8.9431528743063385E-3</v>
      </c>
      <c r="L106" s="1788">
        <f t="array" ref="L106">IF(SUMPRODUCT(($A106=$Y$5:$Y$43)*(L$100=YEAR($F$5:$F$43)))&gt;=1,SUMPRODUCT(($A106=$A$61:$A$95)*$I$61:$I$95)*((SUMPRODUCT((L$100&gt;=YEAR($F$5:$F$43))*$G$5:$G$43)/$K$58)*100%)*(SUMPRODUCT(($A106=$Y$5:$Y$43)*(L$100&gt;=YEAR($F$5:$F$43))*$G$5:$G$43)/SUMPRODUCT((L$100&gt;=YEAR($F$5:$F$43))*$G$5:$G$43)),IF(K106&gt;0,K106/(1+lgh_equity!L$24),0))</f>
        <v>8.9431528743063385E-3</v>
      </c>
      <c r="M106" s="1788">
        <f t="array" ref="M106">IF(SUMPRODUCT(($A106=$Y$5:$Y$43)*(M$100=YEAR($F$5:$F$43)))&gt;=1,SUMPRODUCT(($A106=$A$61:$A$95)*$I$61:$I$95)*((SUMPRODUCT((M$100&gt;=YEAR($F$5:$F$43))*$G$5:$G$43)/$K$58)*100%)*(SUMPRODUCT(($A106=$Y$5:$Y$43)*(M$100&gt;=YEAR($F$5:$F$43))*$G$5:$G$43)/SUMPRODUCT((M$100&gt;=YEAR($F$5:$F$43))*$G$5:$G$43)),IF(L106&gt;0,L106/(1+lgh_equity!M$24),0))</f>
        <v>8.9431528743063385E-3</v>
      </c>
      <c r="N106" s="1773">
        <f t="array" ref="N106">IF(SUMPRODUCT(($A106=$Y$5:$Y$43)*(N$100=YEAR($F$5:$F$43)))&gt;=1,SUMPRODUCT(($A106=$A$61:$A$95)*$I$61:$I$95)*((SUMPRODUCT((N$100&gt;=YEAR($F$5:$F$43))*$G$5:$G$43)/$K$58)*100%)*(SUMPRODUCT(($A106=$Y$5:$Y$43)*(N$100&gt;=YEAR($F$5:$F$43))*$G$5:$G$43)/SUMPRODUCT((N$100&gt;=YEAR($F$5:$F$43))*$G$5:$G$43)),IF(M106&gt;0,M106/(1+lgh_equity!N$24),0))</f>
        <v>8.9431528743063385E-3</v>
      </c>
      <c r="O106" s="1781"/>
      <c r="P106" s="1781"/>
      <c r="Q106" s="1781"/>
      <c r="R106" s="248"/>
      <c r="S106" s="248"/>
      <c r="T106" s="248"/>
      <c r="U106" s="1743"/>
    </row>
    <row r="107" spans="1:24">
      <c r="A107" t="str">
        <f t="shared" si="19"/>
        <v>PE006 DCAPP Hotel Ventures LLC</v>
      </c>
      <c r="B107" s="2017">
        <v>5.5445544554455451E-3</v>
      </c>
      <c r="C107" s="196">
        <f t="array" ref="C107">IF(SUMPRODUCT(($A107=$Y$5:$Y$43)*(C$100=YEAR($F$5:$F$43)))&gt;=1,SUMPRODUCT(($A107=$A$61:$A$95)*$I$61:$I$95)*((SUMPRODUCT((C$100&gt;=YEAR($F$5:$F$43))*$G$5:$G$43)/$K$58)*100%)*(SUMPRODUCT(($A107=$Y$5:$Y$43)*(C$100&gt;=YEAR($F$5:$F$43))*$G$5:$G$43)/SUMPRODUCT((C$100&gt;=YEAR($F$5:$F$43))*$G$5:$G$43)),IF(B107&gt;0,B107/(1+lgh_equity!C$24),0))</f>
        <v>5.5445544554455451E-3</v>
      </c>
      <c r="D107" s="196">
        <f t="array" ref="D107">IF(SUMPRODUCT(($A107=$Y$5:$Y$43)*(D$100=YEAR($F$5:$F$43)))&gt;=1,SUMPRODUCT(($A107=$A$61:$A$95)*$I$61:$I$95)*((SUMPRODUCT((D$100&gt;=YEAR($F$5:$F$43))*$G$5:$G$43)/$K$58)*100%)*(SUMPRODUCT(($A107=$Y$5:$Y$43)*(D$100&gt;=YEAR($F$5:$F$43))*$G$5:$G$43)/SUMPRODUCT((D$100&gt;=YEAR($F$5:$F$43))*$G$5:$G$43)),IF(C107&gt;0,C107/(1+lgh_equity!D$24),0))</f>
        <v>4.4858854817520595E-3</v>
      </c>
      <c r="E107" s="196">
        <f t="array" ref="E107">IF(SUMPRODUCT(($A107=$Y$5:$Y$43)*(E$100=YEAR($F$5:$F$43)))&gt;=1,SUMPRODUCT(($A107=$A$61:$A$95)*$I$61:$I$95)*((SUMPRODUCT((E$100&gt;=YEAR($F$5:$F$43))*$G$5:$G$43)/$K$58)*100%)*(SUMPRODUCT(($A107=$Y$5:$Y$43)*(E$100&gt;=YEAR($F$5:$F$43))*$G$5:$G$43)/SUMPRODUCT((E$100&gt;=YEAR($F$5:$F$43))*$G$5:$G$43)),IF(D107&gt;0,D107/(1+lgh_equity!E$24),0))</f>
        <v>4.4715764371531692E-3</v>
      </c>
      <c r="F107" s="196">
        <f t="array" ref="F107">IF(SUMPRODUCT(($A107=$Y$5:$Y$43)*(F$100=YEAR($F$5:$F$43)))&gt;=1,SUMPRODUCT(($A107=$A$61:$A$95)*$I$61:$I$95)*((SUMPRODUCT((F$100&gt;=YEAR($F$5:$F$43))*$G$5:$G$43)/$K$58)*100%)*(SUMPRODUCT(($A107=$Y$5:$Y$43)*(F$100&gt;=YEAR($F$5:$F$43))*$G$5:$G$43)/SUMPRODUCT((F$100&gt;=YEAR($F$5:$F$43))*$G$5:$G$43)),IF(E107&gt;0,E107/(1+lgh_equity!F$24),0))</f>
        <v>4.4715764371531692E-3</v>
      </c>
      <c r="G107" s="1758">
        <f t="array" ref="G107">IF(SUMPRODUCT(($A107=$Y$5:$Y$43)*(G$100=YEAR($F$5:$F$43)))&gt;=1,SUMPRODUCT(($A107=$A$61:$A$95)*$I$61:$I$95)*((SUMPRODUCT((G$100&gt;=YEAR($F$5:$F$43))*$G$5:$G$43)/$K$58)*100%)*(SUMPRODUCT(($A107=$Y$5:$Y$43)*(G$100&gt;=YEAR($F$5:$F$43))*$G$5:$G$43)/SUMPRODUCT((G$100&gt;=YEAR($F$5:$F$43))*$G$5:$G$43)),IF(F107&gt;0,F107/(1+lgh_equity!G$24),0))</f>
        <v>4.4715764371531692E-3</v>
      </c>
      <c r="H107" s="1758">
        <f t="array" ref="H107">IF(SUMPRODUCT(($A107=$Y$5:$Y$43)*(H$100=YEAR($F$5:$F$43)))&gt;=1,SUMPRODUCT(($A107=$A$61:$A$95)*$I$61:$I$95)*((SUMPRODUCT((H$100&gt;=YEAR($F$5:$F$43))*$G$5:$G$43)/$K$58)*100%)*(SUMPRODUCT(($A107=$Y$5:$Y$43)*(H$100&gt;=YEAR($F$5:$F$43))*$G$5:$G$43)/SUMPRODUCT((H$100&gt;=YEAR($F$5:$F$43))*$G$5:$G$43)),IF(G107&gt;0,G107/(1+lgh_equity!H$24),0))</f>
        <v>4.4715764371531692E-3</v>
      </c>
      <c r="I107" s="1773">
        <f t="array" ref="I107">IF(SUMPRODUCT(($A107=$Y$5:$Y$43)*(I$100=YEAR($F$5:$F$43)))&gt;=1,SUMPRODUCT(($A107=$A$61:$A$95)*$I$61:$I$95)*((SUMPRODUCT((I$100&gt;=YEAR($F$5:$F$43))*$G$5:$G$43)/$K$58)*100%)*(SUMPRODUCT(($A107=$Y$5:$Y$43)*(I$100&gt;=YEAR($F$5:$F$43))*$G$5:$G$43)/SUMPRODUCT((I$100&gt;=YEAR($F$5:$F$43))*$G$5:$G$43)),IF(H107&gt;0,H107/(1+lgh_equity!I$24),0))</f>
        <v>4.4715764371531692E-3</v>
      </c>
      <c r="J107" s="1773">
        <f t="array" ref="J107">IF(SUMPRODUCT(($A107=$Y$5:$Y$43)*(J$100=YEAR($F$5:$F$43)))&gt;=1,SUMPRODUCT(($A107=$A$61:$A$95)*$I$61:$I$95)*((SUMPRODUCT((J$100&gt;=YEAR($F$5:$F$43))*$G$5:$G$43)/$K$58)*100%)*(SUMPRODUCT(($A107=$Y$5:$Y$43)*(J$100&gt;=YEAR($F$5:$F$43))*$G$5:$G$43)/SUMPRODUCT((J$100&gt;=YEAR($F$5:$F$43))*$G$5:$G$43)),IF(I107&gt;0,I107/(1+lgh_equity!J$24),0))</f>
        <v>4.4715764371531692E-3</v>
      </c>
      <c r="K107" s="1788">
        <f t="array" ref="K107">IF(SUMPRODUCT(($A107=$Y$5:$Y$43)*(K$100=YEAR($F$5:$F$43)))&gt;=1,SUMPRODUCT(($A107=$A$61:$A$95)*$I$61:$I$95)*((SUMPRODUCT((K$100&gt;=YEAR($F$5:$F$43))*$G$5:$G$43)/$K$58)*100%)*(SUMPRODUCT(($A107=$Y$5:$Y$43)*(K$100&gt;=YEAR($F$5:$F$43))*$G$5:$G$43)/SUMPRODUCT((K$100&gt;=YEAR($F$5:$F$43))*$G$5:$G$43)),IF(J107&gt;0,J107/(1+lgh_equity!K$24),0))</f>
        <v>4.4715764371531692E-3</v>
      </c>
      <c r="L107" s="1788">
        <f t="array" ref="L107">IF(SUMPRODUCT(($A107=$Y$5:$Y$43)*(L$100=YEAR($F$5:$F$43)))&gt;=1,SUMPRODUCT(($A107=$A$61:$A$95)*$I$61:$I$95)*((SUMPRODUCT((L$100&gt;=YEAR($F$5:$F$43))*$G$5:$G$43)/$K$58)*100%)*(SUMPRODUCT(($A107=$Y$5:$Y$43)*(L$100&gt;=YEAR($F$5:$F$43))*$G$5:$G$43)/SUMPRODUCT((L$100&gt;=YEAR($F$5:$F$43))*$G$5:$G$43)),IF(K107&gt;0,K107/(1+lgh_equity!L$24),0))</f>
        <v>4.4715764371531692E-3</v>
      </c>
      <c r="M107" s="1788">
        <f t="array" ref="M107">IF(SUMPRODUCT(($A107=$Y$5:$Y$43)*(M$100=YEAR($F$5:$F$43)))&gt;=1,SUMPRODUCT(($A107=$A$61:$A$95)*$I$61:$I$95)*((SUMPRODUCT((M$100&gt;=YEAR($F$5:$F$43))*$G$5:$G$43)/$K$58)*100%)*(SUMPRODUCT(($A107=$Y$5:$Y$43)*(M$100&gt;=YEAR($F$5:$F$43))*$G$5:$G$43)/SUMPRODUCT((M$100&gt;=YEAR($F$5:$F$43))*$G$5:$G$43)),IF(L107&gt;0,L107/(1+lgh_equity!M$24),0))</f>
        <v>4.4715764371531692E-3</v>
      </c>
      <c r="N107" s="1773">
        <f t="array" ref="N107">IF(SUMPRODUCT(($A107=$Y$5:$Y$43)*(N$100=YEAR($F$5:$F$43)))&gt;=1,SUMPRODUCT(($A107=$A$61:$A$95)*$I$61:$I$95)*((SUMPRODUCT((N$100&gt;=YEAR($F$5:$F$43))*$G$5:$G$43)/$K$58)*100%)*(SUMPRODUCT(($A107=$Y$5:$Y$43)*(N$100&gt;=YEAR($F$5:$F$43))*$G$5:$G$43)/SUMPRODUCT((N$100&gt;=YEAR($F$5:$F$43))*$G$5:$G$43)),IF(M107&gt;0,M107/(1+lgh_equity!N$24),0))</f>
        <v>4.4715764371531692E-3</v>
      </c>
      <c r="O107" s="1781"/>
      <c r="P107" s="1781"/>
      <c r="Q107" s="1781"/>
      <c r="R107" s="248"/>
      <c r="S107" s="248"/>
      <c r="T107" s="248"/>
      <c r="U107" s="1743"/>
    </row>
    <row r="108" spans="1:24">
      <c r="A108" t="str">
        <f t="shared" si="19"/>
        <v>PE007 La Pointe Investments LLC</v>
      </c>
      <c r="B108" s="2017">
        <v>6.1881188118811884E-3</v>
      </c>
      <c r="C108" s="196">
        <f t="array" ref="C108">IF(SUMPRODUCT(($A108=$Y$5:$Y$43)*(C$100=YEAR($F$5:$F$43)))&gt;=1,SUMPRODUCT(($A108=$A$61:$A$95)*$I$61:$I$95)*((SUMPRODUCT((C$100&gt;=YEAR($F$5:$F$43))*$G$5:$G$43)/$K$58)*100%)*(SUMPRODUCT(($A108=$Y$5:$Y$43)*(C$100&gt;=YEAR($F$5:$F$43))*$G$5:$G$43)/SUMPRODUCT((C$100&gt;=YEAR($F$5:$F$43))*$G$5:$G$43)),IF(B108&gt;0,B108/(1+lgh_equity!C$24),0))</f>
        <v>6.1881188118811884E-3</v>
      </c>
      <c r="D108" s="196">
        <f t="array" ref="D108">IF(SUMPRODUCT(($A108=$Y$5:$Y$43)*(D$100=YEAR($F$5:$F$43)))&gt;=1,SUMPRODUCT(($A108=$A$61:$A$95)*$I$61:$I$95)*((SUMPRODUCT((D$100&gt;=YEAR($F$5:$F$43))*$G$5:$G$43)/$K$58)*100%)*(SUMPRODUCT(($A108=$Y$5:$Y$43)*(D$100&gt;=YEAR($F$5:$F$43))*$G$5:$G$43)/SUMPRODUCT((D$100&gt;=YEAR($F$5:$F$43))*$G$5:$G$43)),IF(C108&gt;0,C108/(1+lgh_equity!D$24),0))</f>
        <v>5.0065686180268514E-3</v>
      </c>
      <c r="E108" s="196">
        <f t="array" ref="E108">IF(SUMPRODUCT(($A108=$Y$5:$Y$43)*(E$100=YEAR($F$5:$F$43)))&gt;=1,SUMPRODUCT(($A108=$A$61:$A$95)*$I$61:$I$95)*((SUMPRODUCT((E$100&gt;=YEAR($F$5:$F$43))*$G$5:$G$43)/$K$58)*100%)*(SUMPRODUCT(($A108=$Y$5:$Y$43)*(E$100&gt;=YEAR($F$5:$F$43))*$G$5:$G$43)/SUMPRODUCT((E$100&gt;=YEAR($F$5:$F$43))*$G$5:$G$43)),IF(D108&gt;0,D108/(1+lgh_equity!E$24),0))</f>
        <v>4.9905987021798756E-3</v>
      </c>
      <c r="F108" s="196">
        <f t="array" ref="F108">IF(SUMPRODUCT(($A108=$Y$5:$Y$43)*(F$100=YEAR($F$5:$F$43)))&gt;=1,SUMPRODUCT(($A108=$A$61:$A$95)*$I$61:$I$95)*((SUMPRODUCT((F$100&gt;=YEAR($F$5:$F$43))*$G$5:$G$43)/$K$58)*100%)*(SUMPRODUCT(($A108=$Y$5:$Y$43)*(F$100&gt;=YEAR($F$5:$F$43))*$G$5:$G$43)/SUMPRODUCT((F$100&gt;=YEAR($F$5:$F$43))*$G$5:$G$43)),IF(E108&gt;0,E108/(1+lgh_equity!F$24),0))</f>
        <v>4.9905987021798756E-3</v>
      </c>
      <c r="G108" s="1758">
        <f t="array" ref="G108">IF(SUMPRODUCT(($A108=$Y$5:$Y$43)*(G$100=YEAR($F$5:$F$43)))&gt;=1,SUMPRODUCT(($A108=$A$61:$A$95)*$I$61:$I$95)*((SUMPRODUCT((G$100&gt;=YEAR($F$5:$F$43))*$G$5:$G$43)/$K$58)*100%)*(SUMPRODUCT(($A108=$Y$5:$Y$43)*(G$100&gt;=YEAR($F$5:$F$43))*$G$5:$G$43)/SUMPRODUCT((G$100&gt;=YEAR($F$5:$F$43))*$G$5:$G$43)),IF(F108&gt;0,F108/(1+lgh_equity!G$24),0))</f>
        <v>4.9905987021798756E-3</v>
      </c>
      <c r="H108" s="1758">
        <f t="array" ref="H108">IF(SUMPRODUCT(($A108=$Y$5:$Y$43)*(H$100=YEAR($F$5:$F$43)))&gt;=1,SUMPRODUCT(($A108=$A$61:$A$95)*$I$61:$I$95)*((SUMPRODUCT((H$100&gt;=YEAR($F$5:$F$43))*$G$5:$G$43)/$K$58)*100%)*(SUMPRODUCT(($A108=$Y$5:$Y$43)*(H$100&gt;=YEAR($F$5:$F$43))*$G$5:$G$43)/SUMPRODUCT((H$100&gt;=YEAR($F$5:$F$43))*$G$5:$G$43)),IF(G108&gt;0,G108/(1+lgh_equity!H$24),0))</f>
        <v>4.9905987021798756E-3</v>
      </c>
      <c r="I108" s="1773">
        <f t="array" ref="I108">IF(SUMPRODUCT(($A108=$Y$5:$Y$43)*(I$100=YEAR($F$5:$F$43)))&gt;=1,SUMPRODUCT(($A108=$A$61:$A$95)*$I$61:$I$95)*((SUMPRODUCT((I$100&gt;=YEAR($F$5:$F$43))*$G$5:$G$43)/$K$58)*100%)*(SUMPRODUCT(($A108=$Y$5:$Y$43)*(I$100&gt;=YEAR($F$5:$F$43))*$G$5:$G$43)/SUMPRODUCT((I$100&gt;=YEAR($F$5:$F$43))*$G$5:$G$43)),IF(H108&gt;0,H108/(1+lgh_equity!I$24),0))</f>
        <v>4.9905987021798756E-3</v>
      </c>
      <c r="J108" s="1773">
        <f t="array" ref="J108">IF(SUMPRODUCT(($A108=$Y$5:$Y$43)*(J$100=YEAR($F$5:$F$43)))&gt;=1,SUMPRODUCT(($A108=$A$61:$A$95)*$I$61:$I$95)*((SUMPRODUCT((J$100&gt;=YEAR($F$5:$F$43))*$G$5:$G$43)/$K$58)*100%)*(SUMPRODUCT(($A108=$Y$5:$Y$43)*(J$100&gt;=YEAR($F$5:$F$43))*$G$5:$G$43)/SUMPRODUCT((J$100&gt;=YEAR($F$5:$F$43))*$G$5:$G$43)),IF(I108&gt;0,I108/(1+lgh_equity!J$24),0))</f>
        <v>4.9905987021798756E-3</v>
      </c>
      <c r="K108" s="1788">
        <f t="array" ref="K108">IF(SUMPRODUCT(($A108=$Y$5:$Y$43)*(K$100=YEAR($F$5:$F$43)))&gt;=1,SUMPRODUCT(($A108=$A$61:$A$95)*$I$61:$I$95)*((SUMPRODUCT((K$100&gt;=YEAR($F$5:$F$43))*$G$5:$G$43)/$K$58)*100%)*(SUMPRODUCT(($A108=$Y$5:$Y$43)*(K$100&gt;=YEAR($F$5:$F$43))*$G$5:$G$43)/SUMPRODUCT((K$100&gt;=YEAR($F$5:$F$43))*$G$5:$G$43)),IF(J108&gt;0,J108/(1+lgh_equity!K$24),0))</f>
        <v>4.9905987021798756E-3</v>
      </c>
      <c r="L108" s="1788">
        <f t="array" ref="L108">IF(SUMPRODUCT(($A108=$Y$5:$Y$43)*(L$100=YEAR($F$5:$F$43)))&gt;=1,SUMPRODUCT(($A108=$A$61:$A$95)*$I$61:$I$95)*((SUMPRODUCT((L$100&gt;=YEAR($F$5:$F$43))*$G$5:$G$43)/$K$58)*100%)*(SUMPRODUCT(($A108=$Y$5:$Y$43)*(L$100&gt;=YEAR($F$5:$F$43))*$G$5:$G$43)/SUMPRODUCT((L$100&gt;=YEAR($F$5:$F$43))*$G$5:$G$43)),IF(K108&gt;0,K108/(1+lgh_equity!L$24),0))</f>
        <v>4.9905987021798756E-3</v>
      </c>
      <c r="M108" s="1788">
        <f t="array" ref="M108">IF(SUMPRODUCT(($A108=$Y$5:$Y$43)*(M$100=YEAR($F$5:$F$43)))&gt;=1,SUMPRODUCT(($A108=$A$61:$A$95)*$I$61:$I$95)*((SUMPRODUCT((M$100&gt;=YEAR($F$5:$F$43))*$G$5:$G$43)/$K$58)*100%)*(SUMPRODUCT(($A108=$Y$5:$Y$43)*(M$100&gt;=YEAR($F$5:$F$43))*$G$5:$G$43)/SUMPRODUCT((M$100&gt;=YEAR($F$5:$F$43))*$G$5:$G$43)),IF(L108&gt;0,L108/(1+lgh_equity!M$24),0))</f>
        <v>4.9905987021798756E-3</v>
      </c>
      <c r="N108" s="1773">
        <f t="array" ref="N108">IF(SUMPRODUCT(($A108=$Y$5:$Y$43)*(N$100=YEAR($F$5:$F$43)))&gt;=1,SUMPRODUCT(($A108=$A$61:$A$95)*$I$61:$I$95)*((SUMPRODUCT((N$100&gt;=YEAR($F$5:$F$43))*$G$5:$G$43)/$K$58)*100%)*(SUMPRODUCT(($A108=$Y$5:$Y$43)*(N$100&gt;=YEAR($F$5:$F$43))*$G$5:$G$43)/SUMPRODUCT((N$100&gt;=YEAR($F$5:$F$43))*$G$5:$G$43)),IF(M108&gt;0,M108/(1+lgh_equity!N$24),0))</f>
        <v>4.9905987021798756E-3</v>
      </c>
      <c r="O108" s="1781"/>
      <c r="P108" s="1781"/>
      <c r="Q108" s="1781"/>
      <c r="R108" s="248"/>
      <c r="S108" s="248"/>
      <c r="T108" s="248"/>
      <c r="U108" s="1743"/>
    </row>
    <row r="109" spans="1:24">
      <c r="A109" t="str">
        <f t="shared" si="19"/>
        <v>PE008 La Pointe Investments LLC</v>
      </c>
      <c r="B109" s="2017">
        <v>6.1881188118811884E-3</v>
      </c>
      <c r="C109" s="196">
        <f t="array" ref="C109">IF(SUMPRODUCT(($A109=$Y$5:$Y$43)*(C$100=YEAR($F$5:$F$43)))&gt;=1,SUMPRODUCT(($A109=$A$61:$A$95)*$I$61:$I$95)*((SUMPRODUCT((C$100&gt;=YEAR($F$5:$F$43))*$G$5:$G$43)/$K$58)*100%)*(SUMPRODUCT(($A109=$Y$5:$Y$43)*(C$100&gt;=YEAR($F$5:$F$43))*$G$5:$G$43)/SUMPRODUCT((C$100&gt;=YEAR($F$5:$F$43))*$G$5:$G$43)),IF(B109&gt;0,B109/(1+lgh_equity!C$24),0))</f>
        <v>6.1881188118811884E-3</v>
      </c>
      <c r="D109" s="196">
        <f t="array" ref="D109">IF(SUMPRODUCT(($A109=$Y$5:$Y$43)*(D$100=YEAR($F$5:$F$43)))&gt;=1,SUMPRODUCT(($A109=$A$61:$A$95)*$I$61:$I$95)*((SUMPRODUCT((D$100&gt;=YEAR($F$5:$F$43))*$G$5:$G$43)/$K$58)*100%)*(SUMPRODUCT(($A109=$Y$5:$Y$43)*(D$100&gt;=YEAR($F$5:$F$43))*$G$5:$G$43)/SUMPRODUCT((D$100&gt;=YEAR($F$5:$F$43))*$G$5:$G$43)),IF(C109&gt;0,C109/(1+lgh_equity!D$24),0))</f>
        <v>5.0065686180268514E-3</v>
      </c>
      <c r="E109" s="196">
        <f t="array" ref="E109">IF(SUMPRODUCT(($A109=$Y$5:$Y$43)*(E$100=YEAR($F$5:$F$43)))&gt;=1,SUMPRODUCT(($A109=$A$61:$A$95)*$I$61:$I$95)*((SUMPRODUCT((E$100&gt;=YEAR($F$5:$F$43))*$G$5:$G$43)/$K$58)*100%)*(SUMPRODUCT(($A109=$Y$5:$Y$43)*(E$100&gt;=YEAR($F$5:$F$43))*$G$5:$G$43)/SUMPRODUCT((E$100&gt;=YEAR($F$5:$F$43))*$G$5:$G$43)),IF(D109&gt;0,D109/(1+lgh_equity!E$24),0))</f>
        <v>4.9905987021798756E-3</v>
      </c>
      <c r="F109" s="196">
        <f t="array" ref="F109">IF(SUMPRODUCT(($A109=$Y$5:$Y$43)*(F$100=YEAR($F$5:$F$43)))&gt;=1,SUMPRODUCT(($A109=$A$61:$A$95)*$I$61:$I$95)*((SUMPRODUCT((F$100&gt;=YEAR($F$5:$F$43))*$G$5:$G$43)/$K$58)*100%)*(SUMPRODUCT(($A109=$Y$5:$Y$43)*(F$100&gt;=YEAR($F$5:$F$43))*$G$5:$G$43)/SUMPRODUCT((F$100&gt;=YEAR($F$5:$F$43))*$G$5:$G$43)),IF(E109&gt;0,E109/(1+lgh_equity!F$24),0))</f>
        <v>4.9905987021798756E-3</v>
      </c>
      <c r="G109" s="1758">
        <f t="array" ref="G109">IF(SUMPRODUCT(($A109=$Y$5:$Y$43)*(G$100=YEAR($F$5:$F$43)))&gt;=1,SUMPRODUCT(($A109=$A$61:$A$95)*$I$61:$I$95)*((SUMPRODUCT((G$100&gt;=YEAR($F$5:$F$43))*$G$5:$G$43)/$K$58)*100%)*(SUMPRODUCT(($A109=$Y$5:$Y$43)*(G$100&gt;=YEAR($F$5:$F$43))*$G$5:$G$43)/SUMPRODUCT((G$100&gt;=YEAR($F$5:$F$43))*$G$5:$G$43)),IF(F109&gt;0,F109/(1+lgh_equity!G$24),0))</f>
        <v>4.9905987021798756E-3</v>
      </c>
      <c r="H109" s="1758">
        <f t="array" ref="H109">IF(SUMPRODUCT(($A109=$Y$5:$Y$43)*(H$100=YEAR($F$5:$F$43)))&gt;=1,SUMPRODUCT(($A109=$A$61:$A$95)*$I$61:$I$95)*((SUMPRODUCT((H$100&gt;=YEAR($F$5:$F$43))*$G$5:$G$43)/$K$58)*100%)*(SUMPRODUCT(($A109=$Y$5:$Y$43)*(H$100&gt;=YEAR($F$5:$F$43))*$G$5:$G$43)/SUMPRODUCT((H$100&gt;=YEAR($F$5:$F$43))*$G$5:$G$43)),IF(G109&gt;0,G109/(1+lgh_equity!H$24),0))</f>
        <v>4.9905987021798756E-3</v>
      </c>
      <c r="I109" s="1773">
        <f t="array" ref="I109">IF(SUMPRODUCT(($A109=$Y$5:$Y$43)*(I$100=YEAR($F$5:$F$43)))&gt;=1,SUMPRODUCT(($A109=$A$61:$A$95)*$I$61:$I$95)*((SUMPRODUCT((I$100&gt;=YEAR($F$5:$F$43))*$G$5:$G$43)/$K$58)*100%)*(SUMPRODUCT(($A109=$Y$5:$Y$43)*(I$100&gt;=YEAR($F$5:$F$43))*$G$5:$G$43)/SUMPRODUCT((I$100&gt;=YEAR($F$5:$F$43))*$G$5:$G$43)),IF(H109&gt;0,H109/(1+lgh_equity!I$24),0))</f>
        <v>4.9905987021798756E-3</v>
      </c>
      <c r="J109" s="1773">
        <f t="array" ref="J109">IF(SUMPRODUCT(($A109=$Y$5:$Y$43)*(J$100=YEAR($F$5:$F$43)))&gt;=1,SUMPRODUCT(($A109=$A$61:$A$95)*$I$61:$I$95)*((SUMPRODUCT((J$100&gt;=YEAR($F$5:$F$43))*$G$5:$G$43)/$K$58)*100%)*(SUMPRODUCT(($A109=$Y$5:$Y$43)*(J$100&gt;=YEAR($F$5:$F$43))*$G$5:$G$43)/SUMPRODUCT((J$100&gt;=YEAR($F$5:$F$43))*$G$5:$G$43)),IF(I109&gt;0,I109/(1+lgh_equity!J$24),0))</f>
        <v>4.9905987021798756E-3</v>
      </c>
      <c r="K109" s="1788">
        <f t="array" ref="K109">IF(SUMPRODUCT(($A109=$Y$5:$Y$43)*(K$100=YEAR($F$5:$F$43)))&gt;=1,SUMPRODUCT(($A109=$A$61:$A$95)*$I$61:$I$95)*((SUMPRODUCT((K$100&gt;=YEAR($F$5:$F$43))*$G$5:$G$43)/$K$58)*100%)*(SUMPRODUCT(($A109=$Y$5:$Y$43)*(K$100&gt;=YEAR($F$5:$F$43))*$G$5:$G$43)/SUMPRODUCT((K$100&gt;=YEAR($F$5:$F$43))*$G$5:$G$43)),IF(J109&gt;0,J109/(1+lgh_equity!K$24),0))</f>
        <v>4.9905987021798756E-3</v>
      </c>
      <c r="L109" s="1788">
        <f t="array" ref="L109">IF(SUMPRODUCT(($A109=$Y$5:$Y$43)*(L$100=YEAR($F$5:$F$43)))&gt;=1,SUMPRODUCT(($A109=$A$61:$A$95)*$I$61:$I$95)*((SUMPRODUCT((L$100&gt;=YEAR($F$5:$F$43))*$G$5:$G$43)/$K$58)*100%)*(SUMPRODUCT(($A109=$Y$5:$Y$43)*(L$100&gt;=YEAR($F$5:$F$43))*$G$5:$G$43)/SUMPRODUCT((L$100&gt;=YEAR($F$5:$F$43))*$G$5:$G$43)),IF(K109&gt;0,K109/(1+lgh_equity!L$24),0))</f>
        <v>4.9905987021798756E-3</v>
      </c>
      <c r="M109" s="1788">
        <f t="array" ref="M109">IF(SUMPRODUCT(($A109=$Y$5:$Y$43)*(M$100=YEAR($F$5:$F$43)))&gt;=1,SUMPRODUCT(($A109=$A$61:$A$95)*$I$61:$I$95)*((SUMPRODUCT((M$100&gt;=YEAR($F$5:$F$43))*$G$5:$G$43)/$K$58)*100%)*(SUMPRODUCT(($A109=$Y$5:$Y$43)*(M$100&gt;=YEAR($F$5:$F$43))*$G$5:$G$43)/SUMPRODUCT((M$100&gt;=YEAR($F$5:$F$43))*$G$5:$G$43)),IF(L109&gt;0,L109/(1+lgh_equity!M$24),0))</f>
        <v>4.9905987021798756E-3</v>
      </c>
      <c r="N109" s="1773">
        <f t="array" ref="N109">IF(SUMPRODUCT(($A109=$Y$5:$Y$43)*(N$100=YEAR($F$5:$F$43)))&gt;=1,SUMPRODUCT(($A109=$A$61:$A$95)*$I$61:$I$95)*((SUMPRODUCT((N$100&gt;=YEAR($F$5:$F$43))*$G$5:$G$43)/$K$58)*100%)*(SUMPRODUCT(($A109=$Y$5:$Y$43)*(N$100&gt;=YEAR($F$5:$F$43))*$G$5:$G$43)/SUMPRODUCT((N$100&gt;=YEAR($F$5:$F$43))*$G$5:$G$43)),IF(M109&gt;0,M109/(1+lgh_equity!N$24),0))</f>
        <v>4.9905987021798756E-3</v>
      </c>
      <c r="O109" s="1781"/>
      <c r="P109" s="1781"/>
      <c r="Q109" s="1781"/>
      <c r="R109" s="248"/>
      <c r="S109" s="248"/>
      <c r="T109" s="248"/>
      <c r="U109" s="1743"/>
    </row>
    <row r="110" spans="1:24">
      <c r="A110" t="str">
        <f t="shared" si="19"/>
        <v>PE009 La Pointe Investments LLC</v>
      </c>
      <c r="B110" s="2017">
        <v>2.5000000000000001E-3</v>
      </c>
      <c r="C110" s="196">
        <f t="array" ref="C110">IF(SUMPRODUCT(($A110=$Y$5:$Y$43)*(C$100=YEAR($F$5:$F$43)))&gt;=1,SUMPRODUCT(($A110=$A$61:$A$95)*$I$61:$I$95)*((SUMPRODUCT((C$100&gt;=YEAR($F$5:$F$43))*$G$5:$G$43)/$K$58)*100%)*(SUMPRODUCT(($A110=$Y$5:$Y$43)*(C$100&gt;=YEAR($F$5:$F$43))*$G$5:$G$43)/SUMPRODUCT((C$100&gt;=YEAR($F$5:$F$43))*$G$5:$G$43)),IF(B110&gt;0,B110/(1+lgh_equity!C$24),0))</f>
        <v>2.5000000000000001E-3</v>
      </c>
      <c r="D110" s="196">
        <f t="array" ref="D110">IF(SUMPRODUCT(($A110=$Y$5:$Y$43)*(D$100=YEAR($F$5:$F$43)))&gt;=1,SUMPRODUCT(($A110=$A$61:$A$95)*$I$61:$I$95)*((SUMPRODUCT((D$100&gt;=YEAR($F$5:$F$43))*$G$5:$G$43)/$K$58)*100%)*(SUMPRODUCT(($A110=$Y$5:$Y$43)*(D$100&gt;=YEAR($F$5:$F$43))*$G$5:$G$43)/SUMPRODUCT((D$100&gt;=YEAR($F$5:$F$43))*$G$5:$G$43)),IF(C110&gt;0,C110/(1+lgh_equity!D$24),0))</f>
        <v>2.0226537216828482E-3</v>
      </c>
      <c r="E110" s="196">
        <f t="array" ref="E110">IF(SUMPRODUCT(($A110=$Y$5:$Y$43)*(E$100=YEAR($F$5:$F$43)))&gt;=1,SUMPRODUCT(($A110=$A$61:$A$95)*$I$61:$I$95)*((SUMPRODUCT((E$100&gt;=YEAR($F$5:$F$43))*$G$5:$G$43)/$K$58)*100%)*(SUMPRODUCT(($A110=$Y$5:$Y$43)*(E$100&gt;=YEAR($F$5:$F$43))*$G$5:$G$43)/SUMPRODUCT((E$100&gt;=YEAR($F$5:$F$43))*$G$5:$G$43)),IF(D110&gt;0,D110/(1+lgh_equity!E$24),0))</f>
        <v>2.0162018756806699E-3</v>
      </c>
      <c r="F110" s="196">
        <f t="array" ref="F110">IF(SUMPRODUCT(($A110=$Y$5:$Y$43)*(F$100=YEAR($F$5:$F$43)))&gt;=1,SUMPRODUCT(($A110=$A$61:$A$95)*$I$61:$I$95)*((SUMPRODUCT((F$100&gt;=YEAR($F$5:$F$43))*$G$5:$G$43)/$K$58)*100%)*(SUMPRODUCT(($A110=$Y$5:$Y$43)*(F$100&gt;=YEAR($F$5:$F$43))*$G$5:$G$43)/SUMPRODUCT((F$100&gt;=YEAR($F$5:$F$43))*$G$5:$G$43)),IF(E110&gt;0,E110/(1+lgh_equity!F$24),0))</f>
        <v>2.0162018756806699E-3</v>
      </c>
      <c r="G110" s="1758">
        <f t="array" ref="G110">IF(SUMPRODUCT(($A110=$Y$5:$Y$43)*(G$100=YEAR($F$5:$F$43)))&gt;=1,SUMPRODUCT(($A110=$A$61:$A$95)*$I$61:$I$95)*((SUMPRODUCT((G$100&gt;=YEAR($F$5:$F$43))*$G$5:$G$43)/$K$58)*100%)*(SUMPRODUCT(($A110=$Y$5:$Y$43)*(G$100&gt;=YEAR($F$5:$F$43))*$G$5:$G$43)/SUMPRODUCT((G$100&gt;=YEAR($F$5:$F$43))*$G$5:$G$43)),IF(F110&gt;0,F110/(1+lgh_equity!G$24),0))</f>
        <v>2.0162018756806699E-3</v>
      </c>
      <c r="H110" s="1758">
        <f t="array" ref="H110">IF(SUMPRODUCT(($A110=$Y$5:$Y$43)*(H$100=YEAR($F$5:$F$43)))&gt;=1,SUMPRODUCT(($A110=$A$61:$A$95)*$I$61:$I$95)*((SUMPRODUCT((H$100&gt;=YEAR($F$5:$F$43))*$G$5:$G$43)/$K$58)*100%)*(SUMPRODUCT(($A110=$Y$5:$Y$43)*(H$100&gt;=YEAR($F$5:$F$43))*$G$5:$G$43)/SUMPRODUCT((H$100&gt;=YEAR($F$5:$F$43))*$G$5:$G$43)),IF(G110&gt;0,G110/(1+lgh_equity!H$24),0))</f>
        <v>2.0162018756806699E-3</v>
      </c>
      <c r="I110" s="1773">
        <f t="array" ref="I110">IF(SUMPRODUCT(($A110=$Y$5:$Y$43)*(I$100=YEAR($F$5:$F$43)))&gt;=1,SUMPRODUCT(($A110=$A$61:$A$95)*$I$61:$I$95)*((SUMPRODUCT((I$100&gt;=YEAR($F$5:$F$43))*$G$5:$G$43)/$K$58)*100%)*(SUMPRODUCT(($A110=$Y$5:$Y$43)*(I$100&gt;=YEAR($F$5:$F$43))*$G$5:$G$43)/SUMPRODUCT((I$100&gt;=YEAR($F$5:$F$43))*$G$5:$G$43)),IF(H110&gt;0,H110/(1+lgh_equity!I$24),0))</f>
        <v>2.0162018756806699E-3</v>
      </c>
      <c r="J110" s="1773">
        <f t="array" ref="J110">IF(SUMPRODUCT(($A110=$Y$5:$Y$43)*(J$100=YEAR($F$5:$F$43)))&gt;=1,SUMPRODUCT(($A110=$A$61:$A$95)*$I$61:$I$95)*((SUMPRODUCT((J$100&gt;=YEAR($F$5:$F$43))*$G$5:$G$43)/$K$58)*100%)*(SUMPRODUCT(($A110=$Y$5:$Y$43)*(J$100&gt;=YEAR($F$5:$F$43))*$G$5:$G$43)/SUMPRODUCT((J$100&gt;=YEAR($F$5:$F$43))*$G$5:$G$43)),IF(I110&gt;0,I110/(1+lgh_equity!J$24),0))</f>
        <v>2.0162018756806699E-3</v>
      </c>
      <c r="K110" s="1788">
        <f t="array" ref="K110">IF(SUMPRODUCT(($A110=$Y$5:$Y$43)*(K$100=YEAR($F$5:$F$43)))&gt;=1,SUMPRODUCT(($A110=$A$61:$A$95)*$I$61:$I$95)*((SUMPRODUCT((K$100&gt;=YEAR($F$5:$F$43))*$G$5:$G$43)/$K$58)*100%)*(SUMPRODUCT(($A110=$Y$5:$Y$43)*(K$100&gt;=YEAR($F$5:$F$43))*$G$5:$G$43)/SUMPRODUCT((K$100&gt;=YEAR($F$5:$F$43))*$G$5:$G$43)),IF(J110&gt;0,J110/(1+lgh_equity!K$24),0))</f>
        <v>2.0162018756806699E-3</v>
      </c>
      <c r="L110" s="1788">
        <f t="array" ref="L110">IF(SUMPRODUCT(($A110=$Y$5:$Y$43)*(L$100=YEAR($F$5:$F$43)))&gt;=1,SUMPRODUCT(($A110=$A$61:$A$95)*$I$61:$I$95)*((SUMPRODUCT((L$100&gt;=YEAR($F$5:$F$43))*$G$5:$G$43)/$K$58)*100%)*(SUMPRODUCT(($A110=$Y$5:$Y$43)*(L$100&gt;=YEAR($F$5:$F$43))*$G$5:$G$43)/SUMPRODUCT((L$100&gt;=YEAR($F$5:$F$43))*$G$5:$G$43)),IF(K110&gt;0,K110/(1+lgh_equity!L$24),0))</f>
        <v>2.0162018756806699E-3</v>
      </c>
      <c r="M110" s="1788">
        <f t="array" ref="M110">IF(SUMPRODUCT(($A110=$Y$5:$Y$43)*(M$100=YEAR($F$5:$F$43)))&gt;=1,SUMPRODUCT(($A110=$A$61:$A$95)*$I$61:$I$95)*((SUMPRODUCT((M$100&gt;=YEAR($F$5:$F$43))*$G$5:$G$43)/$K$58)*100%)*(SUMPRODUCT(($A110=$Y$5:$Y$43)*(M$100&gt;=YEAR($F$5:$F$43))*$G$5:$G$43)/SUMPRODUCT((M$100&gt;=YEAR($F$5:$F$43))*$G$5:$G$43)),IF(L110&gt;0,L110/(1+lgh_equity!M$24),0))</f>
        <v>2.0162018756806699E-3</v>
      </c>
      <c r="N110" s="1773">
        <f t="array" ref="N110">IF(SUMPRODUCT(($A110=$Y$5:$Y$43)*(N$100=YEAR($F$5:$F$43)))&gt;=1,SUMPRODUCT(($A110=$A$61:$A$95)*$I$61:$I$95)*((SUMPRODUCT((N$100&gt;=YEAR($F$5:$F$43))*$G$5:$G$43)/$K$58)*100%)*(SUMPRODUCT(($A110=$Y$5:$Y$43)*(N$100&gt;=YEAR($F$5:$F$43))*$G$5:$G$43)/SUMPRODUCT((N$100&gt;=YEAR($F$5:$F$43))*$G$5:$G$43)),IF(M110&gt;0,M110/(1+lgh_equity!N$24),0))</f>
        <v>2.0162018756806699E-3</v>
      </c>
      <c r="O110" s="1781"/>
      <c r="P110" s="1781"/>
      <c r="Q110" s="1781"/>
      <c r="R110" s="248"/>
      <c r="S110" s="248"/>
      <c r="T110" s="248"/>
      <c r="U110" s="1743"/>
    </row>
    <row r="111" spans="1:24">
      <c r="A111" t="str">
        <f t="shared" si="19"/>
        <v>PE010 Benjamin Rego Jr.</v>
      </c>
      <c r="B111" s="2017">
        <v>8.9108910891089101E-4</v>
      </c>
      <c r="C111" s="196">
        <f t="array" ref="C111">IF(SUMPRODUCT(($A111=$Y$5:$Y$43)*(C$100=YEAR($F$5:$F$43)))&gt;=1,SUMPRODUCT(($A111=$A$61:$A$95)*$I$61:$I$95)*((SUMPRODUCT((C$100&gt;=YEAR($F$5:$F$43))*$G$5:$G$43)/$K$58)*100%)*(SUMPRODUCT(($A111=$Y$5:$Y$43)*(C$100&gt;=YEAR($F$5:$F$43))*$G$5:$G$43)/SUMPRODUCT((C$100&gt;=YEAR($F$5:$F$43))*$G$5:$G$43)),IF(B111&gt;0,B111/(1+lgh_equity!C$24),0))</f>
        <v>8.9108910891089101E-4</v>
      </c>
      <c r="D111" s="196">
        <f t="array" ref="D111">IF(SUMPRODUCT(($A111=$Y$5:$Y$43)*(D$100=YEAR($F$5:$F$43)))&gt;=1,SUMPRODUCT(($A111=$A$61:$A$95)*$I$61:$I$95)*((SUMPRODUCT((D$100&gt;=YEAR($F$5:$F$43))*$G$5:$G$43)/$K$58)*100%)*(SUMPRODUCT(($A111=$Y$5:$Y$43)*(D$100&gt;=YEAR($F$5:$F$43))*$G$5:$G$43)/SUMPRODUCT((D$100&gt;=YEAR($F$5:$F$43))*$G$5:$G$43)),IF(C111&gt;0,C111/(1+lgh_equity!D$24),0))</f>
        <v>7.209458809958665E-4</v>
      </c>
      <c r="E111" s="196">
        <f t="array" ref="E111">IF(SUMPRODUCT(($A111=$Y$5:$Y$43)*(E$100=YEAR($F$5:$F$43)))&gt;=1,SUMPRODUCT(($A111=$A$61:$A$95)*$I$61:$I$95)*((SUMPRODUCT((E$100&gt;=YEAR($F$5:$F$43))*$G$5:$G$43)/$K$58)*100%)*(SUMPRODUCT(($A111=$Y$5:$Y$43)*(E$100&gt;=YEAR($F$5:$F$43))*$G$5:$G$43)/SUMPRODUCT((E$100&gt;=YEAR($F$5:$F$43))*$G$5:$G$43)),IF(D111&gt;0,D111/(1+lgh_equity!E$24),0))</f>
        <v>7.1864621311390194E-4</v>
      </c>
      <c r="F111" s="196">
        <f t="array" ref="F111">IF(SUMPRODUCT(($A111=$Y$5:$Y$43)*(F$100=YEAR($F$5:$F$43)))&gt;=1,SUMPRODUCT(($A111=$A$61:$A$95)*$I$61:$I$95)*((SUMPRODUCT((F$100&gt;=YEAR($F$5:$F$43))*$G$5:$G$43)/$K$58)*100%)*(SUMPRODUCT(($A111=$Y$5:$Y$43)*(F$100&gt;=YEAR($F$5:$F$43))*$G$5:$G$43)/SUMPRODUCT((F$100&gt;=YEAR($F$5:$F$43))*$G$5:$G$43)),IF(E111&gt;0,E111/(1+lgh_equity!F$24),0))</f>
        <v>7.1864621311390194E-4</v>
      </c>
      <c r="G111" s="1758">
        <f t="array" ref="G111">IF(SUMPRODUCT(($A111=$Y$5:$Y$43)*(G$100=YEAR($F$5:$F$43)))&gt;=1,SUMPRODUCT(($A111=$A$61:$A$95)*$I$61:$I$95)*((SUMPRODUCT((G$100&gt;=YEAR($F$5:$F$43))*$G$5:$G$43)/$K$58)*100%)*(SUMPRODUCT(($A111=$Y$5:$Y$43)*(G$100&gt;=YEAR($F$5:$F$43))*$G$5:$G$43)/SUMPRODUCT((G$100&gt;=YEAR($F$5:$F$43))*$G$5:$G$43)),IF(F111&gt;0,F111/(1+lgh_equity!G$24),0))</f>
        <v>7.1864621311390194E-4</v>
      </c>
      <c r="H111" s="1758">
        <f t="array" ref="H111">IF(SUMPRODUCT(($A111=$Y$5:$Y$43)*(H$100=YEAR($F$5:$F$43)))&gt;=1,SUMPRODUCT(($A111=$A$61:$A$95)*$I$61:$I$95)*((SUMPRODUCT((H$100&gt;=YEAR($F$5:$F$43))*$G$5:$G$43)/$K$58)*100%)*(SUMPRODUCT(($A111=$Y$5:$Y$43)*(H$100&gt;=YEAR($F$5:$F$43))*$G$5:$G$43)/SUMPRODUCT((H$100&gt;=YEAR($F$5:$F$43))*$G$5:$G$43)),IF(G111&gt;0,G111/(1+lgh_equity!H$24),0))</f>
        <v>7.1864621311390194E-4</v>
      </c>
      <c r="I111" s="1773">
        <f t="array" ref="I111">IF(SUMPRODUCT(($A111=$Y$5:$Y$43)*(I$100=YEAR($F$5:$F$43)))&gt;=1,SUMPRODUCT(($A111=$A$61:$A$95)*$I$61:$I$95)*((SUMPRODUCT((I$100&gt;=YEAR($F$5:$F$43))*$G$5:$G$43)/$K$58)*100%)*(SUMPRODUCT(($A111=$Y$5:$Y$43)*(I$100&gt;=YEAR($F$5:$F$43))*$G$5:$G$43)/SUMPRODUCT((I$100&gt;=YEAR($F$5:$F$43))*$G$5:$G$43)),IF(H111&gt;0,H111/(1+lgh_equity!I$24),0))</f>
        <v>7.1864621311390194E-4</v>
      </c>
      <c r="J111" s="1773">
        <f t="array" ref="J111">IF(SUMPRODUCT(($A111=$Y$5:$Y$43)*(J$100=YEAR($F$5:$F$43)))&gt;=1,SUMPRODUCT(($A111=$A$61:$A$95)*$I$61:$I$95)*((SUMPRODUCT((J$100&gt;=YEAR($F$5:$F$43))*$G$5:$G$43)/$K$58)*100%)*(SUMPRODUCT(($A111=$Y$5:$Y$43)*(J$100&gt;=YEAR($F$5:$F$43))*$G$5:$G$43)/SUMPRODUCT((J$100&gt;=YEAR($F$5:$F$43))*$G$5:$G$43)),IF(I111&gt;0,I111/(1+lgh_equity!J$24),0))</f>
        <v>7.1864621311390194E-4</v>
      </c>
      <c r="K111" s="1788">
        <f t="array" ref="K111">IF(SUMPRODUCT(($A111=$Y$5:$Y$43)*(K$100=YEAR($F$5:$F$43)))&gt;=1,SUMPRODUCT(($A111=$A$61:$A$95)*$I$61:$I$95)*((SUMPRODUCT((K$100&gt;=YEAR($F$5:$F$43))*$G$5:$G$43)/$K$58)*100%)*(SUMPRODUCT(($A111=$Y$5:$Y$43)*(K$100&gt;=YEAR($F$5:$F$43))*$G$5:$G$43)/SUMPRODUCT((K$100&gt;=YEAR($F$5:$F$43))*$G$5:$G$43)),IF(J111&gt;0,J111/(1+lgh_equity!K$24),0))</f>
        <v>7.1864621311390194E-4</v>
      </c>
      <c r="L111" s="1788">
        <f t="array" ref="L111">IF(SUMPRODUCT(($A111=$Y$5:$Y$43)*(L$100=YEAR($F$5:$F$43)))&gt;=1,SUMPRODUCT(($A111=$A$61:$A$95)*$I$61:$I$95)*((SUMPRODUCT((L$100&gt;=YEAR($F$5:$F$43))*$G$5:$G$43)/$K$58)*100%)*(SUMPRODUCT(($A111=$Y$5:$Y$43)*(L$100&gt;=YEAR($F$5:$F$43))*$G$5:$G$43)/SUMPRODUCT((L$100&gt;=YEAR($F$5:$F$43))*$G$5:$G$43)),IF(K111&gt;0,K111/(1+lgh_equity!L$24),0))</f>
        <v>7.1864621311390194E-4</v>
      </c>
      <c r="M111" s="1788">
        <f t="array" ref="M111">IF(SUMPRODUCT(($A111=$Y$5:$Y$43)*(M$100=YEAR($F$5:$F$43)))&gt;=1,SUMPRODUCT(($A111=$A$61:$A$95)*$I$61:$I$95)*((SUMPRODUCT((M$100&gt;=YEAR($F$5:$F$43))*$G$5:$G$43)/$K$58)*100%)*(SUMPRODUCT(($A111=$Y$5:$Y$43)*(M$100&gt;=YEAR($F$5:$F$43))*$G$5:$G$43)/SUMPRODUCT((M$100&gt;=YEAR($F$5:$F$43))*$G$5:$G$43)),IF(L111&gt;0,L111/(1+lgh_equity!M$24),0))</f>
        <v>7.1864621311390194E-4</v>
      </c>
      <c r="N111" s="1773">
        <f t="array" ref="N111">IF(SUMPRODUCT(($A111=$Y$5:$Y$43)*(N$100=YEAR($F$5:$F$43)))&gt;=1,SUMPRODUCT(($A111=$A$61:$A$95)*$I$61:$I$95)*((SUMPRODUCT((N$100&gt;=YEAR($F$5:$F$43))*$G$5:$G$43)/$K$58)*100%)*(SUMPRODUCT(($A111=$Y$5:$Y$43)*(N$100&gt;=YEAR($F$5:$F$43))*$G$5:$G$43)/SUMPRODUCT((N$100&gt;=YEAR($F$5:$F$43))*$G$5:$G$43)),IF(M111&gt;0,M111/(1+lgh_equity!N$24),0))</f>
        <v>7.1864621311390194E-4</v>
      </c>
      <c r="O111" s="1781"/>
      <c r="P111" s="1781"/>
      <c r="Q111" s="1781"/>
      <c r="R111" s="248"/>
      <c r="S111" s="248"/>
      <c r="T111" s="248"/>
      <c r="U111" s="1743"/>
    </row>
    <row r="112" spans="1:24">
      <c r="A112" t="str">
        <f t="shared" si="19"/>
        <v>PE011 Benjamin Rego Jr.</v>
      </c>
      <c r="B112" s="2017">
        <v>9.9009900990099017E-5</v>
      </c>
      <c r="C112" s="196">
        <f t="array" ref="C112">IF(SUMPRODUCT(($A112=$Y$5:$Y$43)*(C$100=YEAR($F$5:$F$43)))&gt;=1,SUMPRODUCT(($A112=$A$61:$A$95)*$I$61:$I$95)*((SUMPRODUCT((C$100&gt;=YEAR($F$5:$F$43))*$G$5:$G$43)/$K$58)*100%)*(SUMPRODUCT(($A112=$Y$5:$Y$43)*(C$100&gt;=YEAR($F$5:$F$43))*$G$5:$G$43)/SUMPRODUCT((C$100&gt;=YEAR($F$5:$F$43))*$G$5:$G$43)),IF(B112&gt;0,B112/(1+lgh_equity!C$24),0))</f>
        <v>9.9009900990099017E-5</v>
      </c>
      <c r="D112" s="196">
        <f t="array" ref="D112">IF(SUMPRODUCT(($A112=$Y$5:$Y$43)*(D$100=YEAR($F$5:$F$43)))&gt;=1,SUMPRODUCT(($A112=$A$61:$A$95)*$I$61:$I$95)*((SUMPRODUCT((D$100&gt;=YEAR($F$5:$F$43))*$G$5:$G$43)/$K$58)*100%)*(SUMPRODUCT(($A112=$Y$5:$Y$43)*(D$100&gt;=YEAR($F$5:$F$43))*$G$5:$G$43)/SUMPRODUCT((D$100&gt;=YEAR($F$5:$F$43))*$G$5:$G$43)),IF(C112&gt;0,C112/(1+lgh_equity!D$24),0))</f>
        <v>8.0105097888429628E-5</v>
      </c>
      <c r="E112" s="196">
        <f t="array" ref="E112">IF(SUMPRODUCT(($A112=$Y$5:$Y$43)*(E$100=YEAR($F$5:$F$43)))&gt;=1,SUMPRODUCT(($A112=$A$61:$A$95)*$I$61:$I$95)*((SUMPRODUCT((E$100&gt;=YEAR($F$5:$F$43))*$G$5:$G$43)/$K$58)*100%)*(SUMPRODUCT(($A112=$Y$5:$Y$43)*(E$100&gt;=YEAR($F$5:$F$43))*$G$5:$G$43)/SUMPRODUCT((E$100&gt;=YEAR($F$5:$F$43))*$G$5:$G$43)),IF(D112&gt;0,D112/(1+lgh_equity!E$24),0))</f>
        <v>7.9849579234878013E-5</v>
      </c>
      <c r="F112" s="196">
        <f t="array" ref="F112">IF(SUMPRODUCT(($A112=$Y$5:$Y$43)*(F$100=YEAR($F$5:$F$43)))&gt;=1,SUMPRODUCT(($A112=$A$61:$A$95)*$I$61:$I$95)*((SUMPRODUCT((F$100&gt;=YEAR($F$5:$F$43))*$G$5:$G$43)/$K$58)*100%)*(SUMPRODUCT(($A112=$Y$5:$Y$43)*(F$100&gt;=YEAR($F$5:$F$43))*$G$5:$G$43)/SUMPRODUCT((F$100&gt;=YEAR($F$5:$F$43))*$G$5:$G$43)),IF(E112&gt;0,E112/(1+lgh_equity!F$24),0))</f>
        <v>7.9849579234878013E-5</v>
      </c>
      <c r="G112" s="1758">
        <f t="array" ref="G112">IF(SUMPRODUCT(($A112=$Y$5:$Y$43)*(G$100=YEAR($F$5:$F$43)))&gt;=1,SUMPRODUCT(($A112=$A$61:$A$95)*$I$61:$I$95)*((SUMPRODUCT((G$100&gt;=YEAR($F$5:$F$43))*$G$5:$G$43)/$K$58)*100%)*(SUMPRODUCT(($A112=$Y$5:$Y$43)*(G$100&gt;=YEAR($F$5:$F$43))*$G$5:$G$43)/SUMPRODUCT((G$100&gt;=YEAR($F$5:$F$43))*$G$5:$G$43)),IF(F112&gt;0,F112/(1+lgh_equity!G$24),0))</f>
        <v>7.9849579234878013E-5</v>
      </c>
      <c r="H112" s="1758">
        <f t="array" ref="H112">IF(SUMPRODUCT(($A112=$Y$5:$Y$43)*(H$100=YEAR($F$5:$F$43)))&gt;=1,SUMPRODUCT(($A112=$A$61:$A$95)*$I$61:$I$95)*((SUMPRODUCT((H$100&gt;=YEAR($F$5:$F$43))*$G$5:$G$43)/$K$58)*100%)*(SUMPRODUCT(($A112=$Y$5:$Y$43)*(H$100&gt;=YEAR($F$5:$F$43))*$G$5:$G$43)/SUMPRODUCT((H$100&gt;=YEAR($F$5:$F$43))*$G$5:$G$43)),IF(G112&gt;0,G112/(1+lgh_equity!H$24),0))</f>
        <v>7.9849579234878013E-5</v>
      </c>
      <c r="I112" s="1773">
        <f t="array" ref="I112">IF(SUMPRODUCT(($A112=$Y$5:$Y$43)*(I$100=YEAR($F$5:$F$43)))&gt;=1,SUMPRODUCT(($A112=$A$61:$A$95)*$I$61:$I$95)*((SUMPRODUCT((I$100&gt;=YEAR($F$5:$F$43))*$G$5:$G$43)/$K$58)*100%)*(SUMPRODUCT(($A112=$Y$5:$Y$43)*(I$100&gt;=YEAR($F$5:$F$43))*$G$5:$G$43)/SUMPRODUCT((I$100&gt;=YEAR($F$5:$F$43))*$G$5:$G$43)),IF(H112&gt;0,H112/(1+lgh_equity!I$24),0))</f>
        <v>7.9849579234878013E-5</v>
      </c>
      <c r="J112" s="1773">
        <f t="array" ref="J112">IF(SUMPRODUCT(($A112=$Y$5:$Y$43)*(J$100=YEAR($F$5:$F$43)))&gt;=1,SUMPRODUCT(($A112=$A$61:$A$95)*$I$61:$I$95)*((SUMPRODUCT((J$100&gt;=YEAR($F$5:$F$43))*$G$5:$G$43)/$K$58)*100%)*(SUMPRODUCT(($A112=$Y$5:$Y$43)*(J$100&gt;=YEAR($F$5:$F$43))*$G$5:$G$43)/SUMPRODUCT((J$100&gt;=YEAR($F$5:$F$43))*$G$5:$G$43)),IF(I112&gt;0,I112/(1+lgh_equity!J$24),0))</f>
        <v>7.9849579234878013E-5</v>
      </c>
      <c r="K112" s="1788">
        <f t="array" ref="K112">IF(SUMPRODUCT(($A112=$Y$5:$Y$43)*(K$100=YEAR($F$5:$F$43)))&gt;=1,SUMPRODUCT(($A112=$A$61:$A$95)*$I$61:$I$95)*((SUMPRODUCT((K$100&gt;=YEAR($F$5:$F$43))*$G$5:$G$43)/$K$58)*100%)*(SUMPRODUCT(($A112=$Y$5:$Y$43)*(K$100&gt;=YEAR($F$5:$F$43))*$G$5:$G$43)/SUMPRODUCT((K$100&gt;=YEAR($F$5:$F$43))*$G$5:$G$43)),IF(J112&gt;0,J112/(1+lgh_equity!K$24),0))</f>
        <v>7.9849579234878013E-5</v>
      </c>
      <c r="L112" s="1788">
        <f t="array" ref="L112">IF(SUMPRODUCT(($A112=$Y$5:$Y$43)*(L$100=YEAR($F$5:$F$43)))&gt;=1,SUMPRODUCT(($A112=$A$61:$A$95)*$I$61:$I$95)*((SUMPRODUCT((L$100&gt;=YEAR($F$5:$F$43))*$G$5:$G$43)/$K$58)*100%)*(SUMPRODUCT(($A112=$Y$5:$Y$43)*(L$100&gt;=YEAR($F$5:$F$43))*$G$5:$G$43)/SUMPRODUCT((L$100&gt;=YEAR($F$5:$F$43))*$G$5:$G$43)),IF(K112&gt;0,K112/(1+lgh_equity!L$24),0))</f>
        <v>7.9849579234878013E-5</v>
      </c>
      <c r="M112" s="1788">
        <f t="array" ref="M112">IF(SUMPRODUCT(($A112=$Y$5:$Y$43)*(M$100=YEAR($F$5:$F$43)))&gt;=1,SUMPRODUCT(($A112=$A$61:$A$95)*$I$61:$I$95)*((SUMPRODUCT((M$100&gt;=YEAR($F$5:$F$43))*$G$5:$G$43)/$K$58)*100%)*(SUMPRODUCT(($A112=$Y$5:$Y$43)*(M$100&gt;=YEAR($F$5:$F$43))*$G$5:$G$43)/SUMPRODUCT((M$100&gt;=YEAR($F$5:$F$43))*$G$5:$G$43)),IF(L112&gt;0,L112/(1+lgh_equity!M$24),0))</f>
        <v>7.9849579234878013E-5</v>
      </c>
      <c r="N112" s="1773">
        <f t="array" ref="N112">IF(SUMPRODUCT(($A112=$Y$5:$Y$43)*(N$100=YEAR($F$5:$F$43)))&gt;=1,SUMPRODUCT(($A112=$A$61:$A$95)*$I$61:$I$95)*((SUMPRODUCT((N$100&gt;=YEAR($F$5:$F$43))*$G$5:$G$43)/$K$58)*100%)*(SUMPRODUCT(($A112=$Y$5:$Y$43)*(N$100&gt;=YEAR($F$5:$F$43))*$G$5:$G$43)/SUMPRODUCT((N$100&gt;=YEAR($F$5:$F$43))*$G$5:$G$43)),IF(M112&gt;0,M112/(1+lgh_equity!N$24),0))</f>
        <v>7.9849579234878013E-5</v>
      </c>
      <c r="O112" s="1781"/>
      <c r="P112" s="1781"/>
      <c r="Q112" s="1781"/>
      <c r="R112" s="248"/>
      <c r="S112" s="248"/>
      <c r="T112" s="248"/>
      <c r="U112" s="1743"/>
    </row>
    <row r="113" spans="1:21">
      <c r="A113" t="str">
        <f t="shared" si="19"/>
        <v>PE012 Benjamin Rego Jr._1</v>
      </c>
      <c r="B113" s="2017">
        <v>1.06E-4</v>
      </c>
      <c r="C113" s="196">
        <f t="array" ref="C113">IF(SUMPRODUCT(($A113=$Y$5:$Y$43)*(C$100=YEAR($F$5:$F$43)))&gt;=1,SUMPRODUCT(($A113=$A$61:$A$95)*$I$61:$I$95)*((SUMPRODUCT((C$100&gt;=YEAR($F$5:$F$43))*$G$5:$G$43)/$K$58)*100%)*(SUMPRODUCT(($A113=$Y$5:$Y$43)*(C$100&gt;=YEAR($F$5:$F$43))*$G$5:$G$43)/SUMPRODUCT((C$100&gt;=YEAR($F$5:$F$43))*$G$5:$G$43)),IF(B113&gt;0,B113/(1+lgh_equity!C$24),0))</f>
        <v>1.06E-4</v>
      </c>
      <c r="D113" s="196">
        <f t="array" ref="D113">IF(SUMPRODUCT(($A113=$Y$5:$Y$43)*(D$100=YEAR($F$5:$F$43)))&gt;=1,SUMPRODUCT(($A113=$A$61:$A$95)*$I$61:$I$95)*((SUMPRODUCT((D$100&gt;=YEAR($F$5:$F$43))*$G$5:$G$43)/$K$58)*100%)*(SUMPRODUCT(($A113=$Y$5:$Y$43)*(D$100&gt;=YEAR($F$5:$F$43))*$G$5:$G$43)/SUMPRODUCT((D$100&gt;=YEAR($F$5:$F$43))*$G$5:$G$43)),IF(C113&gt;0,C113/(1+lgh_equity!D$24),0))</f>
        <v>8.5760517799352758E-5</v>
      </c>
      <c r="E113" s="196">
        <f t="array" ref="E113">IF(SUMPRODUCT(($A113=$Y$5:$Y$43)*(E$100=YEAR($F$5:$F$43)))&gt;=1,SUMPRODUCT(($A113=$A$61:$A$95)*$I$61:$I$95)*((SUMPRODUCT((E$100&gt;=YEAR($F$5:$F$43))*$G$5:$G$43)/$K$58)*100%)*(SUMPRODUCT(($A113=$Y$5:$Y$43)*(E$100&gt;=YEAR($F$5:$F$43))*$G$5:$G$43)/SUMPRODUCT((E$100&gt;=YEAR($F$5:$F$43))*$G$5:$G$43)),IF(D113&gt;0,D113/(1+lgh_equity!E$24),0))</f>
        <v>8.5486959528860394E-5</v>
      </c>
      <c r="F113" s="196">
        <f t="array" ref="F113">IF(SUMPRODUCT(($A113=$Y$5:$Y$43)*(F$100=YEAR($F$5:$F$43)))&gt;=1,SUMPRODUCT(($A113=$A$61:$A$95)*$I$61:$I$95)*((SUMPRODUCT((F$100&gt;=YEAR($F$5:$F$43))*$G$5:$G$43)/$K$58)*100%)*(SUMPRODUCT(($A113=$Y$5:$Y$43)*(F$100&gt;=YEAR($F$5:$F$43))*$G$5:$G$43)/SUMPRODUCT((F$100&gt;=YEAR($F$5:$F$43))*$G$5:$G$43)),IF(E113&gt;0,E113/(1+lgh_equity!F$24),0))</f>
        <v>8.5486959528860394E-5</v>
      </c>
      <c r="G113" s="1758">
        <f t="array" ref="G113">IF(SUMPRODUCT(($A113=$Y$5:$Y$43)*(G$100=YEAR($F$5:$F$43)))&gt;=1,SUMPRODUCT(($A113=$A$61:$A$95)*$I$61:$I$95)*((SUMPRODUCT((G$100&gt;=YEAR($F$5:$F$43))*$G$5:$G$43)/$K$58)*100%)*(SUMPRODUCT(($A113=$Y$5:$Y$43)*(G$100&gt;=YEAR($F$5:$F$43))*$G$5:$G$43)/SUMPRODUCT((G$100&gt;=YEAR($F$5:$F$43))*$G$5:$G$43)),IF(F113&gt;0,F113/(1+lgh_equity!G$24),0))</f>
        <v>8.5486959528860394E-5</v>
      </c>
      <c r="H113" s="1758">
        <f t="array" ref="H113">IF(SUMPRODUCT(($A113=$Y$5:$Y$43)*(H$100=YEAR($F$5:$F$43)))&gt;=1,SUMPRODUCT(($A113=$A$61:$A$95)*$I$61:$I$95)*((SUMPRODUCT((H$100&gt;=YEAR($F$5:$F$43))*$G$5:$G$43)/$K$58)*100%)*(SUMPRODUCT(($A113=$Y$5:$Y$43)*(H$100&gt;=YEAR($F$5:$F$43))*$G$5:$G$43)/SUMPRODUCT((H$100&gt;=YEAR($F$5:$F$43))*$G$5:$G$43)),IF(G113&gt;0,G113/(1+lgh_equity!H$24),0))</f>
        <v>8.5486959528860394E-5</v>
      </c>
      <c r="I113" s="1773">
        <f t="array" ref="I113">IF(SUMPRODUCT(($A113=$Y$5:$Y$43)*(I$100=YEAR($F$5:$F$43)))&gt;=1,SUMPRODUCT(($A113=$A$61:$A$95)*$I$61:$I$95)*((SUMPRODUCT((I$100&gt;=YEAR($F$5:$F$43))*$G$5:$G$43)/$K$58)*100%)*(SUMPRODUCT(($A113=$Y$5:$Y$43)*(I$100&gt;=YEAR($F$5:$F$43))*$G$5:$G$43)/SUMPRODUCT((I$100&gt;=YEAR($F$5:$F$43))*$G$5:$G$43)),IF(H113&gt;0,H113/(1+lgh_equity!I$24),0))</f>
        <v>8.5486959528860394E-5</v>
      </c>
      <c r="J113" s="1773">
        <f t="array" ref="J113">IF(SUMPRODUCT(($A113=$Y$5:$Y$43)*(J$100=YEAR($F$5:$F$43)))&gt;=1,SUMPRODUCT(($A113=$A$61:$A$95)*$I$61:$I$95)*((SUMPRODUCT((J$100&gt;=YEAR($F$5:$F$43))*$G$5:$G$43)/$K$58)*100%)*(SUMPRODUCT(($A113=$Y$5:$Y$43)*(J$100&gt;=YEAR($F$5:$F$43))*$G$5:$G$43)/SUMPRODUCT((J$100&gt;=YEAR($F$5:$F$43))*$G$5:$G$43)),IF(I113&gt;0,I113/(1+lgh_equity!J$24),0))</f>
        <v>8.5486959528860394E-5</v>
      </c>
      <c r="K113" s="1788">
        <f t="array" ref="K113">IF(SUMPRODUCT(($A113=$Y$5:$Y$43)*(K$100=YEAR($F$5:$F$43)))&gt;=1,SUMPRODUCT(($A113=$A$61:$A$95)*$I$61:$I$95)*((SUMPRODUCT((K$100&gt;=YEAR($F$5:$F$43))*$G$5:$G$43)/$K$58)*100%)*(SUMPRODUCT(($A113=$Y$5:$Y$43)*(K$100&gt;=YEAR($F$5:$F$43))*$G$5:$G$43)/SUMPRODUCT((K$100&gt;=YEAR($F$5:$F$43))*$G$5:$G$43)),IF(J113&gt;0,J113/(1+lgh_equity!K$24),0))</f>
        <v>8.5486959528860394E-5</v>
      </c>
      <c r="L113" s="1788">
        <f t="array" ref="L113">IF(SUMPRODUCT(($A113=$Y$5:$Y$43)*(L$100=YEAR($F$5:$F$43)))&gt;=1,SUMPRODUCT(($A113=$A$61:$A$95)*$I$61:$I$95)*((SUMPRODUCT((L$100&gt;=YEAR($F$5:$F$43))*$G$5:$G$43)/$K$58)*100%)*(SUMPRODUCT(($A113=$Y$5:$Y$43)*(L$100&gt;=YEAR($F$5:$F$43))*$G$5:$G$43)/SUMPRODUCT((L$100&gt;=YEAR($F$5:$F$43))*$G$5:$G$43)),IF(K113&gt;0,K113/(1+lgh_equity!L$24),0))</f>
        <v>8.5486959528860394E-5</v>
      </c>
      <c r="M113" s="1788">
        <f t="array" ref="M113">IF(SUMPRODUCT(($A113=$Y$5:$Y$43)*(M$100=YEAR($F$5:$F$43)))&gt;=1,SUMPRODUCT(($A113=$A$61:$A$95)*$I$61:$I$95)*((SUMPRODUCT((M$100&gt;=YEAR($F$5:$F$43))*$G$5:$G$43)/$K$58)*100%)*(SUMPRODUCT(($A113=$Y$5:$Y$43)*(M$100&gt;=YEAR($F$5:$F$43))*$G$5:$G$43)/SUMPRODUCT((M$100&gt;=YEAR($F$5:$F$43))*$G$5:$G$43)),IF(L113&gt;0,L113/(1+lgh_equity!M$24),0))</f>
        <v>8.5486959528860394E-5</v>
      </c>
      <c r="N113" s="1773">
        <f t="array" ref="N113">IF(SUMPRODUCT(($A113=$Y$5:$Y$43)*(N$100=YEAR($F$5:$F$43)))&gt;=1,SUMPRODUCT(($A113=$A$61:$A$95)*$I$61:$I$95)*((SUMPRODUCT((N$100&gt;=YEAR($F$5:$F$43))*$G$5:$G$43)/$K$58)*100%)*(SUMPRODUCT(($A113=$Y$5:$Y$43)*(N$100&gt;=YEAR($F$5:$F$43))*$G$5:$G$43)/SUMPRODUCT((N$100&gt;=YEAR($F$5:$F$43))*$G$5:$G$43)),IF(M113&gt;0,M113/(1+lgh_equity!N$24),0))</f>
        <v>8.5486959528860394E-5</v>
      </c>
      <c r="O113" s="1781"/>
      <c r="P113" s="1781"/>
      <c r="Q113" s="1781"/>
      <c r="R113" s="248"/>
      <c r="S113" s="248"/>
      <c r="T113" s="248"/>
      <c r="U113" s="1743"/>
    </row>
    <row r="114" spans="1:21">
      <c r="A114" t="str">
        <f t="shared" si="19"/>
        <v>PE013 Benjamin Rego Jr._1</v>
      </c>
      <c r="B114" s="2017">
        <v>3.1799999999999998E-4</v>
      </c>
      <c r="C114" s="196">
        <f t="array" ref="C114">IF(SUMPRODUCT(($A114=$Y$5:$Y$43)*(C$100=YEAR($F$5:$F$43)))&gt;=1,SUMPRODUCT(($A114=$A$61:$A$95)*$I$61:$I$95)*((SUMPRODUCT((C$100&gt;=YEAR($F$5:$F$43))*$G$5:$G$43)/$K$58)*100%)*(SUMPRODUCT(($A114=$Y$5:$Y$43)*(C$100&gt;=YEAR($F$5:$F$43))*$G$5:$G$43)/SUMPRODUCT((C$100&gt;=YEAR($F$5:$F$43))*$G$5:$G$43)),IF(B114&gt;0,B114/(1+lgh_equity!C$24),0))</f>
        <v>3.1799999999999998E-4</v>
      </c>
      <c r="D114" s="196">
        <f t="array" ref="D114">IF(SUMPRODUCT(($A114=$Y$5:$Y$43)*(D$100=YEAR($F$5:$F$43)))&gt;=1,SUMPRODUCT(($A114=$A$61:$A$95)*$I$61:$I$95)*((SUMPRODUCT((D$100&gt;=YEAR($F$5:$F$43))*$G$5:$G$43)/$K$58)*100%)*(SUMPRODUCT(($A114=$Y$5:$Y$43)*(D$100&gt;=YEAR($F$5:$F$43))*$G$5:$G$43)/SUMPRODUCT((D$100&gt;=YEAR($F$5:$F$43))*$G$5:$G$43)),IF(C114&gt;0,C114/(1+lgh_equity!D$24),0))</f>
        <v>2.5728155339805822E-4</v>
      </c>
      <c r="E114" s="196">
        <f t="array" ref="E114">IF(SUMPRODUCT(($A114=$Y$5:$Y$43)*(E$100=YEAR($F$5:$F$43)))&gt;=1,SUMPRODUCT(($A114=$A$61:$A$95)*$I$61:$I$95)*((SUMPRODUCT((E$100&gt;=YEAR($F$5:$F$43))*$G$5:$G$43)/$K$58)*100%)*(SUMPRODUCT(($A114=$Y$5:$Y$43)*(E$100&gt;=YEAR($F$5:$F$43))*$G$5:$G$43)/SUMPRODUCT((E$100&gt;=YEAR($F$5:$F$43))*$G$5:$G$43)),IF(D114&gt;0,D114/(1+lgh_equity!E$24),0))</f>
        <v>2.5646087858658111E-4</v>
      </c>
      <c r="F114" s="196">
        <f t="array" ref="F114">IF(SUMPRODUCT(($A114=$Y$5:$Y$43)*(F$100=YEAR($F$5:$F$43)))&gt;=1,SUMPRODUCT(($A114=$A$61:$A$95)*$I$61:$I$95)*((SUMPRODUCT((F$100&gt;=YEAR($F$5:$F$43))*$G$5:$G$43)/$K$58)*100%)*(SUMPRODUCT(($A114=$Y$5:$Y$43)*(F$100&gt;=YEAR($F$5:$F$43))*$G$5:$G$43)/SUMPRODUCT((F$100&gt;=YEAR($F$5:$F$43))*$G$5:$G$43)),IF(E114&gt;0,E114/(1+lgh_equity!F$24),0))</f>
        <v>2.5646087858658111E-4</v>
      </c>
      <c r="G114" s="1758">
        <f t="array" ref="G114">IF(SUMPRODUCT(($A114=$Y$5:$Y$43)*(G$100=YEAR($F$5:$F$43)))&gt;=1,SUMPRODUCT(($A114=$A$61:$A$95)*$I$61:$I$95)*((SUMPRODUCT((G$100&gt;=YEAR($F$5:$F$43))*$G$5:$G$43)/$K$58)*100%)*(SUMPRODUCT(($A114=$Y$5:$Y$43)*(G$100&gt;=YEAR($F$5:$F$43))*$G$5:$G$43)/SUMPRODUCT((G$100&gt;=YEAR($F$5:$F$43))*$G$5:$G$43)),IF(F114&gt;0,F114/(1+lgh_equity!G$24),0))</f>
        <v>2.5646087858658111E-4</v>
      </c>
      <c r="H114" s="1758">
        <f t="array" ref="H114">IF(SUMPRODUCT(($A114=$Y$5:$Y$43)*(H$100=YEAR($F$5:$F$43)))&gt;=1,SUMPRODUCT(($A114=$A$61:$A$95)*$I$61:$I$95)*((SUMPRODUCT((H$100&gt;=YEAR($F$5:$F$43))*$G$5:$G$43)/$K$58)*100%)*(SUMPRODUCT(($A114=$Y$5:$Y$43)*(H$100&gt;=YEAR($F$5:$F$43))*$G$5:$G$43)/SUMPRODUCT((H$100&gt;=YEAR($F$5:$F$43))*$G$5:$G$43)),IF(G114&gt;0,G114/(1+lgh_equity!H$24),0))</f>
        <v>2.5646087858658111E-4</v>
      </c>
      <c r="I114" s="1773">
        <f t="array" ref="I114">IF(SUMPRODUCT(($A114=$Y$5:$Y$43)*(I$100=YEAR($F$5:$F$43)))&gt;=1,SUMPRODUCT(($A114=$A$61:$A$95)*$I$61:$I$95)*((SUMPRODUCT((I$100&gt;=YEAR($F$5:$F$43))*$G$5:$G$43)/$K$58)*100%)*(SUMPRODUCT(($A114=$Y$5:$Y$43)*(I$100&gt;=YEAR($F$5:$F$43))*$G$5:$G$43)/SUMPRODUCT((I$100&gt;=YEAR($F$5:$F$43))*$G$5:$G$43)),IF(H114&gt;0,H114/(1+lgh_equity!I$24),0))</f>
        <v>2.5646087858658111E-4</v>
      </c>
      <c r="J114" s="1773">
        <f t="array" ref="J114">IF(SUMPRODUCT(($A114=$Y$5:$Y$43)*(J$100=YEAR($F$5:$F$43)))&gt;=1,SUMPRODUCT(($A114=$A$61:$A$95)*$I$61:$I$95)*((SUMPRODUCT((J$100&gt;=YEAR($F$5:$F$43))*$G$5:$G$43)/$K$58)*100%)*(SUMPRODUCT(($A114=$Y$5:$Y$43)*(J$100&gt;=YEAR($F$5:$F$43))*$G$5:$G$43)/SUMPRODUCT((J$100&gt;=YEAR($F$5:$F$43))*$G$5:$G$43)),IF(I114&gt;0,I114/(1+lgh_equity!J$24),0))</f>
        <v>2.5646087858658111E-4</v>
      </c>
      <c r="K114" s="1788">
        <f t="array" ref="K114">IF(SUMPRODUCT(($A114=$Y$5:$Y$43)*(K$100=YEAR($F$5:$F$43)))&gt;=1,SUMPRODUCT(($A114=$A$61:$A$95)*$I$61:$I$95)*((SUMPRODUCT((K$100&gt;=YEAR($F$5:$F$43))*$G$5:$G$43)/$K$58)*100%)*(SUMPRODUCT(($A114=$Y$5:$Y$43)*(K$100&gt;=YEAR($F$5:$F$43))*$G$5:$G$43)/SUMPRODUCT((K$100&gt;=YEAR($F$5:$F$43))*$G$5:$G$43)),IF(J114&gt;0,J114/(1+lgh_equity!K$24),0))</f>
        <v>2.5646087858658111E-4</v>
      </c>
      <c r="L114" s="1788">
        <f t="array" ref="L114">IF(SUMPRODUCT(($A114=$Y$5:$Y$43)*(L$100=YEAR($F$5:$F$43)))&gt;=1,SUMPRODUCT(($A114=$A$61:$A$95)*$I$61:$I$95)*((SUMPRODUCT((L$100&gt;=YEAR($F$5:$F$43))*$G$5:$G$43)/$K$58)*100%)*(SUMPRODUCT(($A114=$Y$5:$Y$43)*(L$100&gt;=YEAR($F$5:$F$43))*$G$5:$G$43)/SUMPRODUCT((L$100&gt;=YEAR($F$5:$F$43))*$G$5:$G$43)),IF(K114&gt;0,K114/(1+lgh_equity!L$24),0))</f>
        <v>2.5646087858658111E-4</v>
      </c>
      <c r="M114" s="1788">
        <f t="array" ref="M114">IF(SUMPRODUCT(($A114=$Y$5:$Y$43)*(M$100=YEAR($F$5:$F$43)))&gt;=1,SUMPRODUCT(($A114=$A$61:$A$95)*$I$61:$I$95)*((SUMPRODUCT((M$100&gt;=YEAR($F$5:$F$43))*$G$5:$G$43)/$K$58)*100%)*(SUMPRODUCT(($A114=$Y$5:$Y$43)*(M$100&gt;=YEAR($F$5:$F$43))*$G$5:$G$43)/SUMPRODUCT((M$100&gt;=YEAR($F$5:$F$43))*$G$5:$G$43)),IF(L114&gt;0,L114/(1+lgh_equity!M$24),0))</f>
        <v>2.5646087858658111E-4</v>
      </c>
      <c r="N114" s="1773">
        <f t="array" ref="N114">IF(SUMPRODUCT(($A114=$Y$5:$Y$43)*(N$100=YEAR($F$5:$F$43)))&gt;=1,SUMPRODUCT(($A114=$A$61:$A$95)*$I$61:$I$95)*((SUMPRODUCT((N$100&gt;=YEAR($F$5:$F$43))*$G$5:$G$43)/$K$58)*100%)*(SUMPRODUCT(($A114=$Y$5:$Y$43)*(N$100&gt;=YEAR($F$5:$F$43))*$G$5:$G$43)/SUMPRODUCT((N$100&gt;=YEAR($F$5:$F$43))*$G$5:$G$43)),IF(M114&gt;0,M114/(1+lgh_equity!N$24),0))</f>
        <v>2.5646087858658111E-4</v>
      </c>
      <c r="O114" s="1781"/>
      <c r="P114" s="1781"/>
      <c r="Q114" s="1781"/>
      <c r="R114" s="248"/>
      <c r="S114" s="248"/>
      <c r="T114" s="248"/>
      <c r="U114" s="1743"/>
    </row>
    <row r="115" spans="1:21">
      <c r="A115" t="str">
        <f t="shared" si="19"/>
        <v>PE014 Benjamin Rego Jr._1</v>
      </c>
      <c r="B115" s="2017">
        <v>6.3600000000000006E-4</v>
      </c>
      <c r="C115" s="196">
        <f t="array" ref="C115">IF(SUMPRODUCT(($A115=$Y$5:$Y$43)*(C$100=YEAR($F$5:$F$43)))&gt;=1,SUMPRODUCT(($A115=$A$61:$A$95)*$I$61:$I$95)*((SUMPRODUCT((C$100&gt;=YEAR($F$5:$F$43))*$G$5:$G$43)/$K$58)*100%)*(SUMPRODUCT(($A115=$Y$5:$Y$43)*(C$100&gt;=YEAR($F$5:$F$43))*$G$5:$G$43)/SUMPRODUCT((C$100&gt;=YEAR($F$5:$F$43))*$G$5:$G$43)),IF(B115&gt;0,B115/(1+lgh_equity!C$24),0))</f>
        <v>6.3600000000000006E-4</v>
      </c>
      <c r="D115" s="196">
        <f t="array" ref="D115">IF(SUMPRODUCT(($A115=$Y$5:$Y$43)*(D$100=YEAR($F$5:$F$43)))&gt;=1,SUMPRODUCT(($A115=$A$61:$A$95)*$I$61:$I$95)*((SUMPRODUCT((D$100&gt;=YEAR($F$5:$F$43))*$G$5:$G$43)/$K$58)*100%)*(SUMPRODUCT(($A115=$Y$5:$Y$43)*(D$100&gt;=YEAR($F$5:$F$43))*$G$5:$G$43)/SUMPRODUCT((D$100&gt;=YEAR($F$5:$F$43))*$G$5:$G$43)),IF(C115&gt;0,C115/(1+lgh_equity!D$24),0))</f>
        <v>5.1456310679611655E-4</v>
      </c>
      <c r="E115" s="196">
        <f t="array" ref="E115">IF(SUMPRODUCT(($A115=$Y$5:$Y$43)*(E$100=YEAR($F$5:$F$43)))&gt;=1,SUMPRODUCT(($A115=$A$61:$A$95)*$I$61:$I$95)*((SUMPRODUCT((E$100&gt;=YEAR($F$5:$F$43))*$G$5:$G$43)/$K$58)*100%)*(SUMPRODUCT(($A115=$Y$5:$Y$43)*(E$100&gt;=YEAR($F$5:$F$43))*$G$5:$G$43)/SUMPRODUCT((E$100&gt;=YEAR($F$5:$F$43))*$G$5:$G$43)),IF(D115&gt;0,D115/(1+lgh_equity!E$24),0))</f>
        <v>5.1292175717316234E-4</v>
      </c>
      <c r="F115" s="196">
        <f t="array" ref="F115">IF(SUMPRODUCT(($A115=$Y$5:$Y$43)*(F$100=YEAR($F$5:$F$43)))&gt;=1,SUMPRODUCT(($A115=$A$61:$A$95)*$I$61:$I$95)*((SUMPRODUCT((F$100&gt;=YEAR($F$5:$F$43))*$G$5:$G$43)/$K$58)*100%)*(SUMPRODUCT(($A115=$Y$5:$Y$43)*(F$100&gt;=YEAR($F$5:$F$43))*$G$5:$G$43)/SUMPRODUCT((F$100&gt;=YEAR($F$5:$F$43))*$G$5:$G$43)),IF(E115&gt;0,E115/(1+lgh_equity!F$24),0))</f>
        <v>5.1292175717316234E-4</v>
      </c>
      <c r="G115" s="1758">
        <f t="array" ref="G115">IF(SUMPRODUCT(($A115=$Y$5:$Y$43)*(G$100=YEAR($F$5:$F$43)))&gt;=1,SUMPRODUCT(($A115=$A$61:$A$95)*$I$61:$I$95)*((SUMPRODUCT((G$100&gt;=YEAR($F$5:$F$43))*$G$5:$G$43)/$K$58)*100%)*(SUMPRODUCT(($A115=$Y$5:$Y$43)*(G$100&gt;=YEAR($F$5:$F$43))*$G$5:$G$43)/SUMPRODUCT((G$100&gt;=YEAR($F$5:$F$43))*$G$5:$G$43)),IF(F115&gt;0,F115/(1+lgh_equity!G$24),0))</f>
        <v>5.1292175717316234E-4</v>
      </c>
      <c r="H115" s="1758">
        <f t="array" ref="H115">IF(SUMPRODUCT(($A115=$Y$5:$Y$43)*(H$100=YEAR($F$5:$F$43)))&gt;=1,SUMPRODUCT(($A115=$A$61:$A$95)*$I$61:$I$95)*((SUMPRODUCT((H$100&gt;=YEAR($F$5:$F$43))*$G$5:$G$43)/$K$58)*100%)*(SUMPRODUCT(($A115=$Y$5:$Y$43)*(H$100&gt;=YEAR($F$5:$F$43))*$G$5:$G$43)/SUMPRODUCT((H$100&gt;=YEAR($F$5:$F$43))*$G$5:$G$43)),IF(G115&gt;0,G115/(1+lgh_equity!H$24),0))</f>
        <v>5.1292175717316234E-4</v>
      </c>
      <c r="I115" s="1773">
        <f t="array" ref="I115">IF(SUMPRODUCT(($A115=$Y$5:$Y$43)*(I$100=YEAR($F$5:$F$43)))&gt;=1,SUMPRODUCT(($A115=$A$61:$A$95)*$I$61:$I$95)*((SUMPRODUCT((I$100&gt;=YEAR($F$5:$F$43))*$G$5:$G$43)/$K$58)*100%)*(SUMPRODUCT(($A115=$Y$5:$Y$43)*(I$100&gt;=YEAR($F$5:$F$43))*$G$5:$G$43)/SUMPRODUCT((I$100&gt;=YEAR($F$5:$F$43))*$G$5:$G$43)),IF(H115&gt;0,H115/(1+lgh_equity!I$24),0))</f>
        <v>5.1292175717316234E-4</v>
      </c>
      <c r="J115" s="1773">
        <f t="array" ref="J115">IF(SUMPRODUCT(($A115=$Y$5:$Y$43)*(J$100=YEAR($F$5:$F$43)))&gt;=1,SUMPRODUCT(($A115=$A$61:$A$95)*$I$61:$I$95)*((SUMPRODUCT((J$100&gt;=YEAR($F$5:$F$43))*$G$5:$G$43)/$K$58)*100%)*(SUMPRODUCT(($A115=$Y$5:$Y$43)*(J$100&gt;=YEAR($F$5:$F$43))*$G$5:$G$43)/SUMPRODUCT((J$100&gt;=YEAR($F$5:$F$43))*$G$5:$G$43)),IF(I115&gt;0,I115/(1+lgh_equity!J$24),0))</f>
        <v>5.1292175717316234E-4</v>
      </c>
      <c r="K115" s="1788">
        <f t="array" ref="K115">IF(SUMPRODUCT(($A115=$Y$5:$Y$43)*(K$100=YEAR($F$5:$F$43)))&gt;=1,SUMPRODUCT(($A115=$A$61:$A$95)*$I$61:$I$95)*((SUMPRODUCT((K$100&gt;=YEAR($F$5:$F$43))*$G$5:$G$43)/$K$58)*100%)*(SUMPRODUCT(($A115=$Y$5:$Y$43)*(K$100&gt;=YEAR($F$5:$F$43))*$G$5:$G$43)/SUMPRODUCT((K$100&gt;=YEAR($F$5:$F$43))*$G$5:$G$43)),IF(J115&gt;0,J115/(1+lgh_equity!K$24),0))</f>
        <v>5.1292175717316234E-4</v>
      </c>
      <c r="L115" s="1788">
        <f t="array" ref="L115">IF(SUMPRODUCT(($A115=$Y$5:$Y$43)*(L$100=YEAR($F$5:$F$43)))&gt;=1,SUMPRODUCT(($A115=$A$61:$A$95)*$I$61:$I$95)*((SUMPRODUCT((L$100&gt;=YEAR($F$5:$F$43))*$G$5:$G$43)/$K$58)*100%)*(SUMPRODUCT(($A115=$Y$5:$Y$43)*(L$100&gt;=YEAR($F$5:$F$43))*$G$5:$G$43)/SUMPRODUCT((L$100&gt;=YEAR($F$5:$F$43))*$G$5:$G$43)),IF(K115&gt;0,K115/(1+lgh_equity!L$24),0))</f>
        <v>5.1292175717316234E-4</v>
      </c>
      <c r="M115" s="1788">
        <f t="array" ref="M115">IF(SUMPRODUCT(($A115=$Y$5:$Y$43)*(M$100=YEAR($F$5:$F$43)))&gt;=1,SUMPRODUCT(($A115=$A$61:$A$95)*$I$61:$I$95)*((SUMPRODUCT((M$100&gt;=YEAR($F$5:$F$43))*$G$5:$G$43)/$K$58)*100%)*(SUMPRODUCT(($A115=$Y$5:$Y$43)*(M$100&gt;=YEAR($F$5:$F$43))*$G$5:$G$43)/SUMPRODUCT((M$100&gt;=YEAR($F$5:$F$43))*$G$5:$G$43)),IF(L115&gt;0,L115/(1+lgh_equity!M$24),0))</f>
        <v>5.1292175717316234E-4</v>
      </c>
      <c r="N115" s="1773">
        <f t="array" ref="N115">IF(SUMPRODUCT(($A115=$Y$5:$Y$43)*(N$100=YEAR($F$5:$F$43)))&gt;=1,SUMPRODUCT(($A115=$A$61:$A$95)*$I$61:$I$95)*((SUMPRODUCT((N$100&gt;=YEAR($F$5:$F$43))*$G$5:$G$43)/$K$58)*100%)*(SUMPRODUCT(($A115=$Y$5:$Y$43)*(N$100&gt;=YEAR($F$5:$F$43))*$G$5:$G$43)/SUMPRODUCT((N$100&gt;=YEAR($F$5:$F$43))*$G$5:$G$43)),IF(M115&gt;0,M115/(1+lgh_equity!N$24),0))</f>
        <v>5.1292175717316234E-4</v>
      </c>
      <c r="O115" s="1781"/>
      <c r="P115" s="1781"/>
      <c r="Q115" s="1781"/>
      <c r="R115" s="248"/>
      <c r="S115" s="248"/>
      <c r="T115" s="248"/>
      <c r="U115" s="1743"/>
    </row>
    <row r="116" spans="1:21">
      <c r="A116" t="str">
        <f t="shared" si="19"/>
        <v>PE015 LBCW Holdings, LP</v>
      </c>
      <c r="B116" s="2017">
        <v>9.9009900990099011E-4</v>
      </c>
      <c r="C116" s="196">
        <f t="array" ref="C116">IF(SUMPRODUCT(($A116=$Y$5:$Y$43)*(C$100=YEAR($F$5:$F$43)))&gt;=1,SUMPRODUCT(($A116=$A$61:$A$95)*$I$61:$I$95)*((SUMPRODUCT((C$100&gt;=YEAR($F$5:$F$43))*$G$5:$G$43)/$K$58)*100%)*(SUMPRODUCT(($A116=$Y$5:$Y$43)*(C$100&gt;=YEAR($F$5:$F$43))*$G$5:$G$43)/SUMPRODUCT((C$100&gt;=YEAR($F$5:$F$43))*$G$5:$G$43)),IF(B116&gt;0,B116/(1+lgh_equity!C$24),0))</f>
        <v>9.9009900990099011E-4</v>
      </c>
      <c r="D116" s="196">
        <f t="array" ref="D116">IF(SUMPRODUCT(($A116=$Y$5:$Y$43)*(D$100=YEAR($F$5:$F$43)))&gt;=1,SUMPRODUCT(($A116=$A$61:$A$95)*$I$61:$I$95)*((SUMPRODUCT((D$100&gt;=YEAR($F$5:$F$43))*$G$5:$G$43)/$K$58)*100%)*(SUMPRODUCT(($A116=$Y$5:$Y$43)*(D$100&gt;=YEAR($F$5:$F$43))*$G$5:$G$43)/SUMPRODUCT((D$100&gt;=YEAR($F$5:$F$43))*$G$5:$G$43)),IF(C116&gt;0,C116/(1+lgh_equity!D$24),0))</f>
        <v>8.0105097888429619E-4</v>
      </c>
      <c r="E116" s="196">
        <f t="array" ref="E116">IF(SUMPRODUCT(($A116=$Y$5:$Y$43)*(E$100=YEAR($F$5:$F$43)))&gt;=1,SUMPRODUCT(($A116=$A$61:$A$95)*$I$61:$I$95)*((SUMPRODUCT((E$100&gt;=YEAR($F$5:$F$43))*$G$5:$G$43)/$K$58)*100%)*(SUMPRODUCT(($A116=$Y$5:$Y$43)*(E$100&gt;=YEAR($F$5:$F$43))*$G$5:$G$43)/SUMPRODUCT((E$100&gt;=YEAR($F$5:$F$43))*$G$5:$G$43)),IF(D116&gt;0,D116/(1+lgh_equity!E$24),0))</f>
        <v>7.9849579234877999E-4</v>
      </c>
      <c r="F116" s="196">
        <f t="array" ref="F116">IF(SUMPRODUCT(($A116=$Y$5:$Y$43)*(F$100=YEAR($F$5:$F$43)))&gt;=1,SUMPRODUCT(($A116=$A$61:$A$95)*$I$61:$I$95)*((SUMPRODUCT((F$100&gt;=YEAR($F$5:$F$43))*$G$5:$G$43)/$K$58)*100%)*(SUMPRODUCT(($A116=$Y$5:$Y$43)*(F$100&gt;=YEAR($F$5:$F$43))*$G$5:$G$43)/SUMPRODUCT((F$100&gt;=YEAR($F$5:$F$43))*$G$5:$G$43)),IF(E116&gt;0,E116/(1+lgh_equity!F$24),0))</f>
        <v>7.9849579234877999E-4</v>
      </c>
      <c r="G116" s="1758">
        <f t="array" ref="G116">IF(SUMPRODUCT(($A116=$Y$5:$Y$43)*(G$100=YEAR($F$5:$F$43)))&gt;=1,SUMPRODUCT(($A116=$A$61:$A$95)*$I$61:$I$95)*((SUMPRODUCT((G$100&gt;=YEAR($F$5:$F$43))*$G$5:$G$43)/$K$58)*100%)*(SUMPRODUCT(($A116=$Y$5:$Y$43)*(G$100&gt;=YEAR($F$5:$F$43))*$G$5:$G$43)/SUMPRODUCT((G$100&gt;=YEAR($F$5:$F$43))*$G$5:$G$43)),IF(F116&gt;0,F116/(1+lgh_equity!G$24),0))</f>
        <v>7.9849579234877999E-4</v>
      </c>
      <c r="H116" s="1758">
        <f t="array" ref="H116">IF(SUMPRODUCT(($A116=$Y$5:$Y$43)*(H$100=YEAR($F$5:$F$43)))&gt;=1,SUMPRODUCT(($A116=$A$61:$A$95)*$I$61:$I$95)*((SUMPRODUCT((H$100&gt;=YEAR($F$5:$F$43))*$G$5:$G$43)/$K$58)*100%)*(SUMPRODUCT(($A116=$Y$5:$Y$43)*(H$100&gt;=YEAR($F$5:$F$43))*$G$5:$G$43)/SUMPRODUCT((H$100&gt;=YEAR($F$5:$F$43))*$G$5:$G$43)),IF(G116&gt;0,G116/(1+lgh_equity!H$24),0))</f>
        <v>7.9849579234877999E-4</v>
      </c>
      <c r="I116" s="1773">
        <f t="array" ref="I116">IF(SUMPRODUCT(($A116=$Y$5:$Y$43)*(I$100=YEAR($F$5:$F$43)))&gt;=1,SUMPRODUCT(($A116=$A$61:$A$95)*$I$61:$I$95)*((SUMPRODUCT((I$100&gt;=YEAR($F$5:$F$43))*$G$5:$G$43)/$K$58)*100%)*(SUMPRODUCT(($A116=$Y$5:$Y$43)*(I$100&gt;=YEAR($F$5:$F$43))*$G$5:$G$43)/SUMPRODUCT((I$100&gt;=YEAR($F$5:$F$43))*$G$5:$G$43)),IF(H116&gt;0,H116/(1+lgh_equity!I$24),0))</f>
        <v>7.9849579234877999E-4</v>
      </c>
      <c r="J116" s="1773">
        <f t="array" ref="J116">IF(SUMPRODUCT(($A116=$Y$5:$Y$43)*(J$100=YEAR($F$5:$F$43)))&gt;=1,SUMPRODUCT(($A116=$A$61:$A$95)*$I$61:$I$95)*((SUMPRODUCT((J$100&gt;=YEAR($F$5:$F$43))*$G$5:$G$43)/$K$58)*100%)*(SUMPRODUCT(($A116=$Y$5:$Y$43)*(J$100&gt;=YEAR($F$5:$F$43))*$G$5:$G$43)/SUMPRODUCT((J$100&gt;=YEAR($F$5:$F$43))*$G$5:$G$43)),IF(I116&gt;0,I116/(1+lgh_equity!J$24),0))</f>
        <v>7.9849579234877999E-4</v>
      </c>
      <c r="K116" s="1788">
        <f t="array" ref="K116">IF(SUMPRODUCT(($A116=$Y$5:$Y$43)*(K$100=YEAR($F$5:$F$43)))&gt;=1,SUMPRODUCT(($A116=$A$61:$A$95)*$I$61:$I$95)*((SUMPRODUCT((K$100&gt;=YEAR($F$5:$F$43))*$G$5:$G$43)/$K$58)*100%)*(SUMPRODUCT(($A116=$Y$5:$Y$43)*(K$100&gt;=YEAR($F$5:$F$43))*$G$5:$G$43)/SUMPRODUCT((K$100&gt;=YEAR($F$5:$F$43))*$G$5:$G$43)),IF(J116&gt;0,J116/(1+lgh_equity!K$24),0))</f>
        <v>7.9849579234877999E-4</v>
      </c>
      <c r="L116" s="1788">
        <f t="array" ref="L116">IF(SUMPRODUCT(($A116=$Y$5:$Y$43)*(L$100=YEAR($F$5:$F$43)))&gt;=1,SUMPRODUCT(($A116=$A$61:$A$95)*$I$61:$I$95)*((SUMPRODUCT((L$100&gt;=YEAR($F$5:$F$43))*$G$5:$G$43)/$K$58)*100%)*(SUMPRODUCT(($A116=$Y$5:$Y$43)*(L$100&gt;=YEAR($F$5:$F$43))*$G$5:$G$43)/SUMPRODUCT((L$100&gt;=YEAR($F$5:$F$43))*$G$5:$G$43)),IF(K116&gt;0,K116/(1+lgh_equity!L$24),0))</f>
        <v>7.9849579234877999E-4</v>
      </c>
      <c r="M116" s="1788">
        <f t="array" ref="M116">IF(SUMPRODUCT(($A116=$Y$5:$Y$43)*(M$100=YEAR($F$5:$F$43)))&gt;=1,SUMPRODUCT(($A116=$A$61:$A$95)*$I$61:$I$95)*((SUMPRODUCT((M$100&gt;=YEAR($F$5:$F$43))*$G$5:$G$43)/$K$58)*100%)*(SUMPRODUCT(($A116=$Y$5:$Y$43)*(M$100&gt;=YEAR($F$5:$F$43))*$G$5:$G$43)/SUMPRODUCT((M$100&gt;=YEAR($F$5:$F$43))*$G$5:$G$43)),IF(L116&gt;0,L116/(1+lgh_equity!M$24),0))</f>
        <v>7.9849579234877999E-4</v>
      </c>
      <c r="N116" s="1773">
        <f t="array" ref="N116">IF(SUMPRODUCT(($A116=$Y$5:$Y$43)*(N$100=YEAR($F$5:$F$43)))&gt;=1,SUMPRODUCT(($A116=$A$61:$A$95)*$I$61:$I$95)*((SUMPRODUCT((N$100&gt;=YEAR($F$5:$F$43))*$G$5:$G$43)/$K$58)*100%)*(SUMPRODUCT(($A116=$Y$5:$Y$43)*(N$100&gt;=YEAR($F$5:$F$43))*$G$5:$G$43)/SUMPRODUCT((N$100&gt;=YEAR($F$5:$F$43))*$G$5:$G$43)),IF(M116&gt;0,M116/(1+lgh_equity!N$24),0))</f>
        <v>7.9849579234877999E-4</v>
      </c>
      <c r="O116" s="1781"/>
      <c r="P116" s="1781"/>
      <c r="Q116" s="1781"/>
      <c r="R116" s="248"/>
      <c r="S116" s="248"/>
      <c r="T116" s="248"/>
      <c r="U116" s="1743"/>
    </row>
    <row r="117" spans="1:21">
      <c r="A117" t="str">
        <f t="shared" si="19"/>
        <v>PE016 LBCW Holdings, LP</v>
      </c>
      <c r="B117" s="2017">
        <v>9.9009900990099011E-4</v>
      </c>
      <c r="C117" s="196">
        <f t="array" ref="C117">IF(SUMPRODUCT(($A117=$Y$5:$Y$43)*(C$100=YEAR($F$5:$F$43)))&gt;=1,SUMPRODUCT(($A117=$A$61:$A$95)*$I$61:$I$95)*((SUMPRODUCT((C$100&gt;=YEAR($F$5:$F$43))*$G$5:$G$43)/$K$58)*100%)*(SUMPRODUCT(($A117=$Y$5:$Y$43)*(C$100&gt;=YEAR($F$5:$F$43))*$G$5:$G$43)/SUMPRODUCT((C$100&gt;=YEAR($F$5:$F$43))*$G$5:$G$43)),IF(B117&gt;0,B117/(1+lgh_equity!C$24),0))</f>
        <v>9.9009900990099011E-4</v>
      </c>
      <c r="D117" s="196">
        <f t="array" ref="D117">IF(SUMPRODUCT(($A117=$Y$5:$Y$43)*(D$100=YEAR($F$5:$F$43)))&gt;=1,SUMPRODUCT(($A117=$A$61:$A$95)*$I$61:$I$95)*((SUMPRODUCT((D$100&gt;=YEAR($F$5:$F$43))*$G$5:$G$43)/$K$58)*100%)*(SUMPRODUCT(($A117=$Y$5:$Y$43)*(D$100&gt;=YEAR($F$5:$F$43))*$G$5:$G$43)/SUMPRODUCT((D$100&gt;=YEAR($F$5:$F$43))*$G$5:$G$43)),IF(C117&gt;0,C117/(1+lgh_equity!D$24),0))</f>
        <v>8.0105097888429619E-4</v>
      </c>
      <c r="E117" s="196">
        <f t="array" ref="E117">IF(SUMPRODUCT(($A117=$Y$5:$Y$43)*(E$100=YEAR($F$5:$F$43)))&gt;=1,SUMPRODUCT(($A117=$A$61:$A$95)*$I$61:$I$95)*((SUMPRODUCT((E$100&gt;=YEAR($F$5:$F$43))*$G$5:$G$43)/$K$58)*100%)*(SUMPRODUCT(($A117=$Y$5:$Y$43)*(E$100&gt;=YEAR($F$5:$F$43))*$G$5:$G$43)/SUMPRODUCT((E$100&gt;=YEAR($F$5:$F$43))*$G$5:$G$43)),IF(D117&gt;0,D117/(1+lgh_equity!E$24),0))</f>
        <v>7.9849579234877999E-4</v>
      </c>
      <c r="F117" s="196">
        <f t="array" ref="F117">IF(SUMPRODUCT(($A117=$Y$5:$Y$43)*(F$100=YEAR($F$5:$F$43)))&gt;=1,SUMPRODUCT(($A117=$A$61:$A$95)*$I$61:$I$95)*((SUMPRODUCT((F$100&gt;=YEAR($F$5:$F$43))*$G$5:$G$43)/$K$58)*100%)*(SUMPRODUCT(($A117=$Y$5:$Y$43)*(F$100&gt;=YEAR($F$5:$F$43))*$G$5:$G$43)/SUMPRODUCT((F$100&gt;=YEAR($F$5:$F$43))*$G$5:$G$43)),IF(E117&gt;0,E117/(1+lgh_equity!F$24),0))</f>
        <v>7.9849579234877999E-4</v>
      </c>
      <c r="G117" s="1758">
        <f t="array" ref="G117">IF(SUMPRODUCT(($A117=$Y$5:$Y$43)*(G$100=YEAR($F$5:$F$43)))&gt;=1,SUMPRODUCT(($A117=$A$61:$A$95)*$I$61:$I$95)*((SUMPRODUCT((G$100&gt;=YEAR($F$5:$F$43))*$G$5:$G$43)/$K$58)*100%)*(SUMPRODUCT(($A117=$Y$5:$Y$43)*(G$100&gt;=YEAR($F$5:$F$43))*$G$5:$G$43)/SUMPRODUCT((G$100&gt;=YEAR($F$5:$F$43))*$G$5:$G$43)),IF(F117&gt;0,F117/(1+lgh_equity!G$24),0))</f>
        <v>7.9849579234877999E-4</v>
      </c>
      <c r="H117" s="1758">
        <f t="array" ref="H117">IF(SUMPRODUCT(($A117=$Y$5:$Y$43)*(H$100=YEAR($F$5:$F$43)))&gt;=1,SUMPRODUCT(($A117=$A$61:$A$95)*$I$61:$I$95)*((SUMPRODUCT((H$100&gt;=YEAR($F$5:$F$43))*$G$5:$G$43)/$K$58)*100%)*(SUMPRODUCT(($A117=$Y$5:$Y$43)*(H$100&gt;=YEAR($F$5:$F$43))*$G$5:$G$43)/SUMPRODUCT((H$100&gt;=YEAR($F$5:$F$43))*$G$5:$G$43)),IF(G117&gt;0,G117/(1+lgh_equity!H$24),0))</f>
        <v>7.9849579234877999E-4</v>
      </c>
      <c r="I117" s="1773">
        <f t="array" ref="I117">IF(SUMPRODUCT(($A117=$Y$5:$Y$43)*(I$100=YEAR($F$5:$F$43)))&gt;=1,SUMPRODUCT(($A117=$A$61:$A$95)*$I$61:$I$95)*((SUMPRODUCT((I$100&gt;=YEAR($F$5:$F$43))*$G$5:$G$43)/$K$58)*100%)*(SUMPRODUCT(($A117=$Y$5:$Y$43)*(I$100&gt;=YEAR($F$5:$F$43))*$G$5:$G$43)/SUMPRODUCT((I$100&gt;=YEAR($F$5:$F$43))*$G$5:$G$43)),IF(H117&gt;0,H117/(1+lgh_equity!I$24),0))</f>
        <v>7.9849579234877999E-4</v>
      </c>
      <c r="J117" s="1773">
        <f t="array" ref="J117">IF(SUMPRODUCT(($A117=$Y$5:$Y$43)*(J$100=YEAR($F$5:$F$43)))&gt;=1,SUMPRODUCT(($A117=$A$61:$A$95)*$I$61:$I$95)*((SUMPRODUCT((J$100&gt;=YEAR($F$5:$F$43))*$G$5:$G$43)/$K$58)*100%)*(SUMPRODUCT(($A117=$Y$5:$Y$43)*(J$100&gt;=YEAR($F$5:$F$43))*$G$5:$G$43)/SUMPRODUCT((J$100&gt;=YEAR($F$5:$F$43))*$G$5:$G$43)),IF(I117&gt;0,I117/(1+lgh_equity!J$24),0))</f>
        <v>7.9849579234877999E-4</v>
      </c>
      <c r="K117" s="1788">
        <f t="array" ref="K117">IF(SUMPRODUCT(($A117=$Y$5:$Y$43)*(K$100=YEAR($F$5:$F$43)))&gt;=1,SUMPRODUCT(($A117=$A$61:$A$95)*$I$61:$I$95)*((SUMPRODUCT((K$100&gt;=YEAR($F$5:$F$43))*$G$5:$G$43)/$K$58)*100%)*(SUMPRODUCT(($A117=$Y$5:$Y$43)*(K$100&gt;=YEAR($F$5:$F$43))*$G$5:$G$43)/SUMPRODUCT((K$100&gt;=YEAR($F$5:$F$43))*$G$5:$G$43)),IF(J117&gt;0,J117/(1+lgh_equity!K$24),0))</f>
        <v>7.9849579234877999E-4</v>
      </c>
      <c r="L117" s="1788">
        <f t="array" ref="L117">IF(SUMPRODUCT(($A117=$Y$5:$Y$43)*(L$100=YEAR($F$5:$F$43)))&gt;=1,SUMPRODUCT(($A117=$A$61:$A$95)*$I$61:$I$95)*((SUMPRODUCT((L$100&gt;=YEAR($F$5:$F$43))*$G$5:$G$43)/$K$58)*100%)*(SUMPRODUCT(($A117=$Y$5:$Y$43)*(L$100&gt;=YEAR($F$5:$F$43))*$G$5:$G$43)/SUMPRODUCT((L$100&gt;=YEAR($F$5:$F$43))*$G$5:$G$43)),IF(K117&gt;0,K117/(1+lgh_equity!L$24),0))</f>
        <v>7.9849579234877999E-4</v>
      </c>
      <c r="M117" s="1788">
        <f t="array" ref="M117">IF(SUMPRODUCT(($A117=$Y$5:$Y$43)*(M$100=YEAR($F$5:$F$43)))&gt;=1,SUMPRODUCT(($A117=$A$61:$A$95)*$I$61:$I$95)*((SUMPRODUCT((M$100&gt;=YEAR($F$5:$F$43))*$G$5:$G$43)/$K$58)*100%)*(SUMPRODUCT(($A117=$Y$5:$Y$43)*(M$100&gt;=YEAR($F$5:$F$43))*$G$5:$G$43)/SUMPRODUCT((M$100&gt;=YEAR($F$5:$F$43))*$G$5:$G$43)),IF(L117&gt;0,L117/(1+lgh_equity!M$24),0))</f>
        <v>7.9849579234877999E-4</v>
      </c>
      <c r="N117" s="1773">
        <f t="array" ref="N117">IF(SUMPRODUCT(($A117=$Y$5:$Y$43)*(N$100=YEAR($F$5:$F$43)))&gt;=1,SUMPRODUCT(($A117=$A$61:$A$95)*$I$61:$I$95)*((SUMPRODUCT((N$100&gt;=YEAR($F$5:$F$43))*$G$5:$G$43)/$K$58)*100%)*(SUMPRODUCT(($A117=$Y$5:$Y$43)*(N$100&gt;=YEAR($F$5:$F$43))*$G$5:$G$43)/SUMPRODUCT((N$100&gt;=YEAR($F$5:$F$43))*$G$5:$G$43)),IF(M117&gt;0,M117/(1+lgh_equity!N$24),0))</f>
        <v>7.9849579234877999E-4</v>
      </c>
      <c r="O117" s="1781"/>
      <c r="P117" s="1781"/>
      <c r="Q117" s="1781"/>
      <c r="R117" s="248"/>
      <c r="S117" s="248"/>
      <c r="T117" s="248"/>
      <c r="U117" s="1743"/>
    </row>
    <row r="118" spans="1:21">
      <c r="A118" t="str">
        <f t="shared" si="19"/>
        <v>PE017 Arbor Green II LP</v>
      </c>
      <c r="B118" s="2017">
        <v>1.9801980198019798E-3</v>
      </c>
      <c r="C118" s="196">
        <f t="array" ref="C118">IF(SUMPRODUCT(($A118=$Y$5:$Y$43)*(C$100=YEAR($F$5:$F$43)))&gt;=1,SUMPRODUCT(($A118=$A$61:$A$95)*$I$61:$I$95)*((SUMPRODUCT((C$100&gt;=YEAR($F$5:$F$43))*$G$5:$G$43)/$K$58)*100%)*(SUMPRODUCT(($A118=$Y$5:$Y$43)*(C$100&gt;=YEAR($F$5:$F$43))*$G$5:$G$43)/SUMPRODUCT((C$100&gt;=YEAR($F$5:$F$43))*$G$5:$G$43)),IF(B118&gt;0,B118/(1+lgh_equity!C$24),0))</f>
        <v>1.9801980198019798E-3</v>
      </c>
      <c r="D118" s="196">
        <f t="array" ref="D118">IF(SUMPRODUCT(($A118=$Y$5:$Y$43)*(D$100=YEAR($F$5:$F$43)))&gt;=1,SUMPRODUCT(($A118=$A$61:$A$95)*$I$61:$I$95)*((SUMPRODUCT((D$100&gt;=YEAR($F$5:$F$43))*$G$5:$G$43)/$K$58)*100%)*(SUMPRODUCT(($A118=$Y$5:$Y$43)*(D$100&gt;=YEAR($F$5:$F$43))*$G$5:$G$43)/SUMPRODUCT((D$100&gt;=YEAR($F$5:$F$43))*$G$5:$G$43)),IF(C118&gt;0,C118/(1+lgh_equity!D$24),0))</f>
        <v>1.6021019577685922E-3</v>
      </c>
      <c r="E118" s="196">
        <f t="array" ref="E118">IF(SUMPRODUCT(($A118=$Y$5:$Y$43)*(E$100=YEAR($F$5:$F$43)))&gt;=1,SUMPRODUCT(($A118=$A$61:$A$95)*$I$61:$I$95)*((SUMPRODUCT((E$100&gt;=YEAR($F$5:$F$43))*$G$5:$G$43)/$K$58)*100%)*(SUMPRODUCT(($A118=$Y$5:$Y$43)*(E$100&gt;=YEAR($F$5:$F$43))*$G$5:$G$43)/SUMPRODUCT((E$100&gt;=YEAR($F$5:$F$43))*$G$5:$G$43)),IF(D118&gt;0,D118/(1+lgh_equity!E$24),0))</f>
        <v>1.5969915846975598E-3</v>
      </c>
      <c r="F118" s="196">
        <f t="array" ref="F118">IF(SUMPRODUCT(($A118=$Y$5:$Y$43)*(F$100=YEAR($F$5:$F$43)))&gt;=1,SUMPRODUCT(($A118=$A$61:$A$95)*$I$61:$I$95)*((SUMPRODUCT((F$100&gt;=YEAR($F$5:$F$43))*$G$5:$G$43)/$K$58)*100%)*(SUMPRODUCT(($A118=$Y$5:$Y$43)*(F$100&gt;=YEAR($F$5:$F$43))*$G$5:$G$43)/SUMPRODUCT((F$100&gt;=YEAR($F$5:$F$43))*$G$5:$G$43)),IF(E118&gt;0,E118/(1+lgh_equity!F$24),0))</f>
        <v>1.5969915846975598E-3</v>
      </c>
      <c r="G118" s="1758">
        <f t="array" ref="G118">IF(SUMPRODUCT(($A118=$Y$5:$Y$43)*(G$100=YEAR($F$5:$F$43)))&gt;=1,SUMPRODUCT(($A118=$A$61:$A$95)*$I$61:$I$95)*((SUMPRODUCT((G$100&gt;=YEAR($F$5:$F$43))*$G$5:$G$43)/$K$58)*100%)*(SUMPRODUCT(($A118=$Y$5:$Y$43)*(G$100&gt;=YEAR($F$5:$F$43))*$G$5:$G$43)/SUMPRODUCT((G$100&gt;=YEAR($F$5:$F$43))*$G$5:$G$43)),IF(F118&gt;0,F118/(1+lgh_equity!G$24),0))</f>
        <v>1.5969915846975598E-3</v>
      </c>
      <c r="H118" s="1758">
        <f t="array" ref="H118">IF(SUMPRODUCT(($A118=$Y$5:$Y$43)*(H$100=YEAR($F$5:$F$43)))&gt;=1,SUMPRODUCT(($A118=$A$61:$A$95)*$I$61:$I$95)*((SUMPRODUCT((H$100&gt;=YEAR($F$5:$F$43))*$G$5:$G$43)/$K$58)*100%)*(SUMPRODUCT(($A118=$Y$5:$Y$43)*(H$100&gt;=YEAR($F$5:$F$43))*$G$5:$G$43)/SUMPRODUCT((H$100&gt;=YEAR($F$5:$F$43))*$G$5:$G$43)),IF(G118&gt;0,G118/(1+lgh_equity!H$24),0))</f>
        <v>1.5969915846975598E-3</v>
      </c>
      <c r="I118" s="1773">
        <f t="array" ref="I118">IF(SUMPRODUCT(($A118=$Y$5:$Y$43)*(I$100=YEAR($F$5:$F$43)))&gt;=1,SUMPRODUCT(($A118=$A$61:$A$95)*$I$61:$I$95)*((SUMPRODUCT((I$100&gt;=YEAR($F$5:$F$43))*$G$5:$G$43)/$K$58)*100%)*(SUMPRODUCT(($A118=$Y$5:$Y$43)*(I$100&gt;=YEAR($F$5:$F$43))*$G$5:$G$43)/SUMPRODUCT((I$100&gt;=YEAR($F$5:$F$43))*$G$5:$G$43)),IF(H118&gt;0,H118/(1+lgh_equity!I$24),0))</f>
        <v>1.5969915846975598E-3</v>
      </c>
      <c r="J118" s="1773">
        <f t="array" ref="J118">IF(SUMPRODUCT(($A118=$Y$5:$Y$43)*(J$100=YEAR($F$5:$F$43)))&gt;=1,SUMPRODUCT(($A118=$A$61:$A$95)*$I$61:$I$95)*((SUMPRODUCT((J$100&gt;=YEAR($F$5:$F$43))*$G$5:$G$43)/$K$58)*100%)*(SUMPRODUCT(($A118=$Y$5:$Y$43)*(J$100&gt;=YEAR($F$5:$F$43))*$G$5:$G$43)/SUMPRODUCT((J$100&gt;=YEAR($F$5:$F$43))*$G$5:$G$43)),IF(I118&gt;0,I118/(1+lgh_equity!J$24),0))</f>
        <v>1.5969915846975598E-3</v>
      </c>
      <c r="K118" s="1788">
        <f t="array" ref="K118">IF(SUMPRODUCT(($A118=$Y$5:$Y$43)*(K$100=YEAR($F$5:$F$43)))&gt;=1,SUMPRODUCT(($A118=$A$61:$A$95)*$I$61:$I$95)*((SUMPRODUCT((K$100&gt;=YEAR($F$5:$F$43))*$G$5:$G$43)/$K$58)*100%)*(SUMPRODUCT(($A118=$Y$5:$Y$43)*(K$100&gt;=YEAR($F$5:$F$43))*$G$5:$G$43)/SUMPRODUCT((K$100&gt;=YEAR($F$5:$F$43))*$G$5:$G$43)),IF(J118&gt;0,J118/(1+lgh_equity!K$24),0))</f>
        <v>1.5969915846975598E-3</v>
      </c>
      <c r="L118" s="1788">
        <f t="array" ref="L118">IF(SUMPRODUCT(($A118=$Y$5:$Y$43)*(L$100=YEAR($F$5:$F$43)))&gt;=1,SUMPRODUCT(($A118=$A$61:$A$95)*$I$61:$I$95)*((SUMPRODUCT((L$100&gt;=YEAR($F$5:$F$43))*$G$5:$G$43)/$K$58)*100%)*(SUMPRODUCT(($A118=$Y$5:$Y$43)*(L$100&gt;=YEAR($F$5:$F$43))*$G$5:$G$43)/SUMPRODUCT((L$100&gt;=YEAR($F$5:$F$43))*$G$5:$G$43)),IF(K118&gt;0,K118/(1+lgh_equity!L$24),0))</f>
        <v>1.5969915846975598E-3</v>
      </c>
      <c r="M118" s="1788">
        <f t="array" ref="M118">IF(SUMPRODUCT(($A118=$Y$5:$Y$43)*(M$100=YEAR($F$5:$F$43)))&gt;=1,SUMPRODUCT(($A118=$A$61:$A$95)*$I$61:$I$95)*((SUMPRODUCT((M$100&gt;=YEAR($F$5:$F$43))*$G$5:$G$43)/$K$58)*100%)*(SUMPRODUCT(($A118=$Y$5:$Y$43)*(M$100&gt;=YEAR($F$5:$F$43))*$G$5:$G$43)/SUMPRODUCT((M$100&gt;=YEAR($F$5:$F$43))*$G$5:$G$43)),IF(L118&gt;0,L118/(1+lgh_equity!M$24),0))</f>
        <v>1.5969915846975598E-3</v>
      </c>
      <c r="N118" s="1773">
        <f t="array" ref="N118">IF(SUMPRODUCT(($A118=$Y$5:$Y$43)*(N$100=YEAR($F$5:$F$43)))&gt;=1,SUMPRODUCT(($A118=$A$61:$A$95)*$I$61:$I$95)*((SUMPRODUCT((N$100&gt;=YEAR($F$5:$F$43))*$G$5:$G$43)/$K$58)*100%)*(SUMPRODUCT(($A118=$Y$5:$Y$43)*(N$100&gt;=YEAR($F$5:$F$43))*$G$5:$G$43)/SUMPRODUCT((N$100&gt;=YEAR($F$5:$F$43))*$G$5:$G$43)),IF(M118&gt;0,M118/(1+lgh_equity!N$24),0))</f>
        <v>1.5969915846975598E-3</v>
      </c>
      <c r="O118" s="1781"/>
      <c r="P118" s="1781"/>
      <c r="Q118" s="1781"/>
      <c r="R118" s="248"/>
      <c r="S118" s="248"/>
      <c r="T118" s="248"/>
      <c r="U118" s="1743"/>
    </row>
    <row r="119" spans="1:21">
      <c r="A119" t="str">
        <f t="shared" si="19"/>
        <v>PE018 Todd &amp; Stephanie Routh</v>
      </c>
      <c r="B119" s="2017">
        <v>6.4356435643564349E-4</v>
      </c>
      <c r="C119" s="196">
        <f t="array" ref="C119">IF(SUMPRODUCT(($A119=$Y$5:$Y$43)*(C$100=YEAR($F$5:$F$43)))&gt;=1,SUMPRODUCT(($A119=$A$61:$A$95)*$I$61:$I$95)*((SUMPRODUCT((C$100&gt;=YEAR($F$5:$F$43))*$G$5:$G$43)/$K$58)*100%)*(SUMPRODUCT(($A119=$Y$5:$Y$43)*(C$100&gt;=YEAR($F$5:$F$43))*$G$5:$G$43)/SUMPRODUCT((C$100&gt;=YEAR($F$5:$F$43))*$G$5:$G$43)),IF(B119&gt;0,B119/(1+lgh_equity!C$24),0))</f>
        <v>6.4356435643564349E-4</v>
      </c>
      <c r="D119" s="196">
        <f t="array" ref="D119">IF(SUMPRODUCT(($A119=$Y$5:$Y$43)*(D$100=YEAR($F$5:$F$43)))&gt;=1,SUMPRODUCT(($A119=$A$61:$A$95)*$I$61:$I$95)*((SUMPRODUCT((D$100&gt;=YEAR($F$5:$F$43))*$G$5:$G$43)/$K$58)*100%)*(SUMPRODUCT(($A119=$Y$5:$Y$43)*(D$100&gt;=YEAR($F$5:$F$43))*$G$5:$G$43)/SUMPRODUCT((D$100&gt;=YEAR($F$5:$F$43))*$G$5:$G$43)),IF(C119&gt;0,C119/(1+lgh_equity!D$24),0))</f>
        <v>5.2068313627479242E-4</v>
      </c>
      <c r="E119" s="196">
        <f t="array" ref="E119">IF(SUMPRODUCT(($A119=$Y$5:$Y$43)*(E$100=YEAR($F$5:$F$43)))&gt;=1,SUMPRODUCT(($A119=$A$61:$A$95)*$I$61:$I$95)*((SUMPRODUCT((E$100&gt;=YEAR($F$5:$F$43))*$G$5:$G$43)/$K$58)*100%)*(SUMPRODUCT(($A119=$Y$5:$Y$43)*(E$100&gt;=YEAR($F$5:$F$43))*$G$5:$G$43)/SUMPRODUCT((E$100&gt;=YEAR($F$5:$F$43))*$G$5:$G$43)),IF(D119&gt;0,D119/(1+lgh_equity!E$24),0))</f>
        <v>5.1902226502670691E-4</v>
      </c>
      <c r="F119" s="196">
        <f t="array" ref="F119">IF(SUMPRODUCT(($A119=$Y$5:$Y$43)*(F$100=YEAR($F$5:$F$43)))&gt;=1,SUMPRODUCT(($A119=$A$61:$A$95)*$I$61:$I$95)*((SUMPRODUCT((F$100&gt;=YEAR($F$5:$F$43))*$G$5:$G$43)/$K$58)*100%)*(SUMPRODUCT(($A119=$Y$5:$Y$43)*(F$100&gt;=YEAR($F$5:$F$43))*$G$5:$G$43)/SUMPRODUCT((F$100&gt;=YEAR($F$5:$F$43))*$G$5:$G$43)),IF(E119&gt;0,E119/(1+lgh_equity!F$24),0))</f>
        <v>5.1902226502670691E-4</v>
      </c>
      <c r="G119" s="1758">
        <f t="array" ref="G119">IF(SUMPRODUCT(($A119=$Y$5:$Y$43)*(G$100=YEAR($F$5:$F$43)))&gt;=1,SUMPRODUCT(($A119=$A$61:$A$95)*$I$61:$I$95)*((SUMPRODUCT((G$100&gt;=YEAR($F$5:$F$43))*$G$5:$G$43)/$K$58)*100%)*(SUMPRODUCT(($A119=$Y$5:$Y$43)*(G$100&gt;=YEAR($F$5:$F$43))*$G$5:$G$43)/SUMPRODUCT((G$100&gt;=YEAR($F$5:$F$43))*$G$5:$G$43)),IF(F119&gt;0,F119/(1+lgh_equity!G$24),0))</f>
        <v>5.1902226502670691E-4</v>
      </c>
      <c r="H119" s="1758">
        <f t="array" ref="H119">IF(SUMPRODUCT(($A119=$Y$5:$Y$43)*(H$100=YEAR($F$5:$F$43)))&gt;=1,SUMPRODUCT(($A119=$A$61:$A$95)*$I$61:$I$95)*((SUMPRODUCT((H$100&gt;=YEAR($F$5:$F$43))*$G$5:$G$43)/$K$58)*100%)*(SUMPRODUCT(($A119=$Y$5:$Y$43)*(H$100&gt;=YEAR($F$5:$F$43))*$G$5:$G$43)/SUMPRODUCT((H$100&gt;=YEAR($F$5:$F$43))*$G$5:$G$43)),IF(G119&gt;0,G119/(1+lgh_equity!H$24),0))</f>
        <v>5.1902226502670691E-4</v>
      </c>
      <c r="I119" s="1773">
        <f t="array" ref="I119">IF(SUMPRODUCT(($A119=$Y$5:$Y$43)*(I$100=YEAR($F$5:$F$43)))&gt;=1,SUMPRODUCT(($A119=$A$61:$A$95)*$I$61:$I$95)*((SUMPRODUCT((I$100&gt;=YEAR($F$5:$F$43))*$G$5:$G$43)/$K$58)*100%)*(SUMPRODUCT(($A119=$Y$5:$Y$43)*(I$100&gt;=YEAR($F$5:$F$43))*$G$5:$G$43)/SUMPRODUCT((I$100&gt;=YEAR($F$5:$F$43))*$G$5:$G$43)),IF(H119&gt;0,H119/(1+lgh_equity!I$24),0))</f>
        <v>5.1902226502670691E-4</v>
      </c>
      <c r="J119" s="1773">
        <f t="array" ref="J119">IF(SUMPRODUCT(($A119=$Y$5:$Y$43)*(J$100=YEAR($F$5:$F$43)))&gt;=1,SUMPRODUCT(($A119=$A$61:$A$95)*$I$61:$I$95)*((SUMPRODUCT((J$100&gt;=YEAR($F$5:$F$43))*$G$5:$G$43)/$K$58)*100%)*(SUMPRODUCT(($A119=$Y$5:$Y$43)*(J$100&gt;=YEAR($F$5:$F$43))*$G$5:$G$43)/SUMPRODUCT((J$100&gt;=YEAR($F$5:$F$43))*$G$5:$G$43)),IF(I119&gt;0,I119/(1+lgh_equity!J$24),0))</f>
        <v>5.1902226502670691E-4</v>
      </c>
      <c r="K119" s="1788">
        <f t="array" ref="K119">IF(SUMPRODUCT(($A119=$Y$5:$Y$43)*(K$100=YEAR($F$5:$F$43)))&gt;=1,SUMPRODUCT(($A119=$A$61:$A$95)*$I$61:$I$95)*((SUMPRODUCT((K$100&gt;=YEAR($F$5:$F$43))*$G$5:$G$43)/$K$58)*100%)*(SUMPRODUCT(($A119=$Y$5:$Y$43)*(K$100&gt;=YEAR($F$5:$F$43))*$G$5:$G$43)/SUMPRODUCT((K$100&gt;=YEAR($F$5:$F$43))*$G$5:$G$43)),IF(J119&gt;0,J119/(1+lgh_equity!K$24),0))</f>
        <v>5.1902226502670691E-4</v>
      </c>
      <c r="L119" s="1788">
        <f t="array" ref="L119">IF(SUMPRODUCT(($A119=$Y$5:$Y$43)*(L$100=YEAR($F$5:$F$43)))&gt;=1,SUMPRODUCT(($A119=$A$61:$A$95)*$I$61:$I$95)*((SUMPRODUCT((L$100&gt;=YEAR($F$5:$F$43))*$G$5:$G$43)/$K$58)*100%)*(SUMPRODUCT(($A119=$Y$5:$Y$43)*(L$100&gt;=YEAR($F$5:$F$43))*$G$5:$G$43)/SUMPRODUCT((L$100&gt;=YEAR($F$5:$F$43))*$G$5:$G$43)),IF(K119&gt;0,K119/(1+lgh_equity!L$24),0))</f>
        <v>5.1902226502670691E-4</v>
      </c>
      <c r="M119" s="1788">
        <f t="array" ref="M119">IF(SUMPRODUCT(($A119=$Y$5:$Y$43)*(M$100=YEAR($F$5:$F$43)))&gt;=1,SUMPRODUCT(($A119=$A$61:$A$95)*$I$61:$I$95)*((SUMPRODUCT((M$100&gt;=YEAR($F$5:$F$43))*$G$5:$G$43)/$K$58)*100%)*(SUMPRODUCT(($A119=$Y$5:$Y$43)*(M$100&gt;=YEAR($F$5:$F$43))*$G$5:$G$43)/SUMPRODUCT((M$100&gt;=YEAR($F$5:$F$43))*$G$5:$G$43)),IF(L119&gt;0,L119/(1+lgh_equity!M$24),0))</f>
        <v>5.1902226502670691E-4</v>
      </c>
      <c r="N119" s="1773">
        <f t="array" ref="N119">IF(SUMPRODUCT(($A119=$Y$5:$Y$43)*(N$100=YEAR($F$5:$F$43)))&gt;=1,SUMPRODUCT(($A119=$A$61:$A$95)*$I$61:$I$95)*((SUMPRODUCT((N$100&gt;=YEAR($F$5:$F$43))*$G$5:$G$43)/$K$58)*100%)*(SUMPRODUCT(($A119=$Y$5:$Y$43)*(N$100&gt;=YEAR($F$5:$F$43))*$G$5:$G$43)/SUMPRODUCT((N$100&gt;=YEAR($F$5:$F$43))*$G$5:$G$43)),IF(M119&gt;0,M119/(1+lgh_equity!N$24),0))</f>
        <v>5.1902226502670691E-4</v>
      </c>
      <c r="O119" s="1781"/>
      <c r="P119" s="1781"/>
      <c r="Q119" s="1781"/>
      <c r="R119" s="248"/>
      <c r="S119" s="248"/>
      <c r="T119" s="248"/>
      <c r="U119" s="1743"/>
    </row>
    <row r="120" spans="1:21">
      <c r="A120" t="str">
        <f t="shared" si="19"/>
        <v>PE019 Todd &amp; Stephanie Routh</v>
      </c>
      <c r="B120" s="2017">
        <v>1.9801980198019801E-4</v>
      </c>
      <c r="C120" s="196">
        <f t="array" ref="C120">IF(SUMPRODUCT(($A120=$Y$5:$Y$43)*(C$100=YEAR($F$5:$F$43)))&gt;=1,SUMPRODUCT(($A120=$A$61:$A$95)*$I$61:$I$95)*((SUMPRODUCT((C$100&gt;=YEAR($F$5:$F$43))*$G$5:$G$43)/$K$58)*100%)*(SUMPRODUCT(($A120=$Y$5:$Y$43)*(C$100&gt;=YEAR($F$5:$F$43))*$G$5:$G$43)/SUMPRODUCT((C$100&gt;=YEAR($F$5:$F$43))*$G$5:$G$43)),IF(B120&gt;0,B120/(1+lgh_equity!C$24),0))</f>
        <v>1.9801980198019801E-4</v>
      </c>
      <c r="D120" s="196">
        <f t="array" ref="D120">IF(SUMPRODUCT(($A120=$Y$5:$Y$43)*(D$100=YEAR($F$5:$F$43)))&gt;=1,SUMPRODUCT(($A120=$A$61:$A$95)*$I$61:$I$95)*((SUMPRODUCT((D$100&gt;=YEAR($F$5:$F$43))*$G$5:$G$43)/$K$58)*100%)*(SUMPRODUCT(($A120=$Y$5:$Y$43)*(D$100&gt;=YEAR($F$5:$F$43))*$G$5:$G$43)/SUMPRODUCT((D$100&gt;=YEAR($F$5:$F$43))*$G$5:$G$43)),IF(C120&gt;0,C120/(1+lgh_equity!D$24),0))</f>
        <v>1.6021019577685923E-4</v>
      </c>
      <c r="E120" s="196">
        <f t="array" ref="E120">IF(SUMPRODUCT(($A120=$Y$5:$Y$43)*(E$100=YEAR($F$5:$F$43)))&gt;=1,SUMPRODUCT(($A120=$A$61:$A$95)*$I$61:$I$95)*((SUMPRODUCT((E$100&gt;=YEAR($F$5:$F$43))*$G$5:$G$43)/$K$58)*100%)*(SUMPRODUCT(($A120=$Y$5:$Y$43)*(E$100&gt;=YEAR($F$5:$F$43))*$G$5:$G$43)/SUMPRODUCT((E$100&gt;=YEAR($F$5:$F$43))*$G$5:$G$43)),IF(D120&gt;0,D120/(1+lgh_equity!E$24),0))</f>
        <v>1.59699158469756E-4</v>
      </c>
      <c r="F120" s="196">
        <f t="array" ref="F120">IF(SUMPRODUCT(($A120=$Y$5:$Y$43)*(F$100=YEAR($F$5:$F$43)))&gt;=1,SUMPRODUCT(($A120=$A$61:$A$95)*$I$61:$I$95)*((SUMPRODUCT((F$100&gt;=YEAR($F$5:$F$43))*$G$5:$G$43)/$K$58)*100%)*(SUMPRODUCT(($A120=$Y$5:$Y$43)*(F$100&gt;=YEAR($F$5:$F$43))*$G$5:$G$43)/SUMPRODUCT((F$100&gt;=YEAR($F$5:$F$43))*$G$5:$G$43)),IF(E120&gt;0,E120/(1+lgh_equity!F$24),0))</f>
        <v>1.59699158469756E-4</v>
      </c>
      <c r="G120" s="1758">
        <f t="array" ref="G120">IF(SUMPRODUCT(($A120=$Y$5:$Y$43)*(G$100=YEAR($F$5:$F$43)))&gt;=1,SUMPRODUCT(($A120=$A$61:$A$95)*$I$61:$I$95)*((SUMPRODUCT((G$100&gt;=YEAR($F$5:$F$43))*$G$5:$G$43)/$K$58)*100%)*(SUMPRODUCT(($A120=$Y$5:$Y$43)*(G$100&gt;=YEAR($F$5:$F$43))*$G$5:$G$43)/SUMPRODUCT((G$100&gt;=YEAR($F$5:$F$43))*$G$5:$G$43)),IF(F120&gt;0,F120/(1+lgh_equity!G$24),0))</f>
        <v>1.59699158469756E-4</v>
      </c>
      <c r="H120" s="1758">
        <f t="array" ref="H120">IF(SUMPRODUCT(($A120=$Y$5:$Y$43)*(H$100=YEAR($F$5:$F$43)))&gt;=1,SUMPRODUCT(($A120=$A$61:$A$95)*$I$61:$I$95)*((SUMPRODUCT((H$100&gt;=YEAR($F$5:$F$43))*$G$5:$G$43)/$K$58)*100%)*(SUMPRODUCT(($A120=$Y$5:$Y$43)*(H$100&gt;=YEAR($F$5:$F$43))*$G$5:$G$43)/SUMPRODUCT((H$100&gt;=YEAR($F$5:$F$43))*$G$5:$G$43)),IF(G120&gt;0,G120/(1+lgh_equity!H$24),0))</f>
        <v>1.59699158469756E-4</v>
      </c>
      <c r="I120" s="1773">
        <f t="array" ref="I120">IF(SUMPRODUCT(($A120=$Y$5:$Y$43)*(I$100=YEAR($F$5:$F$43)))&gt;=1,SUMPRODUCT(($A120=$A$61:$A$95)*$I$61:$I$95)*((SUMPRODUCT((I$100&gt;=YEAR($F$5:$F$43))*$G$5:$G$43)/$K$58)*100%)*(SUMPRODUCT(($A120=$Y$5:$Y$43)*(I$100&gt;=YEAR($F$5:$F$43))*$G$5:$G$43)/SUMPRODUCT((I$100&gt;=YEAR($F$5:$F$43))*$G$5:$G$43)),IF(H120&gt;0,H120/(1+lgh_equity!I$24),0))</f>
        <v>1.59699158469756E-4</v>
      </c>
      <c r="J120" s="1773">
        <f t="array" ref="J120">IF(SUMPRODUCT(($A120=$Y$5:$Y$43)*(J$100=YEAR($F$5:$F$43)))&gt;=1,SUMPRODUCT(($A120=$A$61:$A$95)*$I$61:$I$95)*((SUMPRODUCT((J$100&gt;=YEAR($F$5:$F$43))*$G$5:$G$43)/$K$58)*100%)*(SUMPRODUCT(($A120=$Y$5:$Y$43)*(J$100&gt;=YEAR($F$5:$F$43))*$G$5:$G$43)/SUMPRODUCT((J$100&gt;=YEAR($F$5:$F$43))*$G$5:$G$43)),IF(I120&gt;0,I120/(1+lgh_equity!J$24),0))</f>
        <v>1.59699158469756E-4</v>
      </c>
      <c r="K120" s="1788">
        <f t="array" ref="K120">IF(SUMPRODUCT(($A120=$Y$5:$Y$43)*(K$100=YEAR($F$5:$F$43)))&gt;=1,SUMPRODUCT(($A120=$A$61:$A$95)*$I$61:$I$95)*((SUMPRODUCT((K$100&gt;=YEAR($F$5:$F$43))*$G$5:$G$43)/$K$58)*100%)*(SUMPRODUCT(($A120=$Y$5:$Y$43)*(K$100&gt;=YEAR($F$5:$F$43))*$G$5:$G$43)/SUMPRODUCT((K$100&gt;=YEAR($F$5:$F$43))*$G$5:$G$43)),IF(J120&gt;0,J120/(1+lgh_equity!K$24),0))</f>
        <v>1.59699158469756E-4</v>
      </c>
      <c r="L120" s="1788">
        <f t="array" ref="L120">IF(SUMPRODUCT(($A120=$Y$5:$Y$43)*(L$100=YEAR($F$5:$F$43)))&gt;=1,SUMPRODUCT(($A120=$A$61:$A$95)*$I$61:$I$95)*((SUMPRODUCT((L$100&gt;=YEAR($F$5:$F$43))*$G$5:$G$43)/$K$58)*100%)*(SUMPRODUCT(($A120=$Y$5:$Y$43)*(L$100&gt;=YEAR($F$5:$F$43))*$G$5:$G$43)/SUMPRODUCT((L$100&gt;=YEAR($F$5:$F$43))*$G$5:$G$43)),IF(K120&gt;0,K120/(1+lgh_equity!L$24),0))</f>
        <v>1.59699158469756E-4</v>
      </c>
      <c r="M120" s="1788">
        <f t="array" ref="M120">IF(SUMPRODUCT(($A120=$Y$5:$Y$43)*(M$100=YEAR($F$5:$F$43)))&gt;=1,SUMPRODUCT(($A120=$A$61:$A$95)*$I$61:$I$95)*((SUMPRODUCT((M$100&gt;=YEAR($F$5:$F$43))*$G$5:$G$43)/$K$58)*100%)*(SUMPRODUCT(($A120=$Y$5:$Y$43)*(M$100&gt;=YEAR($F$5:$F$43))*$G$5:$G$43)/SUMPRODUCT((M$100&gt;=YEAR($F$5:$F$43))*$G$5:$G$43)),IF(L120&gt;0,L120/(1+lgh_equity!M$24),0))</f>
        <v>1.59699158469756E-4</v>
      </c>
      <c r="N120" s="1773">
        <f t="array" ref="N120">IF(SUMPRODUCT(($A120=$Y$5:$Y$43)*(N$100=YEAR($F$5:$F$43)))&gt;=1,SUMPRODUCT(($A120=$A$61:$A$95)*$I$61:$I$95)*((SUMPRODUCT((N$100&gt;=YEAR($F$5:$F$43))*$G$5:$G$43)/$K$58)*100%)*(SUMPRODUCT(($A120=$Y$5:$Y$43)*(N$100&gt;=YEAR($F$5:$F$43))*$G$5:$G$43)/SUMPRODUCT((N$100&gt;=YEAR($F$5:$F$43))*$G$5:$G$43)),IF(M120&gt;0,M120/(1+lgh_equity!N$24),0))</f>
        <v>1.59699158469756E-4</v>
      </c>
      <c r="O120" s="1781"/>
      <c r="P120" s="1781"/>
      <c r="Q120" s="1781"/>
      <c r="R120" s="248"/>
      <c r="S120" s="248"/>
      <c r="T120" s="248"/>
      <c r="U120" s="1743"/>
    </row>
    <row r="121" spans="1:21">
      <c r="A121" t="str">
        <f t="shared" si="19"/>
        <v>PE020 Todd &amp; Stephanie Routh</v>
      </c>
      <c r="B121" s="2017">
        <v>1.138613861386139E-3</v>
      </c>
      <c r="C121" s="196">
        <f t="array" ref="C121">IF(SUMPRODUCT(($A121=$Y$5:$Y$43)*(C$100=YEAR($F$5:$F$43)))&gt;=1,SUMPRODUCT(($A121=$A$61:$A$95)*$I$61:$I$95)*((SUMPRODUCT((C$100&gt;=YEAR($F$5:$F$43))*$G$5:$G$43)/$K$58)*100%)*(SUMPRODUCT(($A121=$Y$5:$Y$43)*(C$100&gt;=YEAR($F$5:$F$43))*$G$5:$G$43)/SUMPRODUCT((C$100&gt;=YEAR($F$5:$F$43))*$G$5:$G$43)),IF(B121&gt;0,B121/(1+lgh_equity!C$24),0))</f>
        <v>1.138613861386139E-3</v>
      </c>
      <c r="D121" s="196">
        <f t="array" ref="D121">IF(SUMPRODUCT(($A121=$Y$5:$Y$43)*(D$100=YEAR($F$5:$F$43)))&gt;=1,SUMPRODUCT(($A121=$A$61:$A$95)*$I$61:$I$95)*((SUMPRODUCT((D$100&gt;=YEAR($F$5:$F$43))*$G$5:$G$43)/$K$58)*100%)*(SUMPRODUCT(($A121=$Y$5:$Y$43)*(D$100&gt;=YEAR($F$5:$F$43))*$G$5:$G$43)/SUMPRODUCT((D$100&gt;=YEAR($F$5:$F$43))*$G$5:$G$43)),IF(C121&gt;0,C121/(1+lgh_equity!D$24),0))</f>
        <v>9.212086257169409E-4</v>
      </c>
      <c r="E121" s="196">
        <f t="array" ref="E121">IF(SUMPRODUCT(($A121=$Y$5:$Y$43)*(E$100=YEAR($F$5:$F$43)))&gt;=1,SUMPRODUCT(($A121=$A$61:$A$95)*$I$61:$I$95)*((SUMPRODUCT((E$100&gt;=YEAR($F$5:$F$43))*$G$5:$G$43)/$K$58)*100%)*(SUMPRODUCT(($A121=$Y$5:$Y$43)*(E$100&gt;=YEAR($F$5:$F$43))*$G$5:$G$43)/SUMPRODUCT((E$100&gt;=YEAR($F$5:$F$43))*$G$5:$G$43)),IF(D121&gt;0,D121/(1+lgh_equity!E$24),0))</f>
        <v>9.1827016120109729E-4</v>
      </c>
      <c r="F121" s="196">
        <f t="array" ref="F121">IF(SUMPRODUCT(($A121=$Y$5:$Y$43)*(F$100=YEAR($F$5:$F$43)))&gt;=1,SUMPRODUCT(($A121=$A$61:$A$95)*$I$61:$I$95)*((SUMPRODUCT((F$100&gt;=YEAR($F$5:$F$43))*$G$5:$G$43)/$K$58)*100%)*(SUMPRODUCT(($A121=$Y$5:$Y$43)*(F$100&gt;=YEAR($F$5:$F$43))*$G$5:$G$43)/SUMPRODUCT((F$100&gt;=YEAR($F$5:$F$43))*$G$5:$G$43)),IF(E121&gt;0,E121/(1+lgh_equity!F$24),0))</f>
        <v>9.1827016120109729E-4</v>
      </c>
      <c r="G121" s="1758">
        <f t="array" ref="G121">IF(SUMPRODUCT(($A121=$Y$5:$Y$43)*(G$100=YEAR($F$5:$F$43)))&gt;=1,SUMPRODUCT(($A121=$A$61:$A$95)*$I$61:$I$95)*((SUMPRODUCT((G$100&gt;=YEAR($F$5:$F$43))*$G$5:$G$43)/$K$58)*100%)*(SUMPRODUCT(($A121=$Y$5:$Y$43)*(G$100&gt;=YEAR($F$5:$F$43))*$G$5:$G$43)/SUMPRODUCT((G$100&gt;=YEAR($F$5:$F$43))*$G$5:$G$43)),IF(F121&gt;0,F121/(1+lgh_equity!G$24),0))</f>
        <v>9.1827016120109729E-4</v>
      </c>
      <c r="H121" s="1758">
        <f t="array" ref="H121">IF(SUMPRODUCT(($A121=$Y$5:$Y$43)*(H$100=YEAR($F$5:$F$43)))&gt;=1,SUMPRODUCT(($A121=$A$61:$A$95)*$I$61:$I$95)*((SUMPRODUCT((H$100&gt;=YEAR($F$5:$F$43))*$G$5:$G$43)/$K$58)*100%)*(SUMPRODUCT(($A121=$Y$5:$Y$43)*(H$100&gt;=YEAR($F$5:$F$43))*$G$5:$G$43)/SUMPRODUCT((H$100&gt;=YEAR($F$5:$F$43))*$G$5:$G$43)),IF(G121&gt;0,G121/(1+lgh_equity!H$24),0))</f>
        <v>9.1827016120109729E-4</v>
      </c>
      <c r="I121" s="1773">
        <f t="array" ref="I121">IF(SUMPRODUCT(($A121=$Y$5:$Y$43)*(I$100=YEAR($F$5:$F$43)))&gt;=1,SUMPRODUCT(($A121=$A$61:$A$95)*$I$61:$I$95)*((SUMPRODUCT((I$100&gt;=YEAR($F$5:$F$43))*$G$5:$G$43)/$K$58)*100%)*(SUMPRODUCT(($A121=$Y$5:$Y$43)*(I$100&gt;=YEAR($F$5:$F$43))*$G$5:$G$43)/SUMPRODUCT((I$100&gt;=YEAR($F$5:$F$43))*$G$5:$G$43)),IF(H121&gt;0,H121/(1+lgh_equity!I$24),0))</f>
        <v>9.1827016120109729E-4</v>
      </c>
      <c r="J121" s="1773">
        <f t="array" ref="J121">IF(SUMPRODUCT(($A121=$Y$5:$Y$43)*(J$100=YEAR($F$5:$F$43)))&gt;=1,SUMPRODUCT(($A121=$A$61:$A$95)*$I$61:$I$95)*((SUMPRODUCT((J$100&gt;=YEAR($F$5:$F$43))*$G$5:$G$43)/$K$58)*100%)*(SUMPRODUCT(($A121=$Y$5:$Y$43)*(J$100&gt;=YEAR($F$5:$F$43))*$G$5:$G$43)/SUMPRODUCT((J$100&gt;=YEAR($F$5:$F$43))*$G$5:$G$43)),IF(I121&gt;0,I121/(1+lgh_equity!J$24),0))</f>
        <v>9.1827016120109729E-4</v>
      </c>
      <c r="K121" s="1788">
        <f t="array" ref="K121">IF(SUMPRODUCT(($A121=$Y$5:$Y$43)*(K$100=YEAR($F$5:$F$43)))&gt;=1,SUMPRODUCT(($A121=$A$61:$A$95)*$I$61:$I$95)*((SUMPRODUCT((K$100&gt;=YEAR($F$5:$F$43))*$G$5:$G$43)/$K$58)*100%)*(SUMPRODUCT(($A121=$Y$5:$Y$43)*(K$100&gt;=YEAR($F$5:$F$43))*$G$5:$G$43)/SUMPRODUCT((K$100&gt;=YEAR($F$5:$F$43))*$G$5:$G$43)),IF(J121&gt;0,J121/(1+lgh_equity!K$24),0))</f>
        <v>9.1827016120109729E-4</v>
      </c>
      <c r="L121" s="1788">
        <f t="array" ref="L121">IF(SUMPRODUCT(($A121=$Y$5:$Y$43)*(L$100=YEAR($F$5:$F$43)))&gt;=1,SUMPRODUCT(($A121=$A$61:$A$95)*$I$61:$I$95)*((SUMPRODUCT((L$100&gt;=YEAR($F$5:$F$43))*$G$5:$G$43)/$K$58)*100%)*(SUMPRODUCT(($A121=$Y$5:$Y$43)*(L$100&gt;=YEAR($F$5:$F$43))*$G$5:$G$43)/SUMPRODUCT((L$100&gt;=YEAR($F$5:$F$43))*$G$5:$G$43)),IF(K121&gt;0,K121/(1+lgh_equity!L$24),0))</f>
        <v>9.1827016120109729E-4</v>
      </c>
      <c r="M121" s="1788">
        <f t="array" ref="M121">IF(SUMPRODUCT(($A121=$Y$5:$Y$43)*(M$100=YEAR($F$5:$F$43)))&gt;=1,SUMPRODUCT(($A121=$A$61:$A$95)*$I$61:$I$95)*((SUMPRODUCT((M$100&gt;=YEAR($F$5:$F$43))*$G$5:$G$43)/$K$58)*100%)*(SUMPRODUCT(($A121=$Y$5:$Y$43)*(M$100&gt;=YEAR($F$5:$F$43))*$G$5:$G$43)/SUMPRODUCT((M$100&gt;=YEAR($F$5:$F$43))*$G$5:$G$43)),IF(L121&gt;0,L121/(1+lgh_equity!M$24),0))</f>
        <v>9.1827016120109729E-4</v>
      </c>
      <c r="N121" s="1773">
        <f t="array" ref="N121">IF(SUMPRODUCT(($A121=$Y$5:$Y$43)*(N$100=YEAR($F$5:$F$43)))&gt;=1,SUMPRODUCT(($A121=$A$61:$A$95)*$I$61:$I$95)*((SUMPRODUCT((N$100&gt;=YEAR($F$5:$F$43))*$G$5:$G$43)/$K$58)*100%)*(SUMPRODUCT(($A121=$Y$5:$Y$43)*(N$100&gt;=YEAR($F$5:$F$43))*$G$5:$G$43)/SUMPRODUCT((N$100&gt;=YEAR($F$5:$F$43))*$G$5:$G$43)),IF(M121&gt;0,M121/(1+lgh_equity!N$24),0))</f>
        <v>9.1827016120109729E-4</v>
      </c>
      <c r="O121" s="1781"/>
      <c r="P121" s="1781"/>
      <c r="Q121" s="1781"/>
      <c r="R121" s="248"/>
      <c r="S121" s="248"/>
      <c r="T121" s="248"/>
      <c r="U121" s="1743"/>
    </row>
    <row r="122" spans="1:21">
      <c r="A122" t="str">
        <f t="shared" si="19"/>
        <v>PE021 Todd &amp; Stephanie Routh</v>
      </c>
      <c r="B122" s="2017">
        <v>1.9801980198019798E-3</v>
      </c>
      <c r="C122" s="196">
        <f t="array" ref="C122">IF(SUMPRODUCT(($A122=$Y$5:$Y$43)*(C$100=YEAR($F$5:$F$43)))&gt;=1,SUMPRODUCT(($A122=$A$61:$A$95)*$I$61:$I$95)*((SUMPRODUCT((C$100&gt;=YEAR($F$5:$F$43))*$G$5:$G$43)/$K$58)*100%)*(SUMPRODUCT(($A122=$Y$5:$Y$43)*(C$100&gt;=YEAR($F$5:$F$43))*$G$5:$G$43)/SUMPRODUCT((C$100&gt;=YEAR($F$5:$F$43))*$G$5:$G$43)),IF(B122&gt;0,B122/(1+lgh_equity!C$24),0))</f>
        <v>1.9801980198019798E-3</v>
      </c>
      <c r="D122" s="196">
        <f t="array" ref="D122">IF(SUMPRODUCT(($A122=$Y$5:$Y$43)*(D$100=YEAR($F$5:$F$43)))&gt;=1,SUMPRODUCT(($A122=$A$61:$A$95)*$I$61:$I$95)*((SUMPRODUCT((D$100&gt;=YEAR($F$5:$F$43))*$G$5:$G$43)/$K$58)*100%)*(SUMPRODUCT(($A122=$Y$5:$Y$43)*(D$100&gt;=YEAR($F$5:$F$43))*$G$5:$G$43)/SUMPRODUCT((D$100&gt;=YEAR($F$5:$F$43))*$G$5:$G$43)),IF(C122&gt;0,C122/(1+lgh_equity!D$24),0))</f>
        <v>1.6021019577685922E-3</v>
      </c>
      <c r="E122" s="196">
        <f t="array" ref="E122">IF(SUMPRODUCT(($A122=$Y$5:$Y$43)*(E$100=YEAR($F$5:$F$43)))&gt;=1,SUMPRODUCT(($A122=$A$61:$A$95)*$I$61:$I$95)*((SUMPRODUCT((E$100&gt;=YEAR($F$5:$F$43))*$G$5:$G$43)/$K$58)*100%)*(SUMPRODUCT(($A122=$Y$5:$Y$43)*(E$100&gt;=YEAR($F$5:$F$43))*$G$5:$G$43)/SUMPRODUCT((E$100&gt;=YEAR($F$5:$F$43))*$G$5:$G$43)),IF(D122&gt;0,D122/(1+lgh_equity!E$24),0))</f>
        <v>1.5969915846975598E-3</v>
      </c>
      <c r="F122" s="196">
        <f t="array" ref="F122">IF(SUMPRODUCT(($A122=$Y$5:$Y$43)*(F$100=YEAR($F$5:$F$43)))&gt;=1,SUMPRODUCT(($A122=$A$61:$A$95)*$I$61:$I$95)*((SUMPRODUCT((F$100&gt;=YEAR($F$5:$F$43))*$G$5:$G$43)/$K$58)*100%)*(SUMPRODUCT(($A122=$Y$5:$Y$43)*(F$100&gt;=YEAR($F$5:$F$43))*$G$5:$G$43)/SUMPRODUCT((F$100&gt;=YEAR($F$5:$F$43))*$G$5:$G$43)),IF(E122&gt;0,E122/(1+lgh_equity!F$24),0))</f>
        <v>1.5969915846975598E-3</v>
      </c>
      <c r="G122" s="1758">
        <f t="array" ref="G122">IF(SUMPRODUCT(($A122=$Y$5:$Y$43)*(G$100=YEAR($F$5:$F$43)))&gt;=1,SUMPRODUCT(($A122=$A$61:$A$95)*$I$61:$I$95)*((SUMPRODUCT((G$100&gt;=YEAR($F$5:$F$43))*$G$5:$G$43)/$K$58)*100%)*(SUMPRODUCT(($A122=$Y$5:$Y$43)*(G$100&gt;=YEAR($F$5:$F$43))*$G$5:$G$43)/SUMPRODUCT((G$100&gt;=YEAR($F$5:$F$43))*$G$5:$G$43)),IF(F122&gt;0,F122/(1+lgh_equity!G$24),0))</f>
        <v>1.5969915846975598E-3</v>
      </c>
      <c r="H122" s="1758">
        <f t="array" ref="H122">IF(SUMPRODUCT(($A122=$Y$5:$Y$43)*(H$100=YEAR($F$5:$F$43)))&gt;=1,SUMPRODUCT(($A122=$A$61:$A$95)*$I$61:$I$95)*((SUMPRODUCT((H$100&gt;=YEAR($F$5:$F$43))*$G$5:$G$43)/$K$58)*100%)*(SUMPRODUCT(($A122=$Y$5:$Y$43)*(H$100&gt;=YEAR($F$5:$F$43))*$G$5:$G$43)/SUMPRODUCT((H$100&gt;=YEAR($F$5:$F$43))*$G$5:$G$43)),IF(G122&gt;0,G122/(1+lgh_equity!H$24),0))</f>
        <v>1.5969915846975598E-3</v>
      </c>
      <c r="I122" s="1773">
        <f t="array" ref="I122">IF(SUMPRODUCT(($A122=$Y$5:$Y$43)*(I$100=YEAR($F$5:$F$43)))&gt;=1,SUMPRODUCT(($A122=$A$61:$A$95)*$I$61:$I$95)*((SUMPRODUCT((I$100&gt;=YEAR($F$5:$F$43))*$G$5:$G$43)/$K$58)*100%)*(SUMPRODUCT(($A122=$Y$5:$Y$43)*(I$100&gt;=YEAR($F$5:$F$43))*$G$5:$G$43)/SUMPRODUCT((I$100&gt;=YEAR($F$5:$F$43))*$G$5:$G$43)),IF(H122&gt;0,H122/(1+lgh_equity!I$24),0))</f>
        <v>1.5969915846975598E-3</v>
      </c>
      <c r="J122" s="1773">
        <f t="array" ref="J122">IF(SUMPRODUCT(($A122=$Y$5:$Y$43)*(J$100=YEAR($F$5:$F$43)))&gt;=1,SUMPRODUCT(($A122=$A$61:$A$95)*$I$61:$I$95)*((SUMPRODUCT((J$100&gt;=YEAR($F$5:$F$43))*$G$5:$G$43)/$K$58)*100%)*(SUMPRODUCT(($A122=$Y$5:$Y$43)*(J$100&gt;=YEAR($F$5:$F$43))*$G$5:$G$43)/SUMPRODUCT((J$100&gt;=YEAR($F$5:$F$43))*$G$5:$G$43)),IF(I122&gt;0,I122/(1+lgh_equity!J$24),0))</f>
        <v>1.5969915846975598E-3</v>
      </c>
      <c r="K122" s="1788">
        <f t="array" ref="K122">IF(SUMPRODUCT(($A122=$Y$5:$Y$43)*(K$100=YEAR($F$5:$F$43)))&gt;=1,SUMPRODUCT(($A122=$A$61:$A$95)*$I$61:$I$95)*((SUMPRODUCT((K$100&gt;=YEAR($F$5:$F$43))*$G$5:$G$43)/$K$58)*100%)*(SUMPRODUCT(($A122=$Y$5:$Y$43)*(K$100&gt;=YEAR($F$5:$F$43))*$G$5:$G$43)/SUMPRODUCT((K$100&gt;=YEAR($F$5:$F$43))*$G$5:$G$43)),IF(J122&gt;0,J122/(1+lgh_equity!K$24),0))</f>
        <v>1.5969915846975598E-3</v>
      </c>
      <c r="L122" s="1788">
        <f t="array" ref="L122">IF(SUMPRODUCT(($A122=$Y$5:$Y$43)*(L$100=YEAR($F$5:$F$43)))&gt;=1,SUMPRODUCT(($A122=$A$61:$A$95)*$I$61:$I$95)*((SUMPRODUCT((L$100&gt;=YEAR($F$5:$F$43))*$G$5:$G$43)/$K$58)*100%)*(SUMPRODUCT(($A122=$Y$5:$Y$43)*(L$100&gt;=YEAR($F$5:$F$43))*$G$5:$G$43)/SUMPRODUCT((L$100&gt;=YEAR($F$5:$F$43))*$G$5:$G$43)),IF(K122&gt;0,K122/(1+lgh_equity!L$24),0))</f>
        <v>1.5969915846975598E-3</v>
      </c>
      <c r="M122" s="1788">
        <f t="array" ref="M122">IF(SUMPRODUCT(($A122=$Y$5:$Y$43)*(M$100=YEAR($F$5:$F$43)))&gt;=1,SUMPRODUCT(($A122=$A$61:$A$95)*$I$61:$I$95)*((SUMPRODUCT((M$100&gt;=YEAR($F$5:$F$43))*$G$5:$G$43)/$K$58)*100%)*(SUMPRODUCT(($A122=$Y$5:$Y$43)*(M$100&gt;=YEAR($F$5:$F$43))*$G$5:$G$43)/SUMPRODUCT((M$100&gt;=YEAR($F$5:$F$43))*$G$5:$G$43)),IF(L122&gt;0,L122/(1+lgh_equity!M$24),0))</f>
        <v>1.5969915846975598E-3</v>
      </c>
      <c r="N122" s="1773">
        <f t="array" ref="N122">IF(SUMPRODUCT(($A122=$Y$5:$Y$43)*(N$100=YEAR($F$5:$F$43)))&gt;=1,SUMPRODUCT(($A122=$A$61:$A$95)*$I$61:$I$95)*((SUMPRODUCT((N$100&gt;=YEAR($F$5:$F$43))*$G$5:$G$43)/$K$58)*100%)*(SUMPRODUCT(($A122=$Y$5:$Y$43)*(N$100&gt;=YEAR($F$5:$F$43))*$G$5:$G$43)/SUMPRODUCT((N$100&gt;=YEAR($F$5:$F$43))*$G$5:$G$43)),IF(M122&gt;0,M122/(1+lgh_equity!N$24),0))</f>
        <v>1.5969915846975598E-3</v>
      </c>
      <c r="O122" s="1781"/>
      <c r="P122" s="1781"/>
      <c r="Q122" s="1781"/>
      <c r="R122" s="248"/>
      <c r="S122" s="248"/>
      <c r="T122" s="248"/>
      <c r="U122" s="1743"/>
    </row>
    <row r="123" spans="1:21">
      <c r="A123" t="str">
        <f t="shared" si="19"/>
        <v>PE022 Huston Street</v>
      </c>
      <c r="B123" s="2017">
        <v>1.9801980198019798E-3</v>
      </c>
      <c r="C123" s="196">
        <f t="array" ref="C123">IF(SUMPRODUCT(($A123=$Y$5:$Y$43)*(C$100=YEAR($F$5:$F$43)))&gt;=1,SUMPRODUCT(($A123=$A$61:$A$95)*$I$61:$I$95)*((SUMPRODUCT((C$100&gt;=YEAR($F$5:$F$43))*$G$5:$G$43)/$K$58)*100%)*(SUMPRODUCT(($A123=$Y$5:$Y$43)*(C$100&gt;=YEAR($F$5:$F$43))*$G$5:$G$43)/SUMPRODUCT((C$100&gt;=YEAR($F$5:$F$43))*$G$5:$G$43)),IF(B123&gt;0,B123/(1+lgh_equity!C$24),0))</f>
        <v>1.9801980198019798E-3</v>
      </c>
      <c r="D123" s="196">
        <f t="array" ref="D123">IF(SUMPRODUCT(($A123=$Y$5:$Y$43)*(D$100=YEAR($F$5:$F$43)))&gt;=1,SUMPRODUCT(($A123=$A$61:$A$95)*$I$61:$I$95)*((SUMPRODUCT((D$100&gt;=YEAR($F$5:$F$43))*$G$5:$G$43)/$K$58)*100%)*(SUMPRODUCT(($A123=$Y$5:$Y$43)*(D$100&gt;=YEAR($F$5:$F$43))*$G$5:$G$43)/SUMPRODUCT((D$100&gt;=YEAR($F$5:$F$43))*$G$5:$G$43)),IF(C123&gt;0,C123/(1+lgh_equity!D$24),0))</f>
        <v>1.6021019577685922E-3</v>
      </c>
      <c r="E123" s="196">
        <f t="array" ref="E123">IF(SUMPRODUCT(($A123=$Y$5:$Y$43)*(E$100=YEAR($F$5:$F$43)))&gt;=1,SUMPRODUCT(($A123=$A$61:$A$95)*$I$61:$I$95)*((SUMPRODUCT((E$100&gt;=YEAR($F$5:$F$43))*$G$5:$G$43)/$K$58)*100%)*(SUMPRODUCT(($A123=$Y$5:$Y$43)*(E$100&gt;=YEAR($F$5:$F$43))*$G$5:$G$43)/SUMPRODUCT((E$100&gt;=YEAR($F$5:$F$43))*$G$5:$G$43)),IF(D123&gt;0,D123/(1+lgh_equity!E$24),0))</f>
        <v>1.5969915846975598E-3</v>
      </c>
      <c r="F123" s="196">
        <f t="array" ref="F123">IF(SUMPRODUCT(($A123=$Y$5:$Y$43)*(F$100=YEAR($F$5:$F$43)))&gt;=1,SUMPRODUCT(($A123=$A$61:$A$95)*$I$61:$I$95)*((SUMPRODUCT((F$100&gt;=YEAR($F$5:$F$43))*$G$5:$G$43)/$K$58)*100%)*(SUMPRODUCT(($A123=$Y$5:$Y$43)*(F$100&gt;=YEAR($F$5:$F$43))*$G$5:$G$43)/SUMPRODUCT((F$100&gt;=YEAR($F$5:$F$43))*$G$5:$G$43)),IF(E123&gt;0,E123/(1+lgh_equity!F$24),0))</f>
        <v>1.5969915846975598E-3</v>
      </c>
      <c r="G123" s="1758">
        <f t="array" ref="G123">IF(SUMPRODUCT(($A123=$Y$5:$Y$43)*(G$100=YEAR($F$5:$F$43)))&gt;=1,SUMPRODUCT(($A123=$A$61:$A$95)*$I$61:$I$95)*((SUMPRODUCT((G$100&gt;=YEAR($F$5:$F$43))*$G$5:$G$43)/$K$58)*100%)*(SUMPRODUCT(($A123=$Y$5:$Y$43)*(G$100&gt;=YEAR($F$5:$F$43))*$G$5:$G$43)/SUMPRODUCT((G$100&gt;=YEAR($F$5:$F$43))*$G$5:$G$43)),IF(F123&gt;0,F123/(1+lgh_equity!G$24),0))</f>
        <v>1.5969915846975598E-3</v>
      </c>
      <c r="H123" s="1758">
        <f t="array" ref="H123">IF(SUMPRODUCT(($A123=$Y$5:$Y$43)*(H$100=YEAR($F$5:$F$43)))&gt;=1,SUMPRODUCT(($A123=$A$61:$A$95)*$I$61:$I$95)*((SUMPRODUCT((H$100&gt;=YEAR($F$5:$F$43))*$G$5:$G$43)/$K$58)*100%)*(SUMPRODUCT(($A123=$Y$5:$Y$43)*(H$100&gt;=YEAR($F$5:$F$43))*$G$5:$G$43)/SUMPRODUCT((H$100&gt;=YEAR($F$5:$F$43))*$G$5:$G$43)),IF(G123&gt;0,G123/(1+lgh_equity!H$24),0))</f>
        <v>1.5969915846975598E-3</v>
      </c>
      <c r="I123" s="1773">
        <f t="array" ref="I123">IF(SUMPRODUCT(($A123=$Y$5:$Y$43)*(I$100=YEAR($F$5:$F$43)))&gt;=1,SUMPRODUCT(($A123=$A$61:$A$95)*$I$61:$I$95)*((SUMPRODUCT((I$100&gt;=YEAR($F$5:$F$43))*$G$5:$G$43)/$K$58)*100%)*(SUMPRODUCT(($A123=$Y$5:$Y$43)*(I$100&gt;=YEAR($F$5:$F$43))*$G$5:$G$43)/SUMPRODUCT((I$100&gt;=YEAR($F$5:$F$43))*$G$5:$G$43)),IF(H123&gt;0,H123/(1+lgh_equity!I$24),0))</f>
        <v>1.5969915846975598E-3</v>
      </c>
      <c r="J123" s="1773">
        <f t="array" ref="J123">IF(SUMPRODUCT(($A123=$Y$5:$Y$43)*(J$100=YEAR($F$5:$F$43)))&gt;=1,SUMPRODUCT(($A123=$A$61:$A$95)*$I$61:$I$95)*((SUMPRODUCT((J$100&gt;=YEAR($F$5:$F$43))*$G$5:$G$43)/$K$58)*100%)*(SUMPRODUCT(($A123=$Y$5:$Y$43)*(J$100&gt;=YEAR($F$5:$F$43))*$G$5:$G$43)/SUMPRODUCT((J$100&gt;=YEAR($F$5:$F$43))*$G$5:$G$43)),IF(I123&gt;0,I123/(1+lgh_equity!J$24),0))</f>
        <v>1.5969915846975598E-3</v>
      </c>
      <c r="K123" s="1788">
        <f t="array" ref="K123">IF(SUMPRODUCT(($A123=$Y$5:$Y$43)*(K$100=YEAR($F$5:$F$43)))&gt;=1,SUMPRODUCT(($A123=$A$61:$A$95)*$I$61:$I$95)*((SUMPRODUCT((K$100&gt;=YEAR($F$5:$F$43))*$G$5:$G$43)/$K$58)*100%)*(SUMPRODUCT(($A123=$Y$5:$Y$43)*(K$100&gt;=YEAR($F$5:$F$43))*$G$5:$G$43)/SUMPRODUCT((K$100&gt;=YEAR($F$5:$F$43))*$G$5:$G$43)),IF(J123&gt;0,J123/(1+lgh_equity!K$24),0))</f>
        <v>1.5969915846975598E-3</v>
      </c>
      <c r="L123" s="1788">
        <f t="array" ref="L123">IF(SUMPRODUCT(($A123=$Y$5:$Y$43)*(L$100=YEAR($F$5:$F$43)))&gt;=1,SUMPRODUCT(($A123=$A$61:$A$95)*$I$61:$I$95)*((SUMPRODUCT((L$100&gt;=YEAR($F$5:$F$43))*$G$5:$G$43)/$K$58)*100%)*(SUMPRODUCT(($A123=$Y$5:$Y$43)*(L$100&gt;=YEAR($F$5:$F$43))*$G$5:$G$43)/SUMPRODUCT((L$100&gt;=YEAR($F$5:$F$43))*$G$5:$G$43)),IF(K123&gt;0,K123/(1+lgh_equity!L$24),0))</f>
        <v>1.5969915846975598E-3</v>
      </c>
      <c r="M123" s="1788">
        <f t="array" ref="M123">IF(SUMPRODUCT(($A123=$Y$5:$Y$43)*(M$100=YEAR($F$5:$F$43)))&gt;=1,SUMPRODUCT(($A123=$A$61:$A$95)*$I$61:$I$95)*((SUMPRODUCT((M$100&gt;=YEAR($F$5:$F$43))*$G$5:$G$43)/$K$58)*100%)*(SUMPRODUCT(($A123=$Y$5:$Y$43)*(M$100&gt;=YEAR($F$5:$F$43))*$G$5:$G$43)/SUMPRODUCT((M$100&gt;=YEAR($F$5:$F$43))*$G$5:$G$43)),IF(L123&gt;0,L123/(1+lgh_equity!M$24),0))</f>
        <v>1.5969915846975598E-3</v>
      </c>
      <c r="N123" s="1773">
        <f t="array" ref="N123">IF(SUMPRODUCT(($A123=$Y$5:$Y$43)*(N$100=YEAR($F$5:$F$43)))&gt;=1,SUMPRODUCT(($A123=$A$61:$A$95)*$I$61:$I$95)*((SUMPRODUCT((N$100&gt;=YEAR($F$5:$F$43))*$G$5:$G$43)/$K$58)*100%)*(SUMPRODUCT(($A123=$Y$5:$Y$43)*(N$100&gt;=YEAR($F$5:$F$43))*$G$5:$G$43)/SUMPRODUCT((N$100&gt;=YEAR($F$5:$F$43))*$G$5:$G$43)),IF(M123&gt;0,M123/(1+lgh_equity!N$24),0))</f>
        <v>1.5969915846975598E-3</v>
      </c>
      <c r="O123" s="1781"/>
      <c r="P123" s="1781"/>
      <c r="Q123" s="1781"/>
      <c r="R123" s="248"/>
      <c r="S123" s="248"/>
      <c r="T123" s="248"/>
      <c r="U123" s="1743"/>
    </row>
    <row r="124" spans="1:21">
      <c r="A124" t="str">
        <f t="shared" si="19"/>
        <v>PE023 Bruner Interests LLC</v>
      </c>
      <c r="B124" s="2017">
        <v>5.2999999999999998E-4</v>
      </c>
      <c r="C124" s="196">
        <f t="array" ref="C124">IF(SUMPRODUCT(($A124=$Y$5:$Y$43)*(C$100=YEAR($F$5:$F$43)))&gt;=1,SUMPRODUCT(($A124=$A$61:$A$95)*$I$61:$I$95)*((SUMPRODUCT((C$100&gt;=YEAR($F$5:$F$43))*$G$5:$G$43)/$K$58)*100%)*(SUMPRODUCT(($A124=$Y$5:$Y$43)*(C$100&gt;=YEAR($F$5:$F$43))*$G$5:$G$43)/SUMPRODUCT((C$100&gt;=YEAR($F$5:$F$43))*$G$5:$G$43)),IF(B124&gt;0,B124/(1+lgh_equity!C$24),0))</f>
        <v>5.2999999999999998E-4</v>
      </c>
      <c r="D124" s="196">
        <f t="array" ref="D124">IF(SUMPRODUCT(($A124=$Y$5:$Y$43)*(D$100=YEAR($F$5:$F$43)))&gt;=1,SUMPRODUCT(($A124=$A$61:$A$95)*$I$61:$I$95)*((SUMPRODUCT((D$100&gt;=YEAR($F$5:$F$43))*$G$5:$G$43)/$K$58)*100%)*(SUMPRODUCT(($A124=$Y$5:$Y$43)*(D$100&gt;=YEAR($F$5:$F$43))*$G$5:$G$43)/SUMPRODUCT((D$100&gt;=YEAR($F$5:$F$43))*$G$5:$G$43)),IF(C124&gt;0,C124/(1+lgh_equity!D$24),0))</f>
        <v>4.2880258899676373E-4</v>
      </c>
      <c r="E124" s="196">
        <f t="array" ref="E124">IF(SUMPRODUCT(($A124=$Y$5:$Y$43)*(E$100=YEAR($F$5:$F$43)))&gt;=1,SUMPRODUCT(($A124=$A$61:$A$95)*$I$61:$I$95)*((SUMPRODUCT((E$100&gt;=YEAR($F$5:$F$43))*$G$5:$G$43)/$K$58)*100%)*(SUMPRODUCT(($A124=$Y$5:$Y$43)*(E$100&gt;=YEAR($F$5:$F$43))*$G$5:$G$43)/SUMPRODUCT((E$100&gt;=YEAR($F$5:$F$43))*$G$5:$G$43)),IF(D124&gt;0,D124/(1+lgh_equity!E$24),0))</f>
        <v>4.2743479764430193E-4</v>
      </c>
      <c r="F124" s="196">
        <f t="array" ref="F124">IF(SUMPRODUCT(($A124=$Y$5:$Y$43)*(F$100=YEAR($F$5:$F$43)))&gt;=1,SUMPRODUCT(($A124=$A$61:$A$95)*$I$61:$I$95)*((SUMPRODUCT((F$100&gt;=YEAR($F$5:$F$43))*$G$5:$G$43)/$K$58)*100%)*(SUMPRODUCT(($A124=$Y$5:$Y$43)*(F$100&gt;=YEAR($F$5:$F$43))*$G$5:$G$43)/SUMPRODUCT((F$100&gt;=YEAR($F$5:$F$43))*$G$5:$G$43)),IF(E124&gt;0,E124/(1+lgh_equity!F$24),0))</f>
        <v>4.2743479764430193E-4</v>
      </c>
      <c r="G124" s="1758">
        <f t="array" ref="G124">IF(SUMPRODUCT(($A124=$Y$5:$Y$43)*(G$100=YEAR($F$5:$F$43)))&gt;=1,SUMPRODUCT(($A124=$A$61:$A$95)*$I$61:$I$95)*((SUMPRODUCT((G$100&gt;=YEAR($F$5:$F$43))*$G$5:$G$43)/$K$58)*100%)*(SUMPRODUCT(($A124=$Y$5:$Y$43)*(G$100&gt;=YEAR($F$5:$F$43))*$G$5:$G$43)/SUMPRODUCT((G$100&gt;=YEAR($F$5:$F$43))*$G$5:$G$43)),IF(F124&gt;0,F124/(1+lgh_equity!G$24),0))</f>
        <v>4.2743479764430193E-4</v>
      </c>
      <c r="H124" s="1758">
        <f t="array" ref="H124">IF(SUMPRODUCT(($A124=$Y$5:$Y$43)*(H$100=YEAR($F$5:$F$43)))&gt;=1,SUMPRODUCT(($A124=$A$61:$A$95)*$I$61:$I$95)*((SUMPRODUCT((H$100&gt;=YEAR($F$5:$F$43))*$G$5:$G$43)/$K$58)*100%)*(SUMPRODUCT(($A124=$Y$5:$Y$43)*(H$100&gt;=YEAR($F$5:$F$43))*$G$5:$G$43)/SUMPRODUCT((H$100&gt;=YEAR($F$5:$F$43))*$G$5:$G$43)),IF(G124&gt;0,G124/(1+lgh_equity!H$24),0))</f>
        <v>4.2743479764430193E-4</v>
      </c>
      <c r="I124" s="1773">
        <f t="array" ref="I124">IF(SUMPRODUCT(($A124=$Y$5:$Y$43)*(I$100=YEAR($F$5:$F$43)))&gt;=1,SUMPRODUCT(($A124=$A$61:$A$95)*$I$61:$I$95)*((SUMPRODUCT((I$100&gt;=YEAR($F$5:$F$43))*$G$5:$G$43)/$K$58)*100%)*(SUMPRODUCT(($A124=$Y$5:$Y$43)*(I$100&gt;=YEAR($F$5:$F$43))*$G$5:$G$43)/SUMPRODUCT((I$100&gt;=YEAR($F$5:$F$43))*$G$5:$G$43)),IF(H124&gt;0,H124/(1+lgh_equity!I$24),0))</f>
        <v>4.2743479764430193E-4</v>
      </c>
      <c r="J124" s="1773">
        <f t="array" ref="J124">IF(SUMPRODUCT(($A124=$Y$5:$Y$43)*(J$100=YEAR($F$5:$F$43)))&gt;=1,SUMPRODUCT(($A124=$A$61:$A$95)*$I$61:$I$95)*((SUMPRODUCT((J$100&gt;=YEAR($F$5:$F$43))*$G$5:$G$43)/$K$58)*100%)*(SUMPRODUCT(($A124=$Y$5:$Y$43)*(J$100&gt;=YEAR($F$5:$F$43))*$G$5:$G$43)/SUMPRODUCT((J$100&gt;=YEAR($F$5:$F$43))*$G$5:$G$43)),IF(I124&gt;0,I124/(1+lgh_equity!J$24),0))</f>
        <v>4.2743479764430193E-4</v>
      </c>
      <c r="K124" s="1788">
        <f t="array" ref="K124">IF(SUMPRODUCT(($A124=$Y$5:$Y$43)*(K$100=YEAR($F$5:$F$43)))&gt;=1,SUMPRODUCT(($A124=$A$61:$A$95)*$I$61:$I$95)*((SUMPRODUCT((K$100&gt;=YEAR($F$5:$F$43))*$G$5:$G$43)/$K$58)*100%)*(SUMPRODUCT(($A124=$Y$5:$Y$43)*(K$100&gt;=YEAR($F$5:$F$43))*$G$5:$G$43)/SUMPRODUCT((K$100&gt;=YEAR($F$5:$F$43))*$G$5:$G$43)),IF(J124&gt;0,J124/(1+lgh_equity!K$24),0))</f>
        <v>4.2743479764430193E-4</v>
      </c>
      <c r="L124" s="1788">
        <f t="array" ref="L124">IF(SUMPRODUCT(($A124=$Y$5:$Y$43)*(L$100=YEAR($F$5:$F$43)))&gt;=1,SUMPRODUCT(($A124=$A$61:$A$95)*$I$61:$I$95)*((SUMPRODUCT((L$100&gt;=YEAR($F$5:$F$43))*$G$5:$G$43)/$K$58)*100%)*(SUMPRODUCT(($A124=$Y$5:$Y$43)*(L$100&gt;=YEAR($F$5:$F$43))*$G$5:$G$43)/SUMPRODUCT((L$100&gt;=YEAR($F$5:$F$43))*$G$5:$G$43)),IF(K124&gt;0,K124/(1+lgh_equity!L$24),0))</f>
        <v>4.2743479764430193E-4</v>
      </c>
      <c r="M124" s="1788">
        <f t="array" ref="M124">IF(SUMPRODUCT(($A124=$Y$5:$Y$43)*(M$100=YEAR($F$5:$F$43)))&gt;=1,SUMPRODUCT(($A124=$A$61:$A$95)*$I$61:$I$95)*((SUMPRODUCT((M$100&gt;=YEAR($F$5:$F$43))*$G$5:$G$43)/$K$58)*100%)*(SUMPRODUCT(($A124=$Y$5:$Y$43)*(M$100&gt;=YEAR($F$5:$F$43))*$G$5:$G$43)/SUMPRODUCT((M$100&gt;=YEAR($F$5:$F$43))*$G$5:$G$43)),IF(L124&gt;0,L124/(1+lgh_equity!M$24),0))</f>
        <v>4.2743479764430193E-4</v>
      </c>
      <c r="N124" s="1773">
        <f t="array" ref="N124">IF(SUMPRODUCT(($A124=$Y$5:$Y$43)*(N$100=YEAR($F$5:$F$43)))&gt;=1,SUMPRODUCT(($A124=$A$61:$A$95)*$I$61:$I$95)*((SUMPRODUCT((N$100&gt;=YEAR($F$5:$F$43))*$G$5:$G$43)/$K$58)*100%)*(SUMPRODUCT(($A124=$Y$5:$Y$43)*(N$100&gt;=YEAR($F$5:$F$43))*$G$5:$G$43)/SUMPRODUCT((N$100&gt;=YEAR($F$5:$F$43))*$G$5:$G$43)),IF(M124&gt;0,M124/(1+lgh_equity!N$24),0))</f>
        <v>4.2743479764430193E-4</v>
      </c>
      <c r="O124" s="1781"/>
      <c r="P124" s="1781"/>
      <c r="Q124" s="1781"/>
      <c r="R124" s="248"/>
      <c r="S124" s="248"/>
      <c r="T124" s="248"/>
      <c r="U124" s="1743"/>
    </row>
    <row r="125" spans="1:21">
      <c r="A125" t="str">
        <f t="shared" si="19"/>
        <v>PE024 Bruner Interests LLC</v>
      </c>
      <c r="B125" s="2017">
        <v>1.325E-4</v>
      </c>
      <c r="C125" s="196">
        <f t="array" ref="C125">IF(SUMPRODUCT(($A125=$Y$5:$Y$43)*(C$100=YEAR($F$5:$F$43)))&gt;=1,SUMPRODUCT(($A125=$A$61:$A$95)*$I$61:$I$95)*((SUMPRODUCT((C$100&gt;=YEAR($F$5:$F$43))*$G$5:$G$43)/$K$58)*100%)*(SUMPRODUCT(($A125=$Y$5:$Y$43)*(C$100&gt;=YEAR($F$5:$F$43))*$G$5:$G$43)/SUMPRODUCT((C$100&gt;=YEAR($F$5:$F$43))*$G$5:$G$43)),IF(B125&gt;0,B125/(1+lgh_equity!C$24),0))</f>
        <v>1.325E-4</v>
      </c>
      <c r="D125" s="196">
        <f t="array" ref="D125">IF(SUMPRODUCT(($A125=$Y$5:$Y$43)*(D$100=YEAR($F$5:$F$43)))&gt;=1,SUMPRODUCT(($A125=$A$61:$A$95)*$I$61:$I$95)*((SUMPRODUCT((D$100&gt;=YEAR($F$5:$F$43))*$G$5:$G$43)/$K$58)*100%)*(SUMPRODUCT(($A125=$Y$5:$Y$43)*(D$100&gt;=YEAR($F$5:$F$43))*$G$5:$G$43)/SUMPRODUCT((D$100&gt;=YEAR($F$5:$F$43))*$G$5:$G$43)),IF(C125&gt;0,C125/(1+lgh_equity!D$24),0))</f>
        <v>1.0720064724919093E-4</v>
      </c>
      <c r="E125" s="196">
        <f t="array" ref="E125">IF(SUMPRODUCT(($A125=$Y$5:$Y$43)*(E$100=YEAR($F$5:$F$43)))&gt;=1,SUMPRODUCT(($A125=$A$61:$A$95)*$I$61:$I$95)*((SUMPRODUCT((E$100&gt;=YEAR($F$5:$F$43))*$G$5:$G$43)/$K$58)*100%)*(SUMPRODUCT(($A125=$Y$5:$Y$43)*(E$100&gt;=YEAR($F$5:$F$43))*$G$5:$G$43)/SUMPRODUCT((E$100&gt;=YEAR($F$5:$F$43))*$G$5:$G$43)),IF(D125&gt;0,D125/(1+lgh_equity!E$24),0))</f>
        <v>1.0685869941107548E-4</v>
      </c>
      <c r="F125" s="196">
        <f t="array" ref="F125">IF(SUMPRODUCT(($A125=$Y$5:$Y$43)*(F$100=YEAR($F$5:$F$43)))&gt;=1,SUMPRODUCT(($A125=$A$61:$A$95)*$I$61:$I$95)*((SUMPRODUCT((F$100&gt;=YEAR($F$5:$F$43))*$G$5:$G$43)/$K$58)*100%)*(SUMPRODUCT(($A125=$Y$5:$Y$43)*(F$100&gt;=YEAR($F$5:$F$43))*$G$5:$G$43)/SUMPRODUCT((F$100&gt;=YEAR($F$5:$F$43))*$G$5:$G$43)),IF(E125&gt;0,E125/(1+lgh_equity!F$24),0))</f>
        <v>1.0685869941107548E-4</v>
      </c>
      <c r="G125" s="1758">
        <f t="array" ref="G125">IF(SUMPRODUCT(($A125=$Y$5:$Y$43)*(G$100=YEAR($F$5:$F$43)))&gt;=1,SUMPRODUCT(($A125=$A$61:$A$95)*$I$61:$I$95)*((SUMPRODUCT((G$100&gt;=YEAR($F$5:$F$43))*$G$5:$G$43)/$K$58)*100%)*(SUMPRODUCT(($A125=$Y$5:$Y$43)*(G$100&gt;=YEAR($F$5:$F$43))*$G$5:$G$43)/SUMPRODUCT((G$100&gt;=YEAR($F$5:$F$43))*$G$5:$G$43)),IF(F125&gt;0,F125/(1+lgh_equity!G$24),0))</f>
        <v>1.0685869941107548E-4</v>
      </c>
      <c r="H125" s="1758">
        <f t="array" ref="H125">IF(SUMPRODUCT(($A125=$Y$5:$Y$43)*(H$100=YEAR($F$5:$F$43)))&gt;=1,SUMPRODUCT(($A125=$A$61:$A$95)*$I$61:$I$95)*((SUMPRODUCT((H$100&gt;=YEAR($F$5:$F$43))*$G$5:$G$43)/$K$58)*100%)*(SUMPRODUCT(($A125=$Y$5:$Y$43)*(H$100&gt;=YEAR($F$5:$F$43))*$G$5:$G$43)/SUMPRODUCT((H$100&gt;=YEAR($F$5:$F$43))*$G$5:$G$43)),IF(G125&gt;0,G125/(1+lgh_equity!H$24),0))</f>
        <v>1.0685869941107548E-4</v>
      </c>
      <c r="I125" s="1773">
        <f t="array" ref="I125">IF(SUMPRODUCT(($A125=$Y$5:$Y$43)*(I$100=YEAR($F$5:$F$43)))&gt;=1,SUMPRODUCT(($A125=$A$61:$A$95)*$I$61:$I$95)*((SUMPRODUCT((I$100&gt;=YEAR($F$5:$F$43))*$G$5:$G$43)/$K$58)*100%)*(SUMPRODUCT(($A125=$Y$5:$Y$43)*(I$100&gt;=YEAR($F$5:$F$43))*$G$5:$G$43)/SUMPRODUCT((I$100&gt;=YEAR($F$5:$F$43))*$G$5:$G$43)),IF(H125&gt;0,H125/(1+lgh_equity!I$24),0))</f>
        <v>1.0685869941107548E-4</v>
      </c>
      <c r="J125" s="1773">
        <f t="array" ref="J125">IF(SUMPRODUCT(($A125=$Y$5:$Y$43)*(J$100=YEAR($F$5:$F$43)))&gt;=1,SUMPRODUCT(($A125=$A$61:$A$95)*$I$61:$I$95)*((SUMPRODUCT((J$100&gt;=YEAR($F$5:$F$43))*$G$5:$G$43)/$K$58)*100%)*(SUMPRODUCT(($A125=$Y$5:$Y$43)*(J$100&gt;=YEAR($F$5:$F$43))*$G$5:$G$43)/SUMPRODUCT((J$100&gt;=YEAR($F$5:$F$43))*$G$5:$G$43)),IF(I125&gt;0,I125/(1+lgh_equity!J$24),0))</f>
        <v>1.0685869941107548E-4</v>
      </c>
      <c r="K125" s="1788">
        <f t="array" ref="K125">IF(SUMPRODUCT(($A125=$Y$5:$Y$43)*(K$100=YEAR($F$5:$F$43)))&gt;=1,SUMPRODUCT(($A125=$A$61:$A$95)*$I$61:$I$95)*((SUMPRODUCT((K$100&gt;=YEAR($F$5:$F$43))*$G$5:$G$43)/$K$58)*100%)*(SUMPRODUCT(($A125=$Y$5:$Y$43)*(K$100&gt;=YEAR($F$5:$F$43))*$G$5:$G$43)/SUMPRODUCT((K$100&gt;=YEAR($F$5:$F$43))*$G$5:$G$43)),IF(J125&gt;0,J125/(1+lgh_equity!K$24),0))</f>
        <v>1.0685869941107548E-4</v>
      </c>
      <c r="L125" s="1788">
        <f t="array" ref="L125">IF(SUMPRODUCT(($A125=$Y$5:$Y$43)*(L$100=YEAR($F$5:$F$43)))&gt;=1,SUMPRODUCT(($A125=$A$61:$A$95)*$I$61:$I$95)*((SUMPRODUCT((L$100&gt;=YEAR($F$5:$F$43))*$G$5:$G$43)/$K$58)*100%)*(SUMPRODUCT(($A125=$Y$5:$Y$43)*(L$100&gt;=YEAR($F$5:$F$43))*$G$5:$G$43)/SUMPRODUCT((L$100&gt;=YEAR($F$5:$F$43))*$G$5:$G$43)),IF(K125&gt;0,K125/(1+lgh_equity!L$24),0))</f>
        <v>1.0685869941107548E-4</v>
      </c>
      <c r="M125" s="1788">
        <f t="array" ref="M125">IF(SUMPRODUCT(($A125=$Y$5:$Y$43)*(M$100=YEAR($F$5:$F$43)))&gt;=1,SUMPRODUCT(($A125=$A$61:$A$95)*$I$61:$I$95)*((SUMPRODUCT((M$100&gt;=YEAR($F$5:$F$43))*$G$5:$G$43)/$K$58)*100%)*(SUMPRODUCT(($A125=$Y$5:$Y$43)*(M$100&gt;=YEAR($F$5:$F$43))*$G$5:$G$43)/SUMPRODUCT((M$100&gt;=YEAR($F$5:$F$43))*$G$5:$G$43)),IF(L125&gt;0,L125/(1+lgh_equity!M$24),0))</f>
        <v>1.0685869941107548E-4</v>
      </c>
      <c r="N125" s="1773">
        <f t="array" ref="N125">IF(SUMPRODUCT(($A125=$Y$5:$Y$43)*(N$100=YEAR($F$5:$F$43)))&gt;=1,SUMPRODUCT(($A125=$A$61:$A$95)*$I$61:$I$95)*((SUMPRODUCT((N$100&gt;=YEAR($F$5:$F$43))*$G$5:$G$43)/$K$58)*100%)*(SUMPRODUCT(($A125=$Y$5:$Y$43)*(N$100&gt;=YEAR($F$5:$F$43))*$G$5:$G$43)/SUMPRODUCT((N$100&gt;=YEAR($F$5:$F$43))*$G$5:$G$43)),IF(M125&gt;0,M125/(1+lgh_equity!N$24),0))</f>
        <v>1.0685869941107548E-4</v>
      </c>
      <c r="O125" s="1781"/>
      <c r="P125" s="1781"/>
      <c r="Q125" s="1781"/>
      <c r="R125" s="248"/>
      <c r="S125" s="248"/>
      <c r="T125" s="248"/>
      <c r="U125" s="1743"/>
    </row>
    <row r="126" spans="1:21">
      <c r="A126" t="str">
        <f t="shared" si="19"/>
        <v>PE025 Sandollar Holdings Limited</v>
      </c>
      <c r="B126" s="2017">
        <v>2.6499999999999999E-4</v>
      </c>
      <c r="C126" s="196">
        <f t="array" ref="C126">IF(SUMPRODUCT(($A126=$Y$5:$Y$43)*(C$100=YEAR($F$5:$F$43)))&gt;=1,SUMPRODUCT(($A126=$A$61:$A$95)*$I$61:$I$95)*((SUMPRODUCT((C$100&gt;=YEAR($F$5:$F$43))*$G$5:$G$43)/$K$58)*100%)*(SUMPRODUCT(($A126=$Y$5:$Y$43)*(C$100&gt;=YEAR($F$5:$F$43))*$G$5:$G$43)/SUMPRODUCT((C$100&gt;=YEAR($F$5:$F$43))*$G$5:$G$43)),IF(B126&gt;0,B126/(1+lgh_equity!C$24),0))</f>
        <v>2.6499999999999999E-4</v>
      </c>
      <c r="D126" s="196">
        <f t="array" ref="D126">IF(SUMPRODUCT(($A126=$Y$5:$Y$43)*(D$100=YEAR($F$5:$F$43)))&gt;=1,SUMPRODUCT(($A126=$A$61:$A$95)*$I$61:$I$95)*((SUMPRODUCT((D$100&gt;=YEAR($F$5:$F$43))*$G$5:$G$43)/$K$58)*100%)*(SUMPRODUCT(($A126=$Y$5:$Y$43)*(D$100&gt;=YEAR($F$5:$F$43))*$G$5:$G$43)/SUMPRODUCT((D$100&gt;=YEAR($F$5:$F$43))*$G$5:$G$43)),IF(C126&gt;0,C126/(1+lgh_equity!D$24),0))</f>
        <v>2.1440129449838187E-4</v>
      </c>
      <c r="E126" s="196">
        <f t="array" ref="E126">IF(SUMPRODUCT(($A126=$Y$5:$Y$43)*(E$100=YEAR($F$5:$F$43)))&gt;=1,SUMPRODUCT(($A126=$A$61:$A$95)*$I$61:$I$95)*((SUMPRODUCT((E$100&gt;=YEAR($F$5:$F$43))*$G$5:$G$43)/$K$58)*100%)*(SUMPRODUCT(($A126=$Y$5:$Y$43)*(E$100&gt;=YEAR($F$5:$F$43))*$G$5:$G$43)/SUMPRODUCT((E$100&gt;=YEAR($F$5:$F$43))*$G$5:$G$43)),IF(D126&gt;0,D126/(1+lgh_equity!E$24),0))</f>
        <v>2.1371739882215096E-4</v>
      </c>
      <c r="F126" s="196">
        <f t="array" ref="F126">IF(SUMPRODUCT(($A126=$Y$5:$Y$43)*(F$100=YEAR($F$5:$F$43)))&gt;=1,SUMPRODUCT(($A126=$A$61:$A$95)*$I$61:$I$95)*((SUMPRODUCT((F$100&gt;=YEAR($F$5:$F$43))*$G$5:$G$43)/$K$58)*100%)*(SUMPRODUCT(($A126=$Y$5:$Y$43)*(F$100&gt;=YEAR($F$5:$F$43))*$G$5:$G$43)/SUMPRODUCT((F$100&gt;=YEAR($F$5:$F$43))*$G$5:$G$43)),IF(E126&gt;0,E126/(1+lgh_equity!F$24),0))</f>
        <v>2.1371739882215096E-4</v>
      </c>
      <c r="G126" s="1758">
        <f t="array" ref="G126">IF(SUMPRODUCT(($A126=$Y$5:$Y$43)*(G$100=YEAR($F$5:$F$43)))&gt;=1,SUMPRODUCT(($A126=$A$61:$A$95)*$I$61:$I$95)*((SUMPRODUCT((G$100&gt;=YEAR($F$5:$F$43))*$G$5:$G$43)/$K$58)*100%)*(SUMPRODUCT(($A126=$Y$5:$Y$43)*(G$100&gt;=YEAR($F$5:$F$43))*$G$5:$G$43)/SUMPRODUCT((G$100&gt;=YEAR($F$5:$F$43))*$G$5:$G$43)),IF(F126&gt;0,F126/(1+lgh_equity!G$24),0))</f>
        <v>2.1371739882215096E-4</v>
      </c>
      <c r="H126" s="1758">
        <f t="array" ref="H126">IF(SUMPRODUCT(($A126=$Y$5:$Y$43)*(H$100=YEAR($F$5:$F$43)))&gt;=1,SUMPRODUCT(($A126=$A$61:$A$95)*$I$61:$I$95)*((SUMPRODUCT((H$100&gt;=YEAR($F$5:$F$43))*$G$5:$G$43)/$K$58)*100%)*(SUMPRODUCT(($A126=$Y$5:$Y$43)*(H$100&gt;=YEAR($F$5:$F$43))*$G$5:$G$43)/SUMPRODUCT((H$100&gt;=YEAR($F$5:$F$43))*$G$5:$G$43)),IF(G126&gt;0,G126/(1+lgh_equity!H$24),0))</f>
        <v>2.1371739882215096E-4</v>
      </c>
      <c r="I126" s="1773">
        <f t="array" ref="I126">IF(SUMPRODUCT(($A126=$Y$5:$Y$43)*(I$100=YEAR($F$5:$F$43)))&gt;=1,SUMPRODUCT(($A126=$A$61:$A$95)*$I$61:$I$95)*((SUMPRODUCT((I$100&gt;=YEAR($F$5:$F$43))*$G$5:$G$43)/$K$58)*100%)*(SUMPRODUCT(($A126=$Y$5:$Y$43)*(I$100&gt;=YEAR($F$5:$F$43))*$G$5:$G$43)/SUMPRODUCT((I$100&gt;=YEAR($F$5:$F$43))*$G$5:$G$43)),IF(H126&gt;0,H126/(1+lgh_equity!I$24),0))</f>
        <v>2.1371739882215096E-4</v>
      </c>
      <c r="J126" s="1773">
        <f t="array" ref="J126">IF(SUMPRODUCT(($A126=$Y$5:$Y$43)*(J$100=YEAR($F$5:$F$43)))&gt;=1,SUMPRODUCT(($A126=$A$61:$A$95)*$I$61:$I$95)*((SUMPRODUCT((J$100&gt;=YEAR($F$5:$F$43))*$G$5:$G$43)/$K$58)*100%)*(SUMPRODUCT(($A126=$Y$5:$Y$43)*(J$100&gt;=YEAR($F$5:$F$43))*$G$5:$G$43)/SUMPRODUCT((J$100&gt;=YEAR($F$5:$F$43))*$G$5:$G$43)),IF(I126&gt;0,I126/(1+lgh_equity!J$24),0))</f>
        <v>2.1371739882215096E-4</v>
      </c>
      <c r="K126" s="1788">
        <f t="array" ref="K126">IF(SUMPRODUCT(($A126=$Y$5:$Y$43)*(K$100=YEAR($F$5:$F$43)))&gt;=1,SUMPRODUCT(($A126=$A$61:$A$95)*$I$61:$I$95)*((SUMPRODUCT((K$100&gt;=YEAR($F$5:$F$43))*$G$5:$G$43)/$K$58)*100%)*(SUMPRODUCT(($A126=$Y$5:$Y$43)*(K$100&gt;=YEAR($F$5:$F$43))*$G$5:$G$43)/SUMPRODUCT((K$100&gt;=YEAR($F$5:$F$43))*$G$5:$G$43)),IF(J126&gt;0,J126/(1+lgh_equity!K$24),0))</f>
        <v>2.1371739882215096E-4</v>
      </c>
      <c r="L126" s="1788">
        <f t="array" ref="L126">IF(SUMPRODUCT(($A126=$Y$5:$Y$43)*(L$100=YEAR($F$5:$F$43)))&gt;=1,SUMPRODUCT(($A126=$A$61:$A$95)*$I$61:$I$95)*((SUMPRODUCT((L$100&gt;=YEAR($F$5:$F$43))*$G$5:$G$43)/$K$58)*100%)*(SUMPRODUCT(($A126=$Y$5:$Y$43)*(L$100&gt;=YEAR($F$5:$F$43))*$G$5:$G$43)/SUMPRODUCT((L$100&gt;=YEAR($F$5:$F$43))*$G$5:$G$43)),IF(K126&gt;0,K126/(1+lgh_equity!L$24),0))</f>
        <v>2.1371739882215096E-4</v>
      </c>
      <c r="M126" s="1788">
        <f t="array" ref="M126">IF(SUMPRODUCT(($A126=$Y$5:$Y$43)*(M$100=YEAR($F$5:$F$43)))&gt;=1,SUMPRODUCT(($A126=$A$61:$A$95)*$I$61:$I$95)*((SUMPRODUCT((M$100&gt;=YEAR($F$5:$F$43))*$G$5:$G$43)/$K$58)*100%)*(SUMPRODUCT(($A126=$Y$5:$Y$43)*(M$100&gt;=YEAR($F$5:$F$43))*$G$5:$G$43)/SUMPRODUCT((M$100&gt;=YEAR($F$5:$F$43))*$G$5:$G$43)),IF(L126&gt;0,L126/(1+lgh_equity!M$24),0))</f>
        <v>2.1371739882215096E-4</v>
      </c>
      <c r="N126" s="1773">
        <f t="array" ref="N126">IF(SUMPRODUCT(($A126=$Y$5:$Y$43)*(N$100=YEAR($F$5:$F$43)))&gt;=1,SUMPRODUCT(($A126=$A$61:$A$95)*$I$61:$I$95)*((SUMPRODUCT((N$100&gt;=YEAR($F$5:$F$43))*$G$5:$G$43)/$K$58)*100%)*(SUMPRODUCT(($A126=$Y$5:$Y$43)*(N$100&gt;=YEAR($F$5:$F$43))*$G$5:$G$43)/SUMPRODUCT((N$100&gt;=YEAR($F$5:$F$43))*$G$5:$G$43)),IF(M126&gt;0,M126/(1+lgh_equity!N$24),0))</f>
        <v>2.1371739882215096E-4</v>
      </c>
      <c r="O126" s="1781"/>
      <c r="P126" s="1781"/>
      <c r="Q126" s="1781"/>
      <c r="R126" s="248"/>
      <c r="S126" s="248"/>
      <c r="T126" s="248"/>
      <c r="U126" s="1743"/>
    </row>
    <row r="127" spans="1:21">
      <c r="A127" t="str">
        <f t="shared" si="19"/>
        <v>PE026 James Neuhauser (Jim)</v>
      </c>
      <c r="B127" s="2017">
        <v>2.6499999999999999E-4</v>
      </c>
      <c r="C127" s="196">
        <f t="array" ref="C127">IF(SUMPRODUCT(($A127=$Y$5:$Y$43)*(C$100=YEAR($F$5:$F$43)))&gt;=1,SUMPRODUCT(($A127=$A$61:$A$95)*$I$61:$I$95)*((SUMPRODUCT((C$100&gt;=YEAR($F$5:$F$43))*$G$5:$G$43)/$K$58)*100%)*(SUMPRODUCT(($A127=$Y$5:$Y$43)*(C$100&gt;=YEAR($F$5:$F$43))*$G$5:$G$43)/SUMPRODUCT((C$100&gt;=YEAR($F$5:$F$43))*$G$5:$G$43)),IF(B127&gt;0,B127/(1+lgh_equity!C$24),0))</f>
        <v>2.6499999999999999E-4</v>
      </c>
      <c r="D127" s="196">
        <f t="array" ref="D127">IF(SUMPRODUCT(($A127=$Y$5:$Y$43)*(D$100=YEAR($F$5:$F$43)))&gt;=1,SUMPRODUCT(($A127=$A$61:$A$95)*$I$61:$I$95)*((SUMPRODUCT((D$100&gt;=YEAR($F$5:$F$43))*$G$5:$G$43)/$K$58)*100%)*(SUMPRODUCT(($A127=$Y$5:$Y$43)*(D$100&gt;=YEAR($F$5:$F$43))*$G$5:$G$43)/SUMPRODUCT((D$100&gt;=YEAR($F$5:$F$43))*$G$5:$G$43)),IF(C127&gt;0,C127/(1+lgh_equity!D$24),0))</f>
        <v>2.1440129449838187E-4</v>
      </c>
      <c r="E127" s="196">
        <f t="array" ref="E127">IF(SUMPRODUCT(($A127=$Y$5:$Y$43)*(E$100=YEAR($F$5:$F$43)))&gt;=1,SUMPRODUCT(($A127=$A$61:$A$95)*$I$61:$I$95)*((SUMPRODUCT((E$100&gt;=YEAR($F$5:$F$43))*$G$5:$G$43)/$K$58)*100%)*(SUMPRODUCT(($A127=$Y$5:$Y$43)*(E$100&gt;=YEAR($F$5:$F$43))*$G$5:$G$43)/SUMPRODUCT((E$100&gt;=YEAR($F$5:$F$43))*$G$5:$G$43)),IF(D127&gt;0,D127/(1+lgh_equity!E$24),0))</f>
        <v>2.1371739882215096E-4</v>
      </c>
      <c r="F127" s="196">
        <f t="array" ref="F127">IF(SUMPRODUCT(($A127=$Y$5:$Y$43)*(F$100=YEAR($F$5:$F$43)))&gt;=1,SUMPRODUCT(($A127=$A$61:$A$95)*$I$61:$I$95)*((SUMPRODUCT((F$100&gt;=YEAR($F$5:$F$43))*$G$5:$G$43)/$K$58)*100%)*(SUMPRODUCT(($A127=$Y$5:$Y$43)*(F$100&gt;=YEAR($F$5:$F$43))*$G$5:$G$43)/SUMPRODUCT((F$100&gt;=YEAR($F$5:$F$43))*$G$5:$G$43)),IF(E127&gt;0,E127/(1+lgh_equity!F$24),0))</f>
        <v>2.1371739882215096E-4</v>
      </c>
      <c r="G127" s="1758">
        <f t="array" ref="G127">IF(SUMPRODUCT(($A127=$Y$5:$Y$43)*(G$100=YEAR($F$5:$F$43)))&gt;=1,SUMPRODUCT(($A127=$A$61:$A$95)*$I$61:$I$95)*((SUMPRODUCT((G$100&gt;=YEAR($F$5:$F$43))*$G$5:$G$43)/$K$58)*100%)*(SUMPRODUCT(($A127=$Y$5:$Y$43)*(G$100&gt;=YEAR($F$5:$F$43))*$G$5:$G$43)/SUMPRODUCT((G$100&gt;=YEAR($F$5:$F$43))*$G$5:$G$43)),IF(F127&gt;0,F127/(1+lgh_equity!G$24),0))</f>
        <v>2.1371739882215096E-4</v>
      </c>
      <c r="H127" s="1758">
        <f t="array" ref="H127">IF(SUMPRODUCT(($A127=$Y$5:$Y$43)*(H$100=YEAR($F$5:$F$43)))&gt;=1,SUMPRODUCT(($A127=$A$61:$A$95)*$I$61:$I$95)*((SUMPRODUCT((H$100&gt;=YEAR($F$5:$F$43))*$G$5:$G$43)/$K$58)*100%)*(SUMPRODUCT(($A127=$Y$5:$Y$43)*(H$100&gt;=YEAR($F$5:$F$43))*$G$5:$G$43)/SUMPRODUCT((H$100&gt;=YEAR($F$5:$F$43))*$G$5:$G$43)),IF(G127&gt;0,G127/(1+lgh_equity!H$24),0))</f>
        <v>2.1371739882215096E-4</v>
      </c>
      <c r="I127" s="1773">
        <f t="array" ref="I127">IF(SUMPRODUCT(($A127=$Y$5:$Y$43)*(I$100=YEAR($F$5:$F$43)))&gt;=1,SUMPRODUCT(($A127=$A$61:$A$95)*$I$61:$I$95)*((SUMPRODUCT((I$100&gt;=YEAR($F$5:$F$43))*$G$5:$G$43)/$K$58)*100%)*(SUMPRODUCT(($A127=$Y$5:$Y$43)*(I$100&gt;=YEAR($F$5:$F$43))*$G$5:$G$43)/SUMPRODUCT((I$100&gt;=YEAR($F$5:$F$43))*$G$5:$G$43)),IF(H127&gt;0,H127/(1+lgh_equity!I$24),0))</f>
        <v>2.1371739882215096E-4</v>
      </c>
      <c r="J127" s="1773">
        <f t="array" ref="J127">IF(SUMPRODUCT(($A127=$Y$5:$Y$43)*(J$100=YEAR($F$5:$F$43)))&gt;=1,SUMPRODUCT(($A127=$A$61:$A$95)*$I$61:$I$95)*((SUMPRODUCT((J$100&gt;=YEAR($F$5:$F$43))*$G$5:$G$43)/$K$58)*100%)*(SUMPRODUCT(($A127=$Y$5:$Y$43)*(J$100&gt;=YEAR($F$5:$F$43))*$G$5:$G$43)/SUMPRODUCT((J$100&gt;=YEAR($F$5:$F$43))*$G$5:$G$43)),IF(I127&gt;0,I127/(1+lgh_equity!J$24),0))</f>
        <v>2.1371739882215096E-4</v>
      </c>
      <c r="K127" s="1788">
        <f t="array" ref="K127">IF(SUMPRODUCT(($A127=$Y$5:$Y$43)*(K$100=YEAR($F$5:$F$43)))&gt;=1,SUMPRODUCT(($A127=$A$61:$A$95)*$I$61:$I$95)*((SUMPRODUCT((K$100&gt;=YEAR($F$5:$F$43))*$G$5:$G$43)/$K$58)*100%)*(SUMPRODUCT(($A127=$Y$5:$Y$43)*(K$100&gt;=YEAR($F$5:$F$43))*$G$5:$G$43)/SUMPRODUCT((K$100&gt;=YEAR($F$5:$F$43))*$G$5:$G$43)),IF(J127&gt;0,J127/(1+lgh_equity!K$24),0))</f>
        <v>2.1371739882215096E-4</v>
      </c>
      <c r="L127" s="1788">
        <f t="array" ref="L127">IF(SUMPRODUCT(($A127=$Y$5:$Y$43)*(L$100=YEAR($F$5:$F$43)))&gt;=1,SUMPRODUCT(($A127=$A$61:$A$95)*$I$61:$I$95)*((SUMPRODUCT((L$100&gt;=YEAR($F$5:$F$43))*$G$5:$G$43)/$K$58)*100%)*(SUMPRODUCT(($A127=$Y$5:$Y$43)*(L$100&gt;=YEAR($F$5:$F$43))*$G$5:$G$43)/SUMPRODUCT((L$100&gt;=YEAR($F$5:$F$43))*$G$5:$G$43)),IF(K127&gt;0,K127/(1+lgh_equity!L$24),0))</f>
        <v>2.1371739882215096E-4</v>
      </c>
      <c r="M127" s="1788">
        <f t="array" ref="M127">IF(SUMPRODUCT(($A127=$Y$5:$Y$43)*(M$100=YEAR($F$5:$F$43)))&gt;=1,SUMPRODUCT(($A127=$A$61:$A$95)*$I$61:$I$95)*((SUMPRODUCT((M$100&gt;=YEAR($F$5:$F$43))*$G$5:$G$43)/$K$58)*100%)*(SUMPRODUCT(($A127=$Y$5:$Y$43)*(M$100&gt;=YEAR($F$5:$F$43))*$G$5:$G$43)/SUMPRODUCT((M$100&gt;=YEAR($F$5:$F$43))*$G$5:$G$43)),IF(L127&gt;0,L127/(1+lgh_equity!M$24),0))</f>
        <v>2.1371739882215096E-4</v>
      </c>
      <c r="N127" s="1773">
        <f t="array" ref="N127">IF(SUMPRODUCT(($A127=$Y$5:$Y$43)*(N$100=YEAR($F$5:$F$43)))&gt;=1,SUMPRODUCT(($A127=$A$61:$A$95)*$I$61:$I$95)*((SUMPRODUCT((N$100&gt;=YEAR($F$5:$F$43))*$G$5:$G$43)/$K$58)*100%)*(SUMPRODUCT(($A127=$Y$5:$Y$43)*(N$100&gt;=YEAR($F$5:$F$43))*$G$5:$G$43)/SUMPRODUCT((N$100&gt;=YEAR($F$5:$F$43))*$G$5:$G$43)),IF(M127&gt;0,M127/(1+lgh_equity!N$24),0))</f>
        <v>2.1371739882215096E-4</v>
      </c>
      <c r="O127" s="1781"/>
      <c r="P127" s="1781"/>
      <c r="Q127" s="1781"/>
      <c r="R127" s="248"/>
      <c r="S127" s="248"/>
      <c r="T127" s="248"/>
      <c r="U127" s="1743"/>
    </row>
    <row r="128" spans="1:21">
      <c r="A128" t="str">
        <f t="shared" si="19"/>
        <v>PE027 PFNGT LLC_side letter part % adj.</v>
      </c>
      <c r="B128" s="2017">
        <v>0.25</v>
      </c>
      <c r="C128" s="196">
        <f t="array" ref="C128">IF(SUMPRODUCT(($A128=$Y$5:$Y$43)*(C$100=YEAR($F$5:$F$43)))&gt;=1,SUMPRODUCT(($A128=$A$61:$A$95)*$I$61:$I$95)*((SUMPRODUCT((C$100&gt;=YEAR($F$5:$F$43))*$G$5:$G$43)/$K$58)*100%)*(SUMPRODUCT(($A128=$Y$5:$Y$43)*(C$100&gt;=YEAR($F$5:$F$43))*$G$5:$G$43)/SUMPRODUCT((C$100&gt;=YEAR($F$5:$F$43))*$G$5:$G$43)),IF(B128&gt;0,B128/(1+lgh_equity!C$24),0))</f>
        <v>0.25</v>
      </c>
      <c r="D128" s="196">
        <f t="array" ref="D128">IF(SUMPRODUCT(($A128=$Y$5:$Y$43)*(D$100=YEAR($F$5:$F$43)))&gt;=1,SUMPRODUCT(($A128=$A$61:$A$95)*$I$61:$I$95)*((SUMPRODUCT((D$100&gt;=YEAR($F$5:$F$43))*$G$5:$G$43)/$K$58)*100%)*(SUMPRODUCT(($A128=$Y$5:$Y$43)*(D$100&gt;=YEAR($F$5:$F$43))*$G$5:$G$43)/SUMPRODUCT((D$100&gt;=YEAR($F$5:$F$43))*$G$5:$G$43)),IF(C128&gt;0,C128/(1+lgh_equity!D$24),0))</f>
        <v>0.2022653721682848</v>
      </c>
      <c r="E128" s="732"/>
      <c r="F128" s="732"/>
      <c r="G128" s="1759"/>
      <c r="H128" s="1759"/>
      <c r="I128" s="1774"/>
      <c r="J128" s="1774"/>
      <c r="K128" s="1789"/>
      <c r="L128" s="1789"/>
      <c r="M128" s="1789"/>
      <c r="N128" s="1774"/>
      <c r="O128" s="1781"/>
      <c r="P128" s="1781"/>
      <c r="Q128" s="1781"/>
      <c r="R128" s="248"/>
      <c r="S128" s="248"/>
      <c r="T128" s="248"/>
      <c r="U128" s="1743"/>
    </row>
    <row r="129" spans="1:21">
      <c r="A129" t="str">
        <f t="shared" si="19"/>
        <v>PE028 La Pointe Investments LLC</v>
      </c>
      <c r="B129" s="2017">
        <v>0.01</v>
      </c>
      <c r="C129" s="196">
        <f t="array" ref="C129">IF(SUMPRODUCT(($A129=$Y$5:$Y$43)*(C$100=YEAR($F$5:$F$43)))&gt;=1,SUMPRODUCT(($A129=$A$61:$A$95)*$I$61:$I$95)*((SUMPRODUCT((C$100&gt;=YEAR($F$5:$F$43))*$G$5:$G$43)/$K$58)*100%)*(SUMPRODUCT(($A129=$Y$5:$Y$43)*(C$100&gt;=YEAR($F$5:$F$43))*$G$5:$G$43)/SUMPRODUCT((C$100&gt;=YEAR($F$5:$F$43))*$G$5:$G$43)),IF(B129&gt;0,B129/(1+lgh_equity!C$24),0))</f>
        <v>0.01</v>
      </c>
      <c r="D129" s="196">
        <f t="array" ref="D129">IF(SUMPRODUCT(($A129=$Y$5:$Y$43)*(D$100=YEAR($F$5:$F$43)))&gt;=1,SUMPRODUCT(($A129=$A$61:$A$95)*$I$61:$I$95)*((SUMPRODUCT((D$100&gt;=YEAR($F$5:$F$43))*$G$5:$G$43)/$K$58)*100%)*(SUMPRODUCT(($A129=$Y$5:$Y$43)*(D$100&gt;=YEAR($F$5:$F$43))*$G$5:$G$43)/SUMPRODUCT((D$100&gt;=YEAR($F$5:$F$43))*$G$5:$G$43)),IF(C129&gt;0,C129/(1+lgh_equity!D$24),0))</f>
        <v>8.0906148867313926E-3</v>
      </c>
      <c r="E129" s="196">
        <f t="array" ref="E129">IF(SUMPRODUCT(($A129=$Y$5:$Y$43)*(E$100=YEAR($F$5:$F$43)))&gt;=1,SUMPRODUCT(($A129=$A$61:$A$95)*$I$61:$I$95)*((SUMPRODUCT((E$100&gt;=YEAR($F$5:$F$43))*$G$5:$G$43)/$K$58)*100%)*(SUMPRODUCT(($A129=$Y$5:$Y$43)*(E$100&gt;=YEAR($F$5:$F$43))*$G$5:$G$43)/SUMPRODUCT((E$100&gt;=YEAR($F$5:$F$43))*$G$5:$G$43)),IF(D129&gt;0,D129/(1+lgh_equity!E$24),0))</f>
        <v>8.0648075027226797E-3</v>
      </c>
      <c r="F129" s="196">
        <f t="array" ref="F129">IF(SUMPRODUCT(($A129=$Y$5:$Y$43)*(F$100=YEAR($F$5:$F$43)))&gt;=1,SUMPRODUCT(($A129=$A$61:$A$95)*$I$61:$I$95)*((SUMPRODUCT((F$100&gt;=YEAR($F$5:$F$43))*$G$5:$G$43)/$K$58)*100%)*(SUMPRODUCT(($A129=$Y$5:$Y$43)*(F$100&gt;=YEAR($F$5:$F$43))*$G$5:$G$43)/SUMPRODUCT((F$100&gt;=YEAR($F$5:$F$43))*$G$5:$G$43)),IF(E129&gt;0,E129/(1+lgh_equity!F$24),0))</f>
        <v>8.0648075027226797E-3</v>
      </c>
      <c r="G129" s="1758">
        <f t="array" ref="G129">IF(SUMPRODUCT(($A129=$Y$5:$Y$43)*(G$100=YEAR($F$5:$F$43)))&gt;=1,SUMPRODUCT(($A129=$A$61:$A$95)*$I$61:$I$95)*((SUMPRODUCT((G$100&gt;=YEAR($F$5:$F$43))*$G$5:$G$43)/$K$58)*100%)*(SUMPRODUCT(($A129=$Y$5:$Y$43)*(G$100&gt;=YEAR($F$5:$F$43))*$G$5:$G$43)/SUMPRODUCT((G$100&gt;=YEAR($F$5:$F$43))*$G$5:$G$43)),IF(F129&gt;0,F129/(1+lgh_equity!G$24),0))</f>
        <v>8.0648075027226797E-3</v>
      </c>
      <c r="H129" s="1758">
        <f t="array" ref="H129">IF(SUMPRODUCT(($A129=$Y$5:$Y$43)*(H$100=YEAR($F$5:$F$43)))&gt;=1,SUMPRODUCT(($A129=$A$61:$A$95)*$I$61:$I$95)*((SUMPRODUCT((H$100&gt;=YEAR($F$5:$F$43))*$G$5:$G$43)/$K$58)*100%)*(SUMPRODUCT(($A129=$Y$5:$Y$43)*(H$100&gt;=YEAR($F$5:$F$43))*$G$5:$G$43)/SUMPRODUCT((H$100&gt;=YEAR($F$5:$F$43))*$G$5:$G$43)),IF(G129&gt;0,G129/(1+lgh_equity!H$24),0))</f>
        <v>8.0648075027226797E-3</v>
      </c>
      <c r="I129" s="1773">
        <f t="array" ref="I129">IF(SUMPRODUCT(($A129=$Y$5:$Y$43)*(I$100=YEAR($F$5:$F$43)))&gt;=1,SUMPRODUCT(($A129=$A$61:$A$95)*$I$61:$I$95)*((SUMPRODUCT((I$100&gt;=YEAR($F$5:$F$43))*$G$5:$G$43)/$K$58)*100%)*(SUMPRODUCT(($A129=$Y$5:$Y$43)*(I$100&gt;=YEAR($F$5:$F$43))*$G$5:$G$43)/SUMPRODUCT((I$100&gt;=YEAR($F$5:$F$43))*$G$5:$G$43)),IF(H129&gt;0,H129/(1+lgh_equity!I$24),0))</f>
        <v>8.0648075027226797E-3</v>
      </c>
      <c r="J129" s="1773">
        <f t="array" ref="J129">IF(SUMPRODUCT(($A129=$Y$5:$Y$43)*(J$100=YEAR($F$5:$F$43)))&gt;=1,SUMPRODUCT(($A129=$A$61:$A$95)*$I$61:$I$95)*((SUMPRODUCT((J$100&gt;=YEAR($F$5:$F$43))*$G$5:$G$43)/$K$58)*100%)*(SUMPRODUCT(($A129=$Y$5:$Y$43)*(J$100&gt;=YEAR($F$5:$F$43))*$G$5:$G$43)/SUMPRODUCT((J$100&gt;=YEAR($F$5:$F$43))*$G$5:$G$43)),IF(I129&gt;0,I129/(1+lgh_equity!J$24),0))</f>
        <v>8.0648075027226797E-3</v>
      </c>
      <c r="K129" s="1788">
        <f t="array" ref="K129">IF(SUMPRODUCT(($A129=$Y$5:$Y$43)*(K$100=YEAR($F$5:$F$43)))&gt;=1,SUMPRODUCT(($A129=$A$61:$A$95)*$I$61:$I$95)*((SUMPRODUCT((K$100&gt;=YEAR($F$5:$F$43))*$G$5:$G$43)/$K$58)*100%)*(SUMPRODUCT(($A129=$Y$5:$Y$43)*(K$100&gt;=YEAR($F$5:$F$43))*$G$5:$G$43)/SUMPRODUCT((K$100&gt;=YEAR($F$5:$F$43))*$G$5:$G$43)),IF(J129&gt;0,J129/(1+lgh_equity!K$24),0))</f>
        <v>8.0648075027226797E-3</v>
      </c>
      <c r="L129" s="1788">
        <f t="array" ref="L129">IF(SUMPRODUCT(($A129=$Y$5:$Y$43)*(L$100=YEAR($F$5:$F$43)))&gt;=1,SUMPRODUCT(($A129=$A$61:$A$95)*$I$61:$I$95)*((SUMPRODUCT((L$100&gt;=YEAR($F$5:$F$43))*$G$5:$G$43)/$K$58)*100%)*(SUMPRODUCT(($A129=$Y$5:$Y$43)*(L$100&gt;=YEAR($F$5:$F$43))*$G$5:$G$43)/SUMPRODUCT((L$100&gt;=YEAR($F$5:$F$43))*$G$5:$G$43)),IF(K129&gt;0,K129/(1+lgh_equity!L$24),0))</f>
        <v>8.0648075027226797E-3</v>
      </c>
      <c r="M129" s="1788">
        <f t="array" ref="M129">IF(SUMPRODUCT(($A129=$Y$5:$Y$43)*(M$100=YEAR($F$5:$F$43)))&gt;=1,SUMPRODUCT(($A129=$A$61:$A$95)*$I$61:$I$95)*((SUMPRODUCT((M$100&gt;=YEAR($F$5:$F$43))*$G$5:$G$43)/$K$58)*100%)*(SUMPRODUCT(($A129=$Y$5:$Y$43)*(M$100&gt;=YEAR($F$5:$F$43))*$G$5:$G$43)/SUMPRODUCT((M$100&gt;=YEAR($F$5:$F$43))*$G$5:$G$43)),IF(L129&gt;0,L129/(1+lgh_equity!M$24),0))</f>
        <v>8.0648075027226797E-3</v>
      </c>
      <c r="N129" s="1773">
        <f t="array" ref="N129">IF(SUMPRODUCT(($A129=$Y$5:$Y$43)*(N$100=YEAR($F$5:$F$43)))&gt;=1,SUMPRODUCT(($A129=$A$61:$A$95)*$I$61:$I$95)*((SUMPRODUCT((N$100&gt;=YEAR($F$5:$F$43))*$G$5:$G$43)/$K$58)*100%)*(SUMPRODUCT(($A129=$Y$5:$Y$43)*(N$100&gt;=YEAR($F$5:$F$43))*$G$5:$G$43)/SUMPRODUCT((N$100&gt;=YEAR($F$5:$F$43))*$G$5:$G$43)),IF(M129&gt;0,M129/(1+lgh_equity!N$24),0))</f>
        <v>8.0648075027226797E-3</v>
      </c>
      <c r="O129" s="1781"/>
      <c r="P129" s="1781"/>
      <c r="Q129" s="1781"/>
      <c r="R129" s="248"/>
      <c r="S129" s="248"/>
      <c r="T129" s="248"/>
      <c r="U129" s="1743"/>
    </row>
    <row r="130" spans="1:21">
      <c r="A130" t="str">
        <f t="shared" si="19"/>
        <v>PE029 La Pointe Investments LLC</v>
      </c>
      <c r="B130" s="2017">
        <v>0.01</v>
      </c>
      <c r="C130" s="196">
        <f t="array" ref="C130">IF(SUMPRODUCT(($A130=$Y$5:$Y$43)*(C$100=YEAR($F$5:$F$43)))&gt;=1,SUMPRODUCT(($A130=$A$61:$A$95)*$I$61:$I$95)*((SUMPRODUCT((C$100&gt;=YEAR($F$5:$F$43))*$G$5:$G$43)/$K$58)*100%)*(SUMPRODUCT(($A130=$Y$5:$Y$43)*(C$100&gt;=YEAR($F$5:$F$43))*$G$5:$G$43)/SUMPRODUCT((C$100&gt;=YEAR($F$5:$F$43))*$G$5:$G$43)),IF(B130&gt;0,B130/(1+lgh_equity!C$24),0))</f>
        <v>0.01</v>
      </c>
      <c r="D130" s="196">
        <f t="array" ref="D130">IF(SUMPRODUCT(($A130=$Y$5:$Y$43)*(D$100=YEAR($F$5:$F$43)))&gt;=1,SUMPRODUCT(($A130=$A$61:$A$95)*$I$61:$I$95)*((SUMPRODUCT((D$100&gt;=YEAR($F$5:$F$43))*$G$5:$G$43)/$K$58)*100%)*(SUMPRODUCT(($A130=$Y$5:$Y$43)*(D$100&gt;=YEAR($F$5:$F$43))*$G$5:$G$43)/SUMPRODUCT((D$100&gt;=YEAR($F$5:$F$43))*$G$5:$G$43)),IF(C130&gt;0,C130/(1+lgh_equity!D$24),0))</f>
        <v>8.0906148867313926E-3</v>
      </c>
      <c r="E130" s="196">
        <f t="array" ref="E130">IF(SUMPRODUCT(($A130=$Y$5:$Y$43)*(E$100=YEAR($F$5:$F$43)))&gt;=1,SUMPRODUCT(($A130=$A$61:$A$95)*$I$61:$I$95)*((SUMPRODUCT((E$100&gt;=YEAR($F$5:$F$43))*$G$5:$G$43)/$K$58)*100%)*(SUMPRODUCT(($A130=$Y$5:$Y$43)*(E$100&gt;=YEAR($F$5:$F$43))*$G$5:$G$43)/SUMPRODUCT((E$100&gt;=YEAR($F$5:$F$43))*$G$5:$G$43)),IF(D130&gt;0,D130/(1+lgh_equity!E$24),0))</f>
        <v>8.0648075027226797E-3</v>
      </c>
      <c r="F130" s="196">
        <f t="array" ref="F130">IF(SUMPRODUCT(($A130=$Y$5:$Y$43)*(F$100=YEAR($F$5:$F$43)))&gt;=1,SUMPRODUCT(($A130=$A$61:$A$95)*$I$61:$I$95)*((SUMPRODUCT((F$100&gt;=YEAR($F$5:$F$43))*$G$5:$G$43)/$K$58)*100%)*(SUMPRODUCT(($A130=$Y$5:$Y$43)*(F$100&gt;=YEAR($F$5:$F$43))*$G$5:$G$43)/SUMPRODUCT((F$100&gt;=YEAR($F$5:$F$43))*$G$5:$G$43)),IF(E130&gt;0,E130/(1+lgh_equity!F$24),0))</f>
        <v>8.0648075027226797E-3</v>
      </c>
      <c r="G130" s="1758">
        <f t="array" ref="G130">IF(SUMPRODUCT(($A130=$Y$5:$Y$43)*(G$100=YEAR($F$5:$F$43)))&gt;=1,SUMPRODUCT(($A130=$A$61:$A$95)*$I$61:$I$95)*((SUMPRODUCT((G$100&gt;=YEAR($F$5:$F$43))*$G$5:$G$43)/$K$58)*100%)*(SUMPRODUCT(($A130=$Y$5:$Y$43)*(G$100&gt;=YEAR($F$5:$F$43))*$G$5:$G$43)/SUMPRODUCT((G$100&gt;=YEAR($F$5:$F$43))*$G$5:$G$43)),IF(F130&gt;0,F130/(1+lgh_equity!G$24),0))</f>
        <v>8.0648075027226797E-3</v>
      </c>
      <c r="H130" s="1758">
        <f t="array" ref="H130">IF(SUMPRODUCT(($A130=$Y$5:$Y$43)*(H$100=YEAR($F$5:$F$43)))&gt;=1,SUMPRODUCT(($A130=$A$61:$A$95)*$I$61:$I$95)*((SUMPRODUCT((H$100&gt;=YEAR($F$5:$F$43))*$G$5:$G$43)/$K$58)*100%)*(SUMPRODUCT(($A130=$Y$5:$Y$43)*(H$100&gt;=YEAR($F$5:$F$43))*$G$5:$G$43)/SUMPRODUCT((H$100&gt;=YEAR($F$5:$F$43))*$G$5:$G$43)),IF(G130&gt;0,G130/(1+lgh_equity!H$24),0))</f>
        <v>8.0648075027226797E-3</v>
      </c>
      <c r="I130" s="1773">
        <f t="array" ref="I130">IF(SUMPRODUCT(($A130=$Y$5:$Y$43)*(I$100=YEAR($F$5:$F$43)))&gt;=1,SUMPRODUCT(($A130=$A$61:$A$95)*$I$61:$I$95)*((SUMPRODUCT((I$100&gt;=YEAR($F$5:$F$43))*$G$5:$G$43)/$K$58)*100%)*(SUMPRODUCT(($A130=$Y$5:$Y$43)*(I$100&gt;=YEAR($F$5:$F$43))*$G$5:$G$43)/SUMPRODUCT((I$100&gt;=YEAR($F$5:$F$43))*$G$5:$G$43)),IF(H130&gt;0,H130/(1+lgh_equity!I$24),0))</f>
        <v>8.0648075027226797E-3</v>
      </c>
      <c r="J130" s="1773">
        <f t="array" ref="J130">IF(SUMPRODUCT(($A130=$Y$5:$Y$43)*(J$100=YEAR($F$5:$F$43)))&gt;=1,SUMPRODUCT(($A130=$A$61:$A$95)*$I$61:$I$95)*((SUMPRODUCT((J$100&gt;=YEAR($F$5:$F$43))*$G$5:$G$43)/$K$58)*100%)*(SUMPRODUCT(($A130=$Y$5:$Y$43)*(J$100&gt;=YEAR($F$5:$F$43))*$G$5:$G$43)/SUMPRODUCT((J$100&gt;=YEAR($F$5:$F$43))*$G$5:$G$43)),IF(I130&gt;0,I130/(1+lgh_equity!J$24),0))</f>
        <v>8.0648075027226797E-3</v>
      </c>
      <c r="K130" s="1788">
        <f t="array" ref="K130">IF(SUMPRODUCT(($A130=$Y$5:$Y$43)*(K$100=YEAR($F$5:$F$43)))&gt;=1,SUMPRODUCT(($A130=$A$61:$A$95)*$I$61:$I$95)*((SUMPRODUCT((K$100&gt;=YEAR($F$5:$F$43))*$G$5:$G$43)/$K$58)*100%)*(SUMPRODUCT(($A130=$Y$5:$Y$43)*(K$100&gt;=YEAR($F$5:$F$43))*$G$5:$G$43)/SUMPRODUCT((K$100&gt;=YEAR($F$5:$F$43))*$G$5:$G$43)),IF(J130&gt;0,J130/(1+lgh_equity!K$24),0))</f>
        <v>8.0648075027226797E-3</v>
      </c>
      <c r="L130" s="1788">
        <f t="array" ref="L130">IF(SUMPRODUCT(($A130=$Y$5:$Y$43)*(L$100=YEAR($F$5:$F$43)))&gt;=1,SUMPRODUCT(($A130=$A$61:$A$95)*$I$61:$I$95)*((SUMPRODUCT((L$100&gt;=YEAR($F$5:$F$43))*$G$5:$G$43)/$K$58)*100%)*(SUMPRODUCT(($A130=$Y$5:$Y$43)*(L$100&gt;=YEAR($F$5:$F$43))*$G$5:$G$43)/SUMPRODUCT((L$100&gt;=YEAR($F$5:$F$43))*$G$5:$G$43)),IF(K130&gt;0,K130/(1+lgh_equity!L$24),0))</f>
        <v>8.0648075027226797E-3</v>
      </c>
      <c r="M130" s="1788">
        <f t="array" ref="M130">IF(SUMPRODUCT(($A130=$Y$5:$Y$43)*(M$100=YEAR($F$5:$F$43)))&gt;=1,SUMPRODUCT(($A130=$A$61:$A$95)*$I$61:$I$95)*((SUMPRODUCT((M$100&gt;=YEAR($F$5:$F$43))*$G$5:$G$43)/$K$58)*100%)*(SUMPRODUCT(($A130=$Y$5:$Y$43)*(M$100&gt;=YEAR($F$5:$F$43))*$G$5:$G$43)/SUMPRODUCT((M$100&gt;=YEAR($F$5:$F$43))*$G$5:$G$43)),IF(L130&gt;0,L130/(1+lgh_equity!M$24),0))</f>
        <v>8.0648075027226797E-3</v>
      </c>
      <c r="N130" s="1773">
        <f t="array" ref="N130">IF(SUMPRODUCT(($A130=$Y$5:$Y$43)*(N$100=YEAR($F$5:$F$43)))&gt;=1,SUMPRODUCT(($A130=$A$61:$A$95)*$I$61:$I$95)*((SUMPRODUCT((N$100&gt;=YEAR($F$5:$F$43))*$G$5:$G$43)/$K$58)*100%)*(SUMPRODUCT(($A130=$Y$5:$Y$43)*(N$100&gt;=YEAR($F$5:$F$43))*$G$5:$G$43)/SUMPRODUCT((N$100&gt;=YEAR($F$5:$F$43))*$G$5:$G$43)),IF(M130&gt;0,M130/(1+lgh_equity!N$24),0))</f>
        <v>8.0648075027226797E-3</v>
      </c>
      <c r="O130" s="1781"/>
      <c r="P130" s="1781"/>
      <c r="Q130" s="1781"/>
      <c r="R130" s="248"/>
      <c r="S130" s="248"/>
      <c r="T130" s="248"/>
      <c r="U130" s="1743"/>
    </row>
    <row r="131" spans="1:21">
      <c r="A131" t="str">
        <f t="shared" si="19"/>
        <v>PE030 King Partner Pref convert</v>
      </c>
      <c r="B131" s="2017">
        <v>0</v>
      </c>
      <c r="C131" s="196">
        <f t="array" ref="C131">IF(SUMPRODUCT(($A131=$Y$5:$Y$43)*(C$100=YEAR($F$5:$F$43)))&gt;=1,SUMPRODUCT(($A131=$A$61:$A$95)*$I$61:$I$95)*((SUMPRODUCT((C$100&gt;=YEAR($F$5:$F$43))*$G$5:$G$43)/$K$58)*100%)*(SUMPRODUCT(($A131=$Y$5:$Y$43)*(C$100&gt;=YEAR($F$5:$F$43))*$G$5:$G$43)/SUMPRODUCT((C$100&gt;=YEAR($F$5:$F$43))*$G$5:$G$43)),IF(B131&gt;0,B131/(1+lgh_equity!C$24),0))</f>
        <v>6.4129999999999994E-3</v>
      </c>
      <c r="D131" s="196">
        <f t="array" ref="D131">IF(SUMPRODUCT(($A131=$Y$5:$Y$43)*(D$100=YEAR($F$5:$F$43)))&gt;=1,SUMPRODUCT(($A131=$A$61:$A$95)*$I$61:$I$95)*((SUMPRODUCT((D$100&gt;=YEAR($F$5:$F$43))*$G$5:$G$43)/$K$58)*100%)*(SUMPRODUCT(($A131=$Y$5:$Y$43)*(D$100&gt;=YEAR($F$5:$F$43))*$G$5:$G$43)/SUMPRODUCT((D$100&gt;=YEAR($F$5:$F$43))*$G$5:$G$43)),IF(C131&gt;0,C131/(1+lgh_equity!D$24),0))</f>
        <v>6.4129999999999994E-3</v>
      </c>
      <c r="E131" s="196">
        <f t="array" ref="E131">IF(SUMPRODUCT(($A131=$Y$5:$Y$43)*(E$100=YEAR($F$5:$F$43)))&gt;=1,SUMPRODUCT(($A131=$A$61:$A$95)*$I$61:$I$95)*((SUMPRODUCT((E$100&gt;=YEAR($F$5:$F$43))*$G$5:$G$43)/$K$58)*100%)*(SUMPRODUCT(($A131=$Y$5:$Y$43)*(E$100&gt;=YEAR($F$5:$F$43))*$G$5:$G$43)/SUMPRODUCT((E$100&gt;=YEAR($F$5:$F$43))*$G$5:$G$43)),IF(D131&gt;0,D131/(1+lgh_equity!E$24),0))</f>
        <v>6.4129999999999994E-3</v>
      </c>
      <c r="F131" s="196">
        <f t="array" ref="F131">IF(SUMPRODUCT(($A131=$Y$5:$Y$43)*(F$100=YEAR($F$5:$F$43)))&gt;=1,SUMPRODUCT(($A131=$A$61:$A$95)*$I$61:$I$95)*((SUMPRODUCT((F$100&gt;=YEAR($F$5:$F$43))*$G$5:$G$43)/$K$58)*100%)*(SUMPRODUCT(($A131=$Y$5:$Y$43)*(F$100&gt;=YEAR($F$5:$F$43))*$G$5:$G$43)/SUMPRODUCT((F$100&gt;=YEAR($F$5:$F$43))*$G$5:$G$43)),IF(E131&gt;0,E131/(1+lgh_equity!F$24),0))</f>
        <v>6.4129999999999994E-3</v>
      </c>
      <c r="G131" s="1758">
        <f t="array" ref="G131">IF(SUMPRODUCT(($A131=$Y$5:$Y$43)*(G$100=YEAR($F$5:$F$43)))&gt;=1,SUMPRODUCT(($A131=$A$61:$A$95)*$I$61:$I$95)*((SUMPRODUCT((G$100&gt;=YEAR($F$5:$F$43))*$G$5:$G$43)/$K$58)*100%)*(SUMPRODUCT(($A131=$Y$5:$Y$43)*(G$100&gt;=YEAR($F$5:$F$43))*$G$5:$G$43)/SUMPRODUCT((G$100&gt;=YEAR($F$5:$F$43))*$G$5:$G$43)),IF(F131&gt;0,F131/(1+lgh_equity!G$24),0))</f>
        <v>6.4129999999999994E-3</v>
      </c>
      <c r="H131" s="1758">
        <f t="array" ref="H131">IF(SUMPRODUCT(($A131=$Y$5:$Y$43)*(H$100=YEAR($F$5:$F$43)))&gt;=1,SUMPRODUCT(($A131=$A$61:$A$95)*$I$61:$I$95)*((SUMPRODUCT((H$100&gt;=YEAR($F$5:$F$43))*$G$5:$G$43)/$K$58)*100%)*(SUMPRODUCT(($A131=$Y$5:$Y$43)*(H$100&gt;=YEAR($F$5:$F$43))*$G$5:$G$43)/SUMPRODUCT((H$100&gt;=YEAR($F$5:$F$43))*$G$5:$G$43)),IF(G131&gt;0,G131/(1+lgh_equity!H$24),0))</f>
        <v>6.4129999999999994E-3</v>
      </c>
      <c r="I131" s="1773">
        <f t="array" ref="I131">IF(SUMPRODUCT(($A131=$Y$5:$Y$43)*(I$100=YEAR($F$5:$F$43)))&gt;=1,SUMPRODUCT(($A131=$A$61:$A$95)*$I$61:$I$95)*((SUMPRODUCT((I$100&gt;=YEAR($F$5:$F$43))*$G$5:$G$43)/$K$58)*100%)*(SUMPRODUCT(($A131=$Y$5:$Y$43)*(I$100&gt;=YEAR($F$5:$F$43))*$G$5:$G$43)/SUMPRODUCT((I$100&gt;=YEAR($F$5:$F$43))*$G$5:$G$43)),IF(H131&gt;0,H131/(1+lgh_equity!I$24),0))</f>
        <v>6.4129999999999994E-3</v>
      </c>
      <c r="J131" s="1773">
        <f t="array" ref="J131">IF(SUMPRODUCT(($A131=$Y$5:$Y$43)*(J$100=YEAR($F$5:$F$43)))&gt;=1,SUMPRODUCT(($A131=$A$61:$A$95)*$I$61:$I$95)*((SUMPRODUCT((J$100&gt;=YEAR($F$5:$F$43))*$G$5:$G$43)/$K$58)*100%)*(SUMPRODUCT(($A131=$Y$5:$Y$43)*(J$100&gt;=YEAR($F$5:$F$43))*$G$5:$G$43)/SUMPRODUCT((J$100&gt;=YEAR($F$5:$F$43))*$G$5:$G$43)),IF(I131&gt;0,I131/(1+lgh_equity!J$24),0))</f>
        <v>6.4129999999999994E-3</v>
      </c>
      <c r="K131" s="1788">
        <f t="array" ref="K131">IF(SUMPRODUCT(($A131=$Y$5:$Y$43)*(K$100=YEAR($F$5:$F$43)))&gt;=1,SUMPRODUCT(($A131=$A$61:$A$95)*$I$61:$I$95)*((SUMPRODUCT((K$100&gt;=YEAR($F$5:$F$43))*$G$5:$G$43)/$K$58)*100%)*(SUMPRODUCT(($A131=$Y$5:$Y$43)*(K$100&gt;=YEAR($F$5:$F$43))*$G$5:$G$43)/SUMPRODUCT((K$100&gt;=YEAR($F$5:$F$43))*$G$5:$G$43)),IF(J131&gt;0,J131/(1+lgh_equity!K$24),0))</f>
        <v>6.4129999999999994E-3</v>
      </c>
      <c r="L131" s="1788">
        <f t="array" ref="L131">IF(SUMPRODUCT(($A131=$Y$5:$Y$43)*(L$100=YEAR($F$5:$F$43)))&gt;=1,SUMPRODUCT(($A131=$A$61:$A$95)*$I$61:$I$95)*((SUMPRODUCT((L$100&gt;=YEAR($F$5:$F$43))*$G$5:$G$43)/$K$58)*100%)*(SUMPRODUCT(($A131=$Y$5:$Y$43)*(L$100&gt;=YEAR($F$5:$F$43))*$G$5:$G$43)/SUMPRODUCT((L$100&gt;=YEAR($F$5:$F$43))*$G$5:$G$43)),IF(K131&gt;0,K131/(1+lgh_equity!L$24),0))</f>
        <v>6.4129999999999994E-3</v>
      </c>
      <c r="M131" s="1788">
        <f t="array" ref="M131">IF(SUMPRODUCT(($A131=$Y$5:$Y$43)*(M$100=YEAR($F$5:$F$43)))&gt;=1,SUMPRODUCT(($A131=$A$61:$A$95)*$I$61:$I$95)*((SUMPRODUCT((M$100&gt;=YEAR($F$5:$F$43))*$G$5:$G$43)/$K$58)*100%)*(SUMPRODUCT(($A131=$Y$5:$Y$43)*(M$100&gt;=YEAR($F$5:$F$43))*$G$5:$G$43)/SUMPRODUCT((M$100&gt;=YEAR($F$5:$F$43))*$G$5:$G$43)),IF(L131&gt;0,L131/(1+lgh_equity!M$24),0))</f>
        <v>6.4129999999999994E-3</v>
      </c>
      <c r="N131" s="1773">
        <f t="array" ref="N131">IF(SUMPRODUCT(($A131=$Y$5:$Y$43)*(N$100=YEAR($F$5:$F$43)))&gt;=1,SUMPRODUCT(($A131=$A$61:$A$95)*$I$61:$I$95)*((SUMPRODUCT((N$100&gt;=YEAR($F$5:$F$43))*$G$5:$G$43)/$K$58)*100%)*(SUMPRODUCT(($A131=$Y$5:$Y$43)*(N$100&gt;=YEAR($F$5:$F$43))*$G$5:$G$43)/SUMPRODUCT((N$100&gt;=YEAR($F$5:$F$43))*$G$5:$G$43)),IF(M131&gt;0,M131/(1+lgh_equity!N$24),0))</f>
        <v>6.4129999999999994E-3</v>
      </c>
      <c r="O131" s="1781"/>
      <c r="P131" s="1781"/>
      <c r="Q131" s="1781"/>
      <c r="R131" s="248"/>
      <c r="S131" s="248"/>
      <c r="T131" s="248"/>
      <c r="U131" s="1743"/>
    </row>
    <row r="132" spans="1:21">
      <c r="A132" t="str">
        <f t="shared" si="19"/>
        <v>PE031 Edwin2 convert</v>
      </c>
      <c r="B132" s="2017">
        <v>0</v>
      </c>
      <c r="C132" s="196">
        <f t="array" ref="C132">IF(SUMPRODUCT(($A132=$Y$5:$Y$43)*(C$100=YEAR($F$5:$F$43)))&gt;=1,SUMPRODUCT(($A132=$A$61:$A$95)*$I$61:$I$95)*((SUMPRODUCT((C$100&gt;=YEAR($F$5:$F$43))*$G$5:$G$43)/$K$58)*100%)*(SUMPRODUCT(($A132=$Y$5:$Y$43)*(C$100&gt;=YEAR($F$5:$F$43))*$G$5:$G$43)/SUMPRODUCT((C$100&gt;=YEAR($F$5:$F$43))*$G$5:$G$43)),IF(B132&gt;0,B132/(1+lgh_equity!C$24),0))</f>
        <v>1.2719999999999999E-3</v>
      </c>
      <c r="D132" s="196">
        <f t="array" ref="D132">IF(SUMPRODUCT(($A132=$Y$5:$Y$43)*(D$100=YEAR($F$5:$F$43)))&gt;=1,SUMPRODUCT(($A132=$A$61:$A$95)*$I$61:$I$95)*((SUMPRODUCT((D$100&gt;=YEAR($F$5:$F$43))*$G$5:$G$43)/$K$58)*100%)*(SUMPRODUCT(($A132=$Y$5:$Y$43)*(D$100&gt;=YEAR($F$5:$F$43))*$G$5:$G$43)/SUMPRODUCT((D$100&gt;=YEAR($F$5:$F$43))*$G$5:$G$43)),IF(C132&gt;0,C132/(1+lgh_equity!D$24),0))</f>
        <v>1.2719999999999999E-3</v>
      </c>
      <c r="E132" s="196">
        <f t="array" ref="E132">IF(SUMPRODUCT(($A132=$Y$5:$Y$43)*(E$100=YEAR($F$5:$F$43)))&gt;=1,SUMPRODUCT(($A132=$A$61:$A$95)*$I$61:$I$95)*((SUMPRODUCT((E$100&gt;=YEAR($F$5:$F$43))*$G$5:$G$43)/$K$58)*100%)*(SUMPRODUCT(($A132=$Y$5:$Y$43)*(E$100&gt;=YEAR($F$5:$F$43))*$G$5:$G$43)/SUMPRODUCT((E$100&gt;=YEAR($F$5:$F$43))*$G$5:$G$43)),IF(D132&gt;0,D132/(1+lgh_equity!E$24),0))</f>
        <v>1.2719999999999999E-3</v>
      </c>
      <c r="F132" s="196">
        <f t="array" ref="F132">IF(SUMPRODUCT(($A132=$Y$5:$Y$43)*(F$100=YEAR($F$5:$F$43)))&gt;=1,SUMPRODUCT(($A132=$A$61:$A$95)*$I$61:$I$95)*((SUMPRODUCT((F$100&gt;=YEAR($F$5:$F$43))*$G$5:$G$43)/$K$58)*100%)*(SUMPRODUCT(($A132=$Y$5:$Y$43)*(F$100&gt;=YEAR($F$5:$F$43))*$G$5:$G$43)/SUMPRODUCT((F$100&gt;=YEAR($F$5:$F$43))*$G$5:$G$43)),IF(E132&gt;0,E132/(1+lgh_equity!F$24),0))</f>
        <v>1.2719999999999999E-3</v>
      </c>
      <c r="G132" s="1758">
        <f t="array" ref="G132">IF(SUMPRODUCT(($A132=$Y$5:$Y$43)*(G$100=YEAR($F$5:$F$43)))&gt;=1,SUMPRODUCT(($A132=$A$61:$A$95)*$I$61:$I$95)*((SUMPRODUCT((G$100&gt;=YEAR($F$5:$F$43))*$G$5:$G$43)/$K$58)*100%)*(SUMPRODUCT(($A132=$Y$5:$Y$43)*(G$100&gt;=YEAR($F$5:$F$43))*$G$5:$G$43)/SUMPRODUCT((G$100&gt;=YEAR($F$5:$F$43))*$G$5:$G$43)),IF(F132&gt;0,F132/(1+lgh_equity!G$24),0))</f>
        <v>1.2719999999999999E-3</v>
      </c>
      <c r="H132" s="1758">
        <f t="array" ref="H132">IF(SUMPRODUCT(($A132=$Y$5:$Y$43)*(H$100=YEAR($F$5:$F$43)))&gt;=1,SUMPRODUCT(($A132=$A$61:$A$95)*$I$61:$I$95)*((SUMPRODUCT((H$100&gt;=YEAR($F$5:$F$43))*$G$5:$G$43)/$K$58)*100%)*(SUMPRODUCT(($A132=$Y$5:$Y$43)*(H$100&gt;=YEAR($F$5:$F$43))*$G$5:$G$43)/SUMPRODUCT((H$100&gt;=YEAR($F$5:$F$43))*$G$5:$G$43)),IF(G132&gt;0,G132/(1+lgh_equity!H$24),0))</f>
        <v>1.2719999999999999E-3</v>
      </c>
      <c r="I132" s="1773">
        <f t="array" ref="I132">IF(SUMPRODUCT(($A132=$Y$5:$Y$43)*(I$100=YEAR($F$5:$F$43)))&gt;=1,SUMPRODUCT(($A132=$A$61:$A$95)*$I$61:$I$95)*((SUMPRODUCT((I$100&gt;=YEAR($F$5:$F$43))*$G$5:$G$43)/$K$58)*100%)*(SUMPRODUCT(($A132=$Y$5:$Y$43)*(I$100&gt;=YEAR($F$5:$F$43))*$G$5:$G$43)/SUMPRODUCT((I$100&gt;=YEAR($F$5:$F$43))*$G$5:$G$43)),IF(H132&gt;0,H132/(1+lgh_equity!I$24),0))</f>
        <v>1.2719999999999999E-3</v>
      </c>
      <c r="J132" s="1773">
        <f t="array" ref="J132">IF(SUMPRODUCT(($A132=$Y$5:$Y$43)*(J$100=YEAR($F$5:$F$43)))&gt;=1,SUMPRODUCT(($A132=$A$61:$A$95)*$I$61:$I$95)*((SUMPRODUCT((J$100&gt;=YEAR($F$5:$F$43))*$G$5:$G$43)/$K$58)*100%)*(SUMPRODUCT(($A132=$Y$5:$Y$43)*(J$100&gt;=YEAR($F$5:$F$43))*$G$5:$G$43)/SUMPRODUCT((J$100&gt;=YEAR($F$5:$F$43))*$G$5:$G$43)),IF(I132&gt;0,I132/(1+lgh_equity!J$24),0))</f>
        <v>1.2719999999999999E-3</v>
      </c>
      <c r="K132" s="1788">
        <f t="array" ref="K132">IF(SUMPRODUCT(($A132=$Y$5:$Y$43)*(K$100=YEAR($F$5:$F$43)))&gt;=1,SUMPRODUCT(($A132=$A$61:$A$95)*$I$61:$I$95)*((SUMPRODUCT((K$100&gt;=YEAR($F$5:$F$43))*$G$5:$G$43)/$K$58)*100%)*(SUMPRODUCT(($A132=$Y$5:$Y$43)*(K$100&gt;=YEAR($F$5:$F$43))*$G$5:$G$43)/SUMPRODUCT((K$100&gt;=YEAR($F$5:$F$43))*$G$5:$G$43)),IF(J132&gt;0,J132/(1+lgh_equity!K$24),0))</f>
        <v>1.2719999999999999E-3</v>
      </c>
      <c r="L132" s="1788">
        <f t="array" ref="L132">IF(SUMPRODUCT(($A132=$Y$5:$Y$43)*(L$100=YEAR($F$5:$F$43)))&gt;=1,SUMPRODUCT(($A132=$A$61:$A$95)*$I$61:$I$95)*((SUMPRODUCT((L$100&gt;=YEAR($F$5:$F$43))*$G$5:$G$43)/$K$58)*100%)*(SUMPRODUCT(($A132=$Y$5:$Y$43)*(L$100&gt;=YEAR($F$5:$F$43))*$G$5:$G$43)/SUMPRODUCT((L$100&gt;=YEAR($F$5:$F$43))*$G$5:$G$43)),IF(K132&gt;0,K132/(1+lgh_equity!L$24),0))</f>
        <v>1.2719999999999999E-3</v>
      </c>
      <c r="M132" s="1788">
        <f t="array" ref="M132">IF(SUMPRODUCT(($A132=$Y$5:$Y$43)*(M$100=YEAR($F$5:$F$43)))&gt;=1,SUMPRODUCT(($A132=$A$61:$A$95)*$I$61:$I$95)*((SUMPRODUCT((M$100&gt;=YEAR($F$5:$F$43))*$G$5:$G$43)/$K$58)*100%)*(SUMPRODUCT(($A132=$Y$5:$Y$43)*(M$100&gt;=YEAR($F$5:$F$43))*$G$5:$G$43)/SUMPRODUCT((M$100&gt;=YEAR($F$5:$F$43))*$G$5:$G$43)),IF(L132&gt;0,L132/(1+lgh_equity!M$24),0))</f>
        <v>1.2719999999999999E-3</v>
      </c>
      <c r="N132" s="1773">
        <f t="array" ref="N132">IF(SUMPRODUCT(($A132=$Y$5:$Y$43)*(N$100=YEAR($F$5:$F$43)))&gt;=1,SUMPRODUCT(($A132=$A$61:$A$95)*$I$61:$I$95)*((SUMPRODUCT((N$100&gt;=YEAR($F$5:$F$43))*$G$5:$G$43)/$K$58)*100%)*(SUMPRODUCT(($A132=$Y$5:$Y$43)*(N$100&gt;=YEAR($F$5:$F$43))*$G$5:$G$43)/SUMPRODUCT((N$100&gt;=YEAR($F$5:$F$43))*$G$5:$G$43)),IF(M132&gt;0,M132/(1+lgh_equity!N$24),0))</f>
        <v>1.2719999999999999E-3</v>
      </c>
      <c r="O132" s="1781"/>
      <c r="P132" s="1781"/>
      <c r="Q132" s="1781"/>
      <c r="R132" s="248"/>
      <c r="S132" s="248"/>
      <c r="T132" s="248"/>
      <c r="U132" s="1743"/>
    </row>
    <row r="133" spans="1:21">
      <c r="A133" t="str">
        <f t="shared" si="19"/>
        <v>PE032 Buddy</v>
      </c>
      <c r="B133" s="2017">
        <v>0</v>
      </c>
      <c r="C133" s="196">
        <f t="array" ref="C133">IF(SUMPRODUCT(($A133=$Y$5:$Y$43)*(C$100=YEAR($F$5:$F$43)))&gt;=1,SUMPRODUCT(($A133=$A$61:$A$95)*$I$61:$I$95)*((SUMPRODUCT((C$100&gt;=YEAR($F$5:$F$43))*$G$5:$G$43)/$K$58)*100%)*(SUMPRODUCT(($A133=$Y$5:$Y$43)*(C$100&gt;=YEAR($F$5:$F$43))*$G$5:$G$43)/SUMPRODUCT((C$100&gt;=YEAR($F$5:$F$43))*$G$5:$G$43)),IF(B133&gt;0,B133/(1+lgh_equity!C$24),0))</f>
        <v>0</v>
      </c>
      <c r="D133" s="196">
        <f t="array" ref="D133">IF(SUMPRODUCT(($A133=$Y$5:$Y$43)*(D$100=YEAR($F$5:$F$43)))&gt;=1,SUMPRODUCT(($A133=$A$61:$A$95)*$I$61:$I$95)*((SUMPRODUCT((D$100&gt;=YEAR($F$5:$F$43))*$G$5:$G$43)/$K$58)*100%)*(SUMPRODUCT(($A133=$Y$5:$Y$43)*(D$100&gt;=YEAR($F$5:$F$43))*$G$5:$G$43)/SUMPRODUCT((D$100&gt;=YEAR($F$5:$F$43))*$G$5:$G$43)),IF(C133&gt;0,C133/(1+lgh_equity!D$24),0))</f>
        <v>0</v>
      </c>
      <c r="E133" s="196">
        <f t="array" ref="E133">IF(SUMPRODUCT(($A133=$Y$5:$Y$43)*(E$100=YEAR($F$5:$F$43)))&gt;=1,SUMPRODUCT(($A133=$A$61:$A$95)*$I$61:$I$95)*((SUMPRODUCT((E$100&gt;=YEAR($F$5:$F$43))*$G$5:$G$43)/$K$58)*100%)*(SUMPRODUCT(($A133=$Y$5:$Y$43)*(E$100&gt;=YEAR($F$5:$F$43))*$G$5:$G$43)/SUMPRODUCT((E$100&gt;=YEAR($F$5:$F$43))*$G$5:$G$43)),IF(D133&gt;0,D133/(1+lgh_equity!E$24),0))</f>
        <v>0</v>
      </c>
      <c r="F133" s="196">
        <f t="array" ref="F133">IF(SUMPRODUCT(($A133=$Y$5:$Y$43)*(F$100=YEAR($F$5:$F$43)))&gt;=1,SUMPRODUCT(($A133=$A$61:$A$95)*$I$61:$I$95)*((SUMPRODUCT((F$100&gt;=YEAR($F$5:$F$43))*$G$5:$G$43)/$K$58)*100%)*(SUMPRODUCT(($A133=$Y$5:$Y$43)*(F$100&gt;=YEAR($F$5:$F$43))*$G$5:$G$43)/SUMPRODUCT((F$100&gt;=YEAR($F$5:$F$43))*$G$5:$G$43)),IF(E133&gt;0,E133/(1+lgh_equity!F$24),0))</f>
        <v>0</v>
      </c>
      <c r="G133" s="1758">
        <f t="array" ref="G133">IF(SUMPRODUCT(($A133=$Y$5:$Y$43)*(G$100=YEAR($F$5:$F$43)))&gt;=1,SUMPRODUCT(($A133=$A$61:$A$95)*$I$61:$I$95)*((SUMPRODUCT((G$100&gt;=YEAR($F$5:$F$43))*$G$5:$G$43)/$K$58)*100%)*(SUMPRODUCT(($A133=$Y$5:$Y$43)*(G$100&gt;=YEAR($F$5:$F$43))*$G$5:$G$43)/SUMPRODUCT((G$100&gt;=YEAR($F$5:$F$43))*$G$5:$G$43)),IF(F133&gt;0,F133/(1+lgh_equity!G$24),0))</f>
        <v>1.5899999999999998E-3</v>
      </c>
      <c r="H133" s="1758">
        <f t="array" ref="H133">IF(SUMPRODUCT(($A133=$Y$5:$Y$43)*(H$100=YEAR($F$5:$F$43)))&gt;=1,SUMPRODUCT(($A133=$A$61:$A$95)*$I$61:$I$95)*((SUMPRODUCT((H$100&gt;=YEAR($F$5:$F$43))*$G$5:$G$43)/$K$58)*100%)*(SUMPRODUCT(($A133=$Y$5:$Y$43)*(H$100&gt;=YEAR($F$5:$F$43))*$G$5:$G$43)/SUMPRODUCT((H$100&gt;=YEAR($F$5:$F$43))*$G$5:$G$43)),IF(G133&gt;0,G133/(1+lgh_equity!H$24),0))</f>
        <v>1.5899999999999998E-3</v>
      </c>
      <c r="I133" s="1773">
        <f t="array" ref="I133">IF(SUMPRODUCT(($A133=$Y$5:$Y$43)*(I$100=YEAR($F$5:$F$43)))&gt;=1,SUMPRODUCT(($A133=$A$61:$A$95)*$I$61:$I$95)*((SUMPRODUCT((I$100&gt;=YEAR($F$5:$F$43))*$G$5:$G$43)/$K$58)*100%)*(SUMPRODUCT(($A133=$Y$5:$Y$43)*(I$100&gt;=YEAR($F$5:$F$43))*$G$5:$G$43)/SUMPRODUCT((I$100&gt;=YEAR($F$5:$F$43))*$G$5:$G$43)),IF(H133&gt;0,H133/(1+lgh_equity!I$24),0))</f>
        <v>1.5899999999999998E-3</v>
      </c>
      <c r="J133" s="1773">
        <f t="array" ref="J133">IF(SUMPRODUCT(($A133=$Y$5:$Y$43)*(J$100=YEAR($F$5:$F$43)))&gt;=1,SUMPRODUCT(($A133=$A$61:$A$95)*$I$61:$I$95)*((SUMPRODUCT((J$100&gt;=YEAR($F$5:$F$43))*$G$5:$G$43)/$K$58)*100%)*(SUMPRODUCT(($A133=$Y$5:$Y$43)*(J$100&gt;=YEAR($F$5:$F$43))*$G$5:$G$43)/SUMPRODUCT((J$100&gt;=YEAR($F$5:$F$43))*$G$5:$G$43)),IF(I133&gt;0,I133/(1+lgh_equity!J$24),0))</f>
        <v>1.5899999999999998E-3</v>
      </c>
      <c r="K133" s="1788">
        <f t="array" ref="K133">IF(SUMPRODUCT(($A133=$Y$5:$Y$43)*(K$100=YEAR($F$5:$F$43)))&gt;=1,SUMPRODUCT(($A133=$A$61:$A$95)*$I$61:$I$95)*((SUMPRODUCT((K$100&gt;=YEAR($F$5:$F$43))*$G$5:$G$43)/$K$58)*100%)*(SUMPRODUCT(($A133=$Y$5:$Y$43)*(K$100&gt;=YEAR($F$5:$F$43))*$G$5:$G$43)/SUMPRODUCT((K$100&gt;=YEAR($F$5:$F$43))*$G$5:$G$43)),IF(J133&gt;0,J133/(1+lgh_equity!K$24),0))</f>
        <v>1.5899999999999998E-3</v>
      </c>
      <c r="L133" s="1788">
        <f t="array" ref="L133">IF(SUMPRODUCT(($A133=$Y$5:$Y$43)*(L$100=YEAR($F$5:$F$43)))&gt;=1,SUMPRODUCT(($A133=$A$61:$A$95)*$I$61:$I$95)*((SUMPRODUCT((L$100&gt;=YEAR($F$5:$F$43))*$G$5:$G$43)/$K$58)*100%)*(SUMPRODUCT(($A133=$Y$5:$Y$43)*(L$100&gt;=YEAR($F$5:$F$43))*$G$5:$G$43)/SUMPRODUCT((L$100&gt;=YEAR($F$5:$F$43))*$G$5:$G$43)),IF(K133&gt;0,K133/(1+lgh_equity!L$24),0))</f>
        <v>1.5899999999999998E-3</v>
      </c>
      <c r="M133" s="1788">
        <f t="array" ref="M133">IF(SUMPRODUCT(($A133=$Y$5:$Y$43)*(M$100=YEAR($F$5:$F$43)))&gt;=1,SUMPRODUCT(($A133=$A$61:$A$95)*$I$61:$I$95)*((SUMPRODUCT((M$100&gt;=YEAR($F$5:$F$43))*$G$5:$G$43)/$K$58)*100%)*(SUMPRODUCT(($A133=$Y$5:$Y$43)*(M$100&gt;=YEAR($F$5:$F$43))*$G$5:$G$43)/SUMPRODUCT((M$100&gt;=YEAR($F$5:$F$43))*$G$5:$G$43)),IF(L133&gt;0,L133/(1+lgh_equity!M$24),0))</f>
        <v>1.5899999999999998E-3</v>
      </c>
      <c r="N133" s="1773">
        <f t="array" ref="N133">IF(SUMPRODUCT(($A133=$Y$5:$Y$43)*(N$100=YEAR($F$5:$F$43)))&gt;=1,SUMPRODUCT(($A133=$A$61:$A$95)*$I$61:$I$95)*((SUMPRODUCT((N$100&gt;=YEAR($F$5:$F$43))*$G$5:$G$43)/$K$58)*100%)*(SUMPRODUCT(($A133=$Y$5:$Y$43)*(N$100&gt;=YEAR($F$5:$F$43))*$G$5:$G$43)/SUMPRODUCT((N$100&gt;=YEAR($F$5:$F$43))*$G$5:$G$43)),IF(M133&gt;0,M133/(1+lgh_equity!N$24),0))</f>
        <v>1.5899999999999998E-3</v>
      </c>
      <c r="O133" s="1781"/>
      <c r="P133" s="1781"/>
      <c r="Q133" s="1781"/>
      <c r="R133" s="248"/>
      <c r="S133" s="248"/>
      <c r="T133" s="248"/>
      <c r="U133" s="1743"/>
    </row>
    <row r="134" spans="1:21">
      <c r="A134" t="str">
        <f t="shared" si="19"/>
        <v>PE033 PFNGT LLC</v>
      </c>
      <c r="B134" s="2017">
        <v>0</v>
      </c>
      <c r="C134" s="196">
        <f t="array" ref="C134">IF(SUMPRODUCT(($A134=$Y$5:$Y$43)*(C$100=YEAR($F$5:$F$43)))&gt;=1,SUMPRODUCT(($A134=$A$61:$A$95)*$I$61:$I$95)*((SUMPRODUCT((C$100&gt;=YEAR($F$5:$F$43))*$G$5:$G$43)/$K$58)*100%)*(SUMPRODUCT(($A134=$Y$5:$Y$43)*(C$100&gt;=YEAR($F$5:$F$43))*$G$5:$G$43)/SUMPRODUCT((C$100&gt;=YEAR($F$5:$F$43))*$G$5:$G$43)),IF(B134&gt;0,B134/(1+lgh_equity!C$24),0))</f>
        <v>0</v>
      </c>
      <c r="D134" s="196">
        <f t="array" ref="D134">IF(SUMPRODUCT(($A134=$Y$5:$Y$43)*(D$100=YEAR($F$5:$F$43)))&gt;=1,SUMPRODUCT(($A134=$A$61:$A$95)*$I$61:$I$95)*((SUMPRODUCT((D$100&gt;=YEAR($F$5:$F$43))*$G$5:$G$43)/$K$58)*100%)*(SUMPRODUCT(($A134=$Y$5:$Y$43)*(D$100&gt;=YEAR($F$5:$F$43))*$G$5:$G$43)/SUMPRODUCT((D$100&gt;=YEAR($F$5:$F$43))*$G$5:$G$43)),IF(C134&gt;0,C134/(1+lgh_equity!D$24),0))</f>
        <v>0</v>
      </c>
      <c r="E134" s="196">
        <f t="array" ref="E134">IF(SUMPRODUCT(($A134=$Y$5:$Y$43)*(E$100=YEAR($F$5:$F$43)))&gt;=1,SUMPRODUCT(($A134=$A$61:$A$95)*$I$61:$I$95)*((SUMPRODUCT((E$100&gt;=YEAR($F$5:$F$43))*$G$5:$G$43)/$K$58)*100%)*(SUMPRODUCT(($A134=$Y$5:$Y$43)*(E$100&gt;=YEAR($F$5:$F$43))*$G$5:$G$43)/SUMPRODUCT((E$100&gt;=YEAR($F$5:$F$43))*$G$5:$G$43)),IF(D134&gt;0,D134/(1+lgh_equity!E$24),0))</f>
        <v>0</v>
      </c>
      <c r="F134" s="196">
        <f t="array" ref="F134">IF(SUMPRODUCT(($A134=$Y$5:$Y$43)*(F$100=YEAR($F$5:$F$43)))&gt;=1,SUMPRODUCT(($A134=$A$61:$A$95)*$I$61:$I$95)*((SUMPRODUCT((F$100&gt;=YEAR($F$5:$F$43))*$G$5:$G$43)/$K$58)*100%)*(SUMPRODUCT(($A134=$Y$5:$Y$43)*(F$100&gt;=YEAR($F$5:$F$43))*$G$5:$G$43)/SUMPRODUCT((F$100&gt;=YEAR($F$5:$F$43))*$G$5:$G$43)),IF(E134&gt;0,E134/(1+lgh_equity!F$24),0))</f>
        <v>0</v>
      </c>
      <c r="G134" s="1758">
        <f t="array" ref="G134">IF(SUMPRODUCT(($A134=$Y$5:$Y$43)*(G$100=YEAR($F$5:$F$43)))&gt;=1,SUMPRODUCT(($A134=$A$61:$A$95)*$I$61:$I$95)*((SUMPRODUCT((G$100&gt;=YEAR($F$5:$F$43))*$G$5:$G$43)/$K$58)*100%)*(SUMPRODUCT(($A134=$Y$5:$Y$43)*(G$100&gt;=YEAR($F$5:$F$43))*$G$5:$G$43)/SUMPRODUCT((G$100&gt;=YEAR($F$5:$F$43))*$G$5:$G$43)),IF(F134&gt;0,F134/(1+lgh_equity!G$24),0))</f>
        <v>0</v>
      </c>
      <c r="H134" s="1758">
        <f t="array" ref="H134">IF(SUMPRODUCT(($A134=$Y$5:$Y$43)*(H$100=YEAR($F$5:$F$43)))&gt;=1,SUMPRODUCT(($A134=$A$61:$A$95)*$I$61:$I$95)*((SUMPRODUCT((H$100&gt;=YEAR($F$5:$F$43))*$G$5:$G$43)/$K$58)*100%)*(SUMPRODUCT(($A134=$Y$5:$Y$43)*(H$100&gt;=YEAR($F$5:$F$43))*$G$5:$G$43)/SUMPRODUCT((H$100&gt;=YEAR($F$5:$F$43))*$G$5:$G$43)),IF(G134&gt;0,G134/(1+lgh_equity!H$24),0))</f>
        <v>0</v>
      </c>
      <c r="I134" s="1773">
        <f t="array" ref="I134">IF(SUMPRODUCT(($A134=$Y$5:$Y$43)*(I$100=YEAR($F$5:$F$43)))&gt;=1,SUMPRODUCT(($A134=$A$61:$A$95)*$I$61:$I$95)*((SUMPRODUCT((I$100&gt;=YEAR($F$5:$F$43))*$G$5:$G$43)/$K$58)*100%)*(SUMPRODUCT(($A134=$Y$5:$Y$43)*(I$100&gt;=YEAR($F$5:$F$43))*$G$5:$G$43)/SUMPRODUCT((I$100&gt;=YEAR($F$5:$F$43))*$G$5:$G$43)),IF(H134&gt;0,H134/(1+lgh_equity!I$24),0))</f>
        <v>0</v>
      </c>
      <c r="J134" s="1773">
        <f t="array" ref="J134">IF(SUMPRODUCT(($A134=$Y$5:$Y$43)*(J$100=YEAR($F$5:$F$43)))&gt;=1,SUMPRODUCT(($A134=$A$61:$A$95)*$I$61:$I$95)*((SUMPRODUCT((J$100&gt;=YEAR($F$5:$F$43))*$G$5:$G$43)/$K$58)*100%)*(SUMPRODUCT(($A134=$Y$5:$Y$43)*(J$100&gt;=YEAR($F$5:$F$43))*$G$5:$G$43)/SUMPRODUCT((J$100&gt;=YEAR($F$5:$F$43))*$G$5:$G$43)),IF(I134&gt;0,I134/(1+lgh_equity!J$24),0))</f>
        <v>0</v>
      </c>
      <c r="K134" s="1788">
        <f t="array" ref="K134">IF(SUMPRODUCT(($A134=$Y$5:$Y$43)*(K$100=YEAR($F$5:$F$43)))&gt;=1,SUMPRODUCT(($A134=$A$61:$A$95)*$I$61:$I$95)*((SUMPRODUCT((K$100&gt;=YEAR($F$5:$F$43))*$G$5:$G$43)/$K$58)*100%)*(SUMPRODUCT(($A134=$Y$5:$Y$43)*(K$100&gt;=YEAR($F$5:$F$43))*$G$5:$G$43)/SUMPRODUCT((K$100&gt;=YEAR($F$5:$F$43))*$G$5:$G$43)),IF(J134&gt;0,J134/(1+lgh_equity!K$24),0))</f>
        <v>0</v>
      </c>
      <c r="L134" s="1788">
        <f t="array" ref="L134">IF(SUMPRODUCT(($A134=$Y$5:$Y$43)*(L$100=YEAR($F$5:$F$43)))&gt;=1,SUMPRODUCT(($A134=$A$61:$A$95)*$I$61:$I$95)*((SUMPRODUCT((L$100&gt;=YEAR($F$5:$F$43))*$G$5:$G$43)/$K$58)*100%)*(SUMPRODUCT(($A134=$Y$5:$Y$43)*(L$100&gt;=YEAR($F$5:$F$43))*$G$5:$G$43)/SUMPRODUCT((L$100&gt;=YEAR($F$5:$F$43))*$G$5:$G$43)),IF(K134&gt;0,K134/(1+lgh_equity!L$24),0))</f>
        <v>0</v>
      </c>
      <c r="M134" s="1788">
        <f t="array" ref="M134">IF(SUMPRODUCT(($A134=$Y$5:$Y$43)*(M$100=YEAR($F$5:$F$43)))&gt;=1,SUMPRODUCT(($A134=$A$61:$A$95)*$I$61:$I$95)*((SUMPRODUCT((M$100&gt;=YEAR($F$5:$F$43))*$G$5:$G$43)/$K$58)*100%)*(SUMPRODUCT(($A134=$Y$5:$Y$43)*(M$100&gt;=YEAR($F$5:$F$43))*$G$5:$G$43)/SUMPRODUCT((M$100&gt;=YEAR($F$5:$F$43))*$G$5:$G$43)),IF(L134&gt;0,L134/(1+lgh_equity!M$24),0))</f>
        <v>0</v>
      </c>
      <c r="N134" s="1773">
        <f t="array" ref="N134">IF(SUMPRODUCT(($A134=$Y$5:$Y$43)*(N$100=YEAR($F$5:$F$43)))&gt;=1,SUMPRODUCT(($A134=$A$61:$A$95)*$I$61:$I$95)*((SUMPRODUCT((N$100&gt;=YEAR($F$5:$F$43))*$G$5:$G$43)/$K$58)*100%)*(SUMPRODUCT(($A134=$Y$5:$Y$43)*(N$100&gt;=YEAR($F$5:$F$43))*$G$5:$G$43)/SUMPRODUCT((N$100&gt;=YEAR($F$5:$F$43))*$G$5:$G$43)),IF(M134&gt;0,M134/(1+lgh_equity!N$24),0))</f>
        <v>0</v>
      </c>
      <c r="O134" s="1781"/>
      <c r="P134" s="1781"/>
      <c r="Q134" s="1781"/>
      <c r="R134" s="248"/>
      <c r="S134" s="248"/>
      <c r="T134" s="248"/>
      <c r="U134" s="1743"/>
    </row>
    <row r="135" spans="1:21">
      <c r="A135" t="str">
        <f t="shared" si="19"/>
        <v>PE034 Cambrian</v>
      </c>
      <c r="B135" s="2017">
        <v>0</v>
      </c>
      <c r="C135" s="196">
        <f t="array" ref="C135">IF(SUMPRODUCT(($A135=$Y$5:$Y$43)*(C$100=YEAR($F$5:$F$43)))&gt;=1,SUMPRODUCT(($A135=$A$61:$A$95)*$I$61:$I$95)*((SUMPRODUCT((C$100&gt;=YEAR($F$5:$F$43))*$G$5:$G$43)/$K$58)*100%)*(SUMPRODUCT(($A135=$Y$5:$Y$43)*(C$100&gt;=YEAR($F$5:$F$43))*$G$5:$G$43)/SUMPRODUCT((C$100&gt;=YEAR($F$5:$F$43))*$G$5:$G$43)),IF(B135&gt;0,B135/(1+lgh_equity!C$24),0))</f>
        <v>0</v>
      </c>
      <c r="D135" s="196">
        <f t="array" ref="D135">IF(SUMPRODUCT(($A135=$Y$5:$Y$43)*(D$100=YEAR($F$5:$F$43)))&gt;=1,SUMPRODUCT(($A135=$A$61:$A$95)*$I$61:$I$95)*((SUMPRODUCT((D$100&gt;=YEAR($F$5:$F$43))*$G$5:$G$43)/$K$58)*100%)*(SUMPRODUCT(($A135=$Y$5:$Y$43)*(D$100&gt;=YEAR($F$5:$F$43))*$G$5:$G$43)/SUMPRODUCT((D$100&gt;=YEAR($F$5:$F$43))*$G$5:$G$43)),IF(C135&gt;0,C135/(1+lgh_equity!D$24),0))</f>
        <v>0</v>
      </c>
      <c r="E135" s="196">
        <f t="array" ref="E135">IF(SUMPRODUCT(($A135=$Y$5:$Y$43)*(E$100=YEAR($F$5:$F$43)))&gt;=1,SUMPRODUCT(($A135=$A$61:$A$95)*$I$61:$I$95)*((SUMPRODUCT((E$100&gt;=YEAR($F$5:$F$43))*$G$5:$G$43)/$K$58)*100%)*(SUMPRODUCT(($A135=$Y$5:$Y$43)*(E$100&gt;=YEAR($F$5:$F$43))*$G$5:$G$43)/SUMPRODUCT((E$100&gt;=YEAR($F$5:$F$43))*$G$5:$G$43)),IF(D135&gt;0,D135/(1+lgh_equity!E$24),0))</f>
        <v>0</v>
      </c>
      <c r="F135" s="196">
        <f t="array" ref="F135">IF(SUMPRODUCT(($A135=$Y$5:$Y$43)*(F$100=YEAR($F$5:$F$43)))&gt;=1,SUMPRODUCT(($A135=$A$61:$A$95)*$I$61:$I$95)*((SUMPRODUCT((F$100&gt;=YEAR($F$5:$F$43))*$G$5:$G$43)/$K$58)*100%)*(SUMPRODUCT(($A135=$Y$5:$Y$43)*(F$100&gt;=YEAR($F$5:$F$43))*$G$5:$G$43)/SUMPRODUCT((F$100&gt;=YEAR($F$5:$F$43))*$G$5:$G$43)),IF(E135&gt;0,E135/(1+lgh_equity!F$24),0))</f>
        <v>0</v>
      </c>
      <c r="G135" s="1758">
        <f t="array" ref="G135">IF(SUMPRODUCT(($A135=$Y$5:$Y$43)*(G$100=YEAR($F$5:$F$43)))&gt;=1,SUMPRODUCT(($A135=$A$61:$A$95)*$I$61:$I$95)*((SUMPRODUCT((G$100&gt;=YEAR($F$5:$F$43))*$G$5:$G$43)/$K$58)*100%)*(SUMPRODUCT(($A135=$Y$5:$Y$43)*(G$100&gt;=YEAR($F$5:$F$43))*$G$5:$G$43)/SUMPRODUCT((G$100&gt;=YEAR($F$5:$F$43))*$G$5:$G$43)),IF(F135&gt;0,F135/(1+lgh_equity!G$24),0))</f>
        <v>0</v>
      </c>
      <c r="H135" s="1758">
        <f t="array" ref="H135">IF(SUMPRODUCT(($A135=$Y$5:$Y$43)*(H$100=YEAR($F$5:$F$43)))&gt;=1,SUMPRODUCT(($A135=$A$61:$A$95)*$I$61:$I$95)*((SUMPRODUCT((H$100&gt;=YEAR($F$5:$F$43))*$G$5:$G$43)/$K$58)*100%)*(SUMPRODUCT(($A135=$Y$5:$Y$43)*(H$100&gt;=YEAR($F$5:$F$43))*$G$5:$G$43)/SUMPRODUCT((H$100&gt;=YEAR($F$5:$F$43))*$G$5:$G$43)),IF(G135&gt;0,G135/(1+lgh_equity!H$24),0))</f>
        <v>0</v>
      </c>
      <c r="I135" s="1773">
        <f t="array" ref="I135">IF(SUMPRODUCT(($A135=$Y$5:$Y$43)*(I$100=YEAR($F$5:$F$43)))&gt;=1,SUMPRODUCT(($A135=$A$61:$A$95)*$I$61:$I$95)*((SUMPRODUCT((I$100&gt;=YEAR($F$5:$F$43))*$G$5:$G$43)/$K$58)*100%)*(SUMPRODUCT(($A135=$Y$5:$Y$43)*(I$100&gt;=YEAR($F$5:$F$43))*$G$5:$G$43)/SUMPRODUCT((I$100&gt;=YEAR($F$5:$F$43))*$G$5:$G$43)),IF(H135&gt;0,H135/(1+lgh_equity!I$24),0))</f>
        <v>0</v>
      </c>
      <c r="J135" s="1773">
        <f t="array" ref="J135">IF(SUMPRODUCT(($A135=$Y$5:$Y$43)*(J$100=YEAR($F$5:$F$43)))&gt;=1,SUMPRODUCT(($A135=$A$61:$A$95)*$I$61:$I$95)*((SUMPRODUCT((J$100&gt;=YEAR($F$5:$F$43))*$G$5:$G$43)/$K$58)*100%)*(SUMPRODUCT(($A135=$Y$5:$Y$43)*(J$100&gt;=YEAR($F$5:$F$43))*$G$5:$G$43)/SUMPRODUCT((J$100&gt;=YEAR($F$5:$F$43))*$G$5:$G$43)),IF(I135&gt;0,I135/(1+lgh_equity!J$24),0))</f>
        <v>0</v>
      </c>
      <c r="K135" s="1788">
        <f t="array" ref="K135">IF(SUMPRODUCT(($A135=$Y$5:$Y$43)*(K$100=YEAR($F$5:$F$43)))&gt;=1,SUMPRODUCT(($A135=$A$61:$A$95)*$I$61:$I$95)*((SUMPRODUCT((K$100&gt;=YEAR($F$5:$F$43))*$G$5:$G$43)/$K$58)*100%)*(SUMPRODUCT(($A135=$Y$5:$Y$43)*(K$100&gt;=YEAR($F$5:$F$43))*$G$5:$G$43)/SUMPRODUCT((K$100&gt;=YEAR($F$5:$F$43))*$G$5:$G$43)),IF(J135&gt;0,J135/(1+lgh_equity!K$24),0))</f>
        <v>0</v>
      </c>
      <c r="L135" s="1788">
        <f t="array" ref="L135">IF(SUMPRODUCT(($A135=$Y$5:$Y$43)*(L$100=YEAR($F$5:$F$43)))&gt;=1,SUMPRODUCT(($A135=$A$61:$A$95)*$I$61:$I$95)*((SUMPRODUCT((L$100&gt;=YEAR($F$5:$F$43))*$G$5:$G$43)/$K$58)*100%)*(SUMPRODUCT(($A135=$Y$5:$Y$43)*(L$100&gt;=YEAR($F$5:$F$43))*$G$5:$G$43)/SUMPRODUCT((L$100&gt;=YEAR($F$5:$F$43))*$G$5:$G$43)),IF(K135&gt;0,K135/(1+lgh_equity!L$24),0))</f>
        <v>0</v>
      </c>
      <c r="M135" s="1788">
        <f t="array" ref="M135">IF(SUMPRODUCT(($A135=$Y$5:$Y$43)*(M$100=YEAR($F$5:$F$43)))&gt;=1,SUMPRODUCT(($A135=$A$61:$A$95)*$I$61:$I$95)*((SUMPRODUCT((M$100&gt;=YEAR($F$5:$F$43))*$G$5:$G$43)/$K$58)*100%)*(SUMPRODUCT(($A135=$Y$5:$Y$43)*(M$100&gt;=YEAR($F$5:$F$43))*$G$5:$G$43)/SUMPRODUCT((M$100&gt;=YEAR($F$5:$F$43))*$G$5:$G$43)),IF(L135&gt;0,L135/(1+lgh_equity!M$24),0))</f>
        <v>0</v>
      </c>
      <c r="N135" s="1773">
        <f t="array" ref="N135">IF(SUMPRODUCT(($A135=$Y$5:$Y$43)*(N$100=YEAR($F$5:$F$43)))&gt;=1,SUMPRODUCT(($A135=$A$61:$A$95)*$I$61:$I$95)*((SUMPRODUCT((N$100&gt;=YEAR($F$5:$F$43))*$G$5:$G$43)/$K$58)*100%)*(SUMPRODUCT(($A135=$Y$5:$Y$43)*(N$100&gt;=YEAR($F$5:$F$43))*$G$5:$G$43)/SUMPRODUCT((N$100&gt;=YEAR($F$5:$F$43))*$G$5:$G$43)),IF(M135&gt;0,M135/(1+lgh_equity!N$24),0))</f>
        <v>0</v>
      </c>
      <c r="O135" s="1781"/>
      <c r="P135" s="1781"/>
      <c r="Q135" s="1781"/>
      <c r="R135" s="248"/>
      <c r="S135" s="248"/>
      <c r="T135" s="248"/>
      <c r="U135" s="1743"/>
    </row>
    <row r="136" spans="1:21">
      <c r="A136" t="str">
        <f t="shared" si="19"/>
        <v>PE035 guy</v>
      </c>
      <c r="B136" s="2017">
        <v>0</v>
      </c>
      <c r="C136" s="196">
        <f t="array" ref="C136">IF(SUMPRODUCT(($A136=$Y$5:$Y$43)*(C$100=YEAR($F$5:$F$43)))&gt;=1,SUMPRODUCT(($A136=$A$61:$A$95)*$I$61:$I$95)*((SUMPRODUCT((C$100&gt;=YEAR($F$5:$F$43))*$G$5:$G$43)/$K$58)*100%)*(SUMPRODUCT(($A136=$Y$5:$Y$43)*(C$100&gt;=YEAR($F$5:$F$43))*$G$5:$G$43)/SUMPRODUCT((C$100&gt;=YEAR($F$5:$F$43))*$G$5:$G$43)),IF(B136&gt;0,B136/(1+lgh_equity!C$24),0))</f>
        <v>0</v>
      </c>
      <c r="D136" s="196">
        <f t="array" ref="D136">IF(SUMPRODUCT(($A136=$Y$5:$Y$43)*(D$100=YEAR($F$5:$F$43)))&gt;=1,SUMPRODUCT(($A136=$A$61:$A$95)*$I$61:$I$95)*((SUMPRODUCT((D$100&gt;=YEAR($F$5:$F$43))*$G$5:$G$43)/$K$58)*100%)*(SUMPRODUCT(($A136=$Y$5:$Y$43)*(D$100&gt;=YEAR($F$5:$F$43))*$G$5:$G$43)/SUMPRODUCT((D$100&gt;=YEAR($F$5:$F$43))*$G$5:$G$43)),IF(C136&gt;0,C136/(1+lgh_equity!D$24),0))</f>
        <v>0</v>
      </c>
      <c r="E136" s="196">
        <f t="array" ref="E136">IF(SUMPRODUCT(($A136=$Y$5:$Y$43)*(E$100=YEAR($F$5:$F$43)))&gt;=1,SUMPRODUCT(($A136=$A$61:$A$95)*$I$61:$I$95)*((SUMPRODUCT((E$100&gt;=YEAR($F$5:$F$43))*$G$5:$G$43)/$K$58)*100%)*(SUMPRODUCT(($A136=$Y$5:$Y$43)*(E$100&gt;=YEAR($F$5:$F$43))*$G$5:$G$43)/SUMPRODUCT((E$100&gt;=YEAR($F$5:$F$43))*$G$5:$G$43)),IF(D136&gt;0,D136/(1+lgh_equity!E$24),0))</f>
        <v>0</v>
      </c>
      <c r="F136" s="196">
        <f t="array" ref="F136">IF(SUMPRODUCT(($A136=$Y$5:$Y$43)*(F$100=YEAR($F$5:$F$43)))&gt;=1,SUMPRODUCT(($A136=$A$61:$A$95)*$I$61:$I$95)*((SUMPRODUCT((F$100&gt;=YEAR($F$5:$F$43))*$G$5:$G$43)/$K$58)*100%)*(SUMPRODUCT(($A136=$Y$5:$Y$43)*(F$100&gt;=YEAR($F$5:$F$43))*$G$5:$G$43)/SUMPRODUCT((F$100&gt;=YEAR($F$5:$F$43))*$G$5:$G$43)),IF(E136&gt;0,E136/(1+lgh_equity!F$24),0))</f>
        <v>0</v>
      </c>
      <c r="G136" s="1758">
        <f t="array" ref="G136">IF(SUMPRODUCT(($A136=$Y$5:$Y$43)*(G$100=YEAR($F$5:$F$43)))&gt;=1,SUMPRODUCT(($A136=$A$61:$A$95)*$I$61:$I$95)*((SUMPRODUCT((G$100&gt;=YEAR($F$5:$F$43))*$G$5:$G$43)/$K$58)*100%)*(SUMPRODUCT(($A136=$Y$5:$Y$43)*(G$100&gt;=YEAR($F$5:$F$43))*$G$5:$G$43)/SUMPRODUCT((G$100&gt;=YEAR($F$5:$F$43))*$G$5:$G$43)),IF(F136&gt;0,F136/(1+lgh_equity!G$24),0))</f>
        <v>1.06E-3</v>
      </c>
      <c r="H136" s="1758">
        <f t="array" ref="H136">IF(SUMPRODUCT(($A136=$Y$5:$Y$43)*(H$100=YEAR($F$5:$F$43)))&gt;=1,SUMPRODUCT(($A136=$A$61:$A$95)*$I$61:$I$95)*((SUMPRODUCT((H$100&gt;=YEAR($F$5:$F$43))*$G$5:$G$43)/$K$58)*100%)*(SUMPRODUCT(($A136=$Y$5:$Y$43)*(H$100&gt;=YEAR($F$5:$F$43))*$G$5:$G$43)/SUMPRODUCT((H$100&gt;=YEAR($F$5:$F$43))*$G$5:$G$43)),IF(G136&gt;0,G136/(1+lgh_equity!H$24),0))</f>
        <v>1.06E-3</v>
      </c>
      <c r="I136" s="1773">
        <f t="array" ref="I136">IF(SUMPRODUCT(($A136=$Y$5:$Y$43)*(I$100=YEAR($F$5:$F$43)))&gt;=1,SUMPRODUCT(($A136=$A$61:$A$95)*$I$61:$I$95)*((SUMPRODUCT((I$100&gt;=YEAR($F$5:$F$43))*$G$5:$G$43)/$K$58)*100%)*(SUMPRODUCT(($A136=$Y$5:$Y$43)*(I$100&gt;=YEAR($F$5:$F$43))*$G$5:$G$43)/SUMPRODUCT((I$100&gt;=YEAR($F$5:$F$43))*$G$5:$G$43)),IF(H136&gt;0,H136/(1+lgh_equity!I$24),0))</f>
        <v>1.06E-3</v>
      </c>
      <c r="J136" s="1773">
        <f t="array" ref="J136">IF(SUMPRODUCT(($A136=$Y$5:$Y$43)*(J$100=YEAR($F$5:$F$43)))&gt;=1,SUMPRODUCT(($A136=$A$61:$A$95)*$I$61:$I$95)*((SUMPRODUCT((J$100&gt;=YEAR($F$5:$F$43))*$G$5:$G$43)/$K$58)*100%)*(SUMPRODUCT(($A136=$Y$5:$Y$43)*(J$100&gt;=YEAR($F$5:$F$43))*$G$5:$G$43)/SUMPRODUCT((J$100&gt;=YEAR($F$5:$F$43))*$G$5:$G$43)),IF(I136&gt;0,I136/(1+lgh_equity!J$24),0))</f>
        <v>1.06E-3</v>
      </c>
      <c r="K136" s="1788">
        <f t="array" ref="K136">IF(SUMPRODUCT(($A136=$Y$5:$Y$43)*(K$100=YEAR($F$5:$F$43)))&gt;=1,SUMPRODUCT(($A136=$A$61:$A$95)*$I$61:$I$95)*((SUMPRODUCT((K$100&gt;=YEAR($F$5:$F$43))*$G$5:$G$43)/$K$58)*100%)*(SUMPRODUCT(($A136=$Y$5:$Y$43)*(K$100&gt;=YEAR($F$5:$F$43))*$G$5:$G$43)/SUMPRODUCT((K$100&gt;=YEAR($F$5:$F$43))*$G$5:$G$43)),IF(J136&gt;0,J136/(1+lgh_equity!K$24),0))</f>
        <v>1.06E-3</v>
      </c>
      <c r="L136" s="1788">
        <f t="array" ref="L136">IF(SUMPRODUCT(($A136=$Y$5:$Y$43)*(L$100=YEAR($F$5:$F$43)))&gt;=1,SUMPRODUCT(($A136=$A$61:$A$95)*$I$61:$I$95)*((SUMPRODUCT((L$100&gt;=YEAR($F$5:$F$43))*$G$5:$G$43)/$K$58)*100%)*(SUMPRODUCT(($A136=$Y$5:$Y$43)*(L$100&gt;=YEAR($F$5:$F$43))*$G$5:$G$43)/SUMPRODUCT((L$100&gt;=YEAR($F$5:$F$43))*$G$5:$G$43)),IF(K136&gt;0,K136/(1+lgh_equity!L$24),0))</f>
        <v>1.06E-3</v>
      </c>
      <c r="M136" s="1788">
        <f t="array" ref="M136">IF(SUMPRODUCT(($A136=$Y$5:$Y$43)*(M$100=YEAR($F$5:$F$43)))&gt;=1,SUMPRODUCT(($A136=$A$61:$A$95)*$I$61:$I$95)*((SUMPRODUCT((M$100&gt;=YEAR($F$5:$F$43))*$G$5:$G$43)/$K$58)*100%)*(SUMPRODUCT(($A136=$Y$5:$Y$43)*(M$100&gt;=YEAR($F$5:$F$43))*$G$5:$G$43)/SUMPRODUCT((M$100&gt;=YEAR($F$5:$F$43))*$G$5:$G$43)),IF(L136&gt;0,L136/(1+lgh_equity!M$24),0))</f>
        <v>1.06E-3</v>
      </c>
      <c r="N136" s="1773">
        <f t="array" ref="N136">IF(SUMPRODUCT(($A136=$Y$5:$Y$43)*(N$100=YEAR($F$5:$F$43)))&gt;=1,SUMPRODUCT(($A136=$A$61:$A$95)*$I$61:$I$95)*((SUMPRODUCT((N$100&gt;=YEAR($F$5:$F$43))*$G$5:$G$43)/$K$58)*100%)*(SUMPRODUCT(($A136=$Y$5:$Y$43)*(N$100&gt;=YEAR($F$5:$F$43))*$G$5:$G$43)/SUMPRODUCT((N$100&gt;=YEAR($F$5:$F$43))*$G$5:$G$43)),IF(M136&gt;0,M136/(1+lgh_equity!N$24),0))</f>
        <v>1.06E-3</v>
      </c>
      <c r="O136" s="1781"/>
      <c r="P136" s="1781"/>
      <c r="Q136" s="1781"/>
      <c r="R136" s="248"/>
      <c r="S136" s="248"/>
      <c r="T136" s="248"/>
      <c r="U136" s="1743"/>
    </row>
    <row r="137" spans="1:21">
      <c r="B137" s="2018"/>
      <c r="C137" s="283"/>
      <c r="D137" s="283"/>
      <c r="E137" s="283"/>
      <c r="F137" s="283"/>
      <c r="G137" s="1760"/>
      <c r="H137" s="1760"/>
      <c r="I137" s="1760"/>
      <c r="J137" s="1760"/>
      <c r="K137" s="1790"/>
      <c r="L137" s="1790"/>
      <c r="M137" s="1790"/>
      <c r="N137" s="1760"/>
      <c r="O137" s="1781"/>
      <c r="P137" s="1781"/>
      <c r="Q137" s="1781"/>
      <c r="R137" s="248"/>
      <c r="S137" s="248"/>
      <c r="T137" s="248"/>
      <c r="U137" s="1743"/>
    </row>
    <row r="138" spans="1:21">
      <c r="A138" s="128" t="s">
        <v>470</v>
      </c>
      <c r="B138" s="2050"/>
      <c r="C138" s="316"/>
      <c r="D138" s="317">
        <f>-D128</f>
        <v>-0.2022653721682848</v>
      </c>
      <c r="E138" s="316"/>
      <c r="F138" s="316"/>
      <c r="G138" s="1761"/>
      <c r="H138" s="1761"/>
      <c r="I138" s="1761"/>
      <c r="J138" s="1761"/>
      <c r="K138" s="1791"/>
      <c r="L138" s="1791"/>
      <c r="M138" s="1791"/>
      <c r="N138" s="1761"/>
      <c r="O138" s="1781"/>
      <c r="P138" s="1781"/>
      <c r="Q138" s="1781"/>
      <c r="R138" s="248"/>
      <c r="S138" s="248"/>
      <c r="T138" s="248"/>
      <c r="U138" s="1743"/>
    </row>
    <row r="139" spans="1:21">
      <c r="A139" t="s">
        <v>381</v>
      </c>
      <c r="B139" s="2017">
        <v>0.27066249999999997</v>
      </c>
      <c r="C139" s="196">
        <f t="array" ref="C139">SUMPRODUCT((C102:C136&gt;B102:B136)*(C102:C136-B102:B136))</f>
        <v>7.6849999999999991E-3</v>
      </c>
      <c r="D139" s="196">
        <f t="array" ref="D139">SUMPRODUCT((D102:D136&gt;C102:C136)*(D102:D136-C102:C136))</f>
        <v>0</v>
      </c>
      <c r="E139" s="196">
        <f t="array" ref="E139">SUMPRODUCT((E102:E136&gt;D102:D136)*(E102:E136-D102:D136))</f>
        <v>0</v>
      </c>
      <c r="F139" s="196">
        <f t="array" ref="F139">SUMPRODUCT((F102:F136&gt;E102:E136)*(F102:F136-E102:E136))</f>
        <v>0</v>
      </c>
      <c r="G139" s="1758">
        <f t="array" ref="G139">SUMPRODUCT((G102:G136&gt;F102:F136)*(G102:G136-F102:F136))</f>
        <v>2.6499999999999996E-3</v>
      </c>
      <c r="H139" s="1758">
        <f t="array" ref="H139">SUMPRODUCT((H102:H136&gt;G102:G136)*(H102:H136-G102:G136))</f>
        <v>0</v>
      </c>
      <c r="I139" s="1758">
        <f t="array" ref="I139">SUMPRODUCT((I102:I136&gt;H102:H136)*(I102:I136-H102:H136))</f>
        <v>0</v>
      </c>
      <c r="J139" s="1758">
        <f t="array" ref="J139">SUMPRODUCT((J102:J136&gt;I102:I136)*(J102:J136-I102:I136))</f>
        <v>0</v>
      </c>
      <c r="K139" s="1645">
        <f t="array" ref="K139">SUMPRODUCT((K102:K136&gt;J102:J136)*(K102:K136-J102:J136))</f>
        <v>0</v>
      </c>
      <c r="L139" s="1645">
        <f t="array" ref="L139">SUMPRODUCT((L102:L136&gt;K102:K136)*(L102:L136-K102:K136))</f>
        <v>0</v>
      </c>
      <c r="M139" s="1645">
        <f t="array" ref="M139">SUMPRODUCT((M102:M136&gt;L102:L136)*(M102:M136-L102:L136))</f>
        <v>0</v>
      </c>
      <c r="N139" s="1758">
        <f t="array" ref="N139">SUMPRODUCT((N102:N136&gt;M102:M136)*(N102:N136-M102:M136))</f>
        <v>0</v>
      </c>
      <c r="O139" s="1781"/>
      <c r="P139" s="1781"/>
      <c r="Q139" s="1781"/>
      <c r="R139" s="248"/>
      <c r="S139" s="248"/>
      <c r="T139" s="248"/>
      <c r="U139" s="1743"/>
    </row>
    <row r="140" spans="1:21">
      <c r="A140" s="124" t="s">
        <v>381</v>
      </c>
      <c r="B140" s="2051">
        <v>9.2505841584158435E-2</v>
      </c>
      <c r="C140" s="313">
        <f>SUM(B139:B140,C138)/(1+lgh_equity!C24)</f>
        <v>0.36316834158415839</v>
      </c>
      <c r="D140" s="313">
        <f>SUM(C139:C140)/(1+lgh_equity!D24)+D138</f>
        <v>9.7777784453202593E-2</v>
      </c>
      <c r="E140" s="1732">
        <f>SUM(D139:D140,E138)/(1+lgh_equity!E24)</f>
        <v>9.7465893593702738E-2</v>
      </c>
      <c r="F140" s="1732">
        <f>SUM(E139:E140,F138)/(1+lgh_equity!F24)</f>
        <v>9.7465893593702738E-2</v>
      </c>
      <c r="G140" s="1762">
        <f>SUM(F139:F140,G138)/(1+lgh_equity!G24)</f>
        <v>9.7465893593702738E-2</v>
      </c>
      <c r="H140" s="1762">
        <f>SUM(G139:G140,H138)/(1+lgh_equity!H24)</f>
        <v>0.10011589359370274</v>
      </c>
      <c r="I140" s="1762">
        <f>SUM(H139:H140,I138)/(1+lgh_equity!I24)</f>
        <v>0.10011589359370274</v>
      </c>
      <c r="J140" s="1762">
        <f>SUM(I139:I140,J138)/(1+lgh_equity!J24)</f>
        <v>0.10011589359370274</v>
      </c>
      <c r="K140" s="1792">
        <f>SUM(J139:J140,K138)/(1+lgh_equity!K24)</f>
        <v>0.10011589359370274</v>
      </c>
      <c r="L140" s="1792">
        <f>SUM(K139:K140,L138)/(1+lgh_equity!L24)</f>
        <v>0.10011589359370274</v>
      </c>
      <c r="M140" s="1792">
        <f>SUM(L139:L140,M138)/(1+lgh_equity!M24)</f>
        <v>0.10011589359370274</v>
      </c>
      <c r="N140" s="1762">
        <f>SUM(M139:M140,N138)/(1+lgh_equity!N24)</f>
        <v>0.10011589359370274</v>
      </c>
      <c r="O140" s="1781"/>
      <c r="P140" s="1781"/>
      <c r="Q140" s="1781"/>
      <c r="R140" s="248"/>
      <c r="S140" s="248"/>
      <c r="T140" s="248"/>
      <c r="U140" s="1743"/>
    </row>
    <row r="141" spans="1:21">
      <c r="B141" s="2024"/>
      <c r="G141" s="248"/>
      <c r="H141" s="248"/>
      <c r="I141" s="248"/>
      <c r="J141" s="248"/>
      <c r="K141" s="1781"/>
      <c r="L141" s="1781"/>
      <c r="M141" s="1781"/>
      <c r="N141" s="248"/>
      <c r="O141" s="1781"/>
      <c r="P141" s="1781"/>
      <c r="Q141" s="1781"/>
      <c r="R141" s="248"/>
      <c r="S141" s="248"/>
      <c r="T141" s="248"/>
      <c r="U141" s="1743"/>
    </row>
    <row r="142" spans="1:21">
      <c r="A142" s="236" t="s">
        <v>471</v>
      </c>
      <c r="B142" s="2052">
        <v>0.36316834158415839</v>
      </c>
      <c r="C142" s="312">
        <f t="shared" ref="C142:N142" si="20">SUM(C139:C140)</f>
        <v>0.37085334158415839</v>
      </c>
      <c r="D142" s="312">
        <f t="shared" si="20"/>
        <v>9.7777784453202593E-2</v>
      </c>
      <c r="E142" s="312">
        <f t="shared" si="20"/>
        <v>9.7465893593702738E-2</v>
      </c>
      <c r="F142" s="312">
        <f t="shared" si="20"/>
        <v>9.7465893593702738E-2</v>
      </c>
      <c r="G142" s="1763">
        <f t="shared" si="20"/>
        <v>0.10011589359370274</v>
      </c>
      <c r="H142" s="1763">
        <f t="shared" si="20"/>
        <v>0.10011589359370274</v>
      </c>
      <c r="I142" s="1763">
        <f t="shared" si="20"/>
        <v>0.10011589359370274</v>
      </c>
      <c r="J142" s="1763">
        <f t="shared" si="20"/>
        <v>0.10011589359370274</v>
      </c>
      <c r="K142" s="1793">
        <f t="shared" si="20"/>
        <v>0.10011589359370274</v>
      </c>
      <c r="L142" s="1793">
        <f t="shared" si="20"/>
        <v>0.10011589359370274</v>
      </c>
      <c r="M142" s="1793">
        <f t="shared" si="20"/>
        <v>0.10011589359370274</v>
      </c>
      <c r="N142" s="1763">
        <f t="shared" si="20"/>
        <v>0.10011589359370274</v>
      </c>
      <c r="O142" s="1781"/>
      <c r="P142" s="1781"/>
      <c r="Q142" s="1781"/>
      <c r="R142" s="248"/>
      <c r="S142" s="248"/>
      <c r="T142" s="248"/>
      <c r="U142" s="1743"/>
    </row>
    <row r="143" spans="1:21">
      <c r="B143" s="2024"/>
      <c r="G143" s="248"/>
      <c r="H143" s="248"/>
      <c r="I143" s="248"/>
      <c r="J143" s="248"/>
      <c r="K143" s="1781"/>
      <c r="L143" s="1781"/>
      <c r="M143" s="1781"/>
      <c r="N143" s="248"/>
      <c r="O143" s="1781"/>
      <c r="P143" s="1781"/>
      <c r="Q143" s="1781"/>
      <c r="R143" s="248"/>
      <c r="S143" s="248"/>
      <c r="T143" s="248"/>
      <c r="U143" s="1743"/>
    </row>
    <row r="144" spans="1:21">
      <c r="A144" s="223" t="s">
        <v>472</v>
      </c>
      <c r="B144" s="2024"/>
      <c r="G144" s="248"/>
      <c r="H144" s="248"/>
      <c r="I144" s="248"/>
      <c r="J144" s="248"/>
      <c r="K144" s="1781"/>
      <c r="L144" s="1781"/>
      <c r="M144" s="1781"/>
      <c r="N144" s="248"/>
      <c r="O144" s="1781"/>
      <c r="P144" s="1781"/>
      <c r="Q144" s="1781"/>
      <c r="R144" s="248"/>
      <c r="S144" s="248"/>
      <c r="T144" s="248"/>
      <c r="U144" s="1743"/>
    </row>
    <row r="145" spans="1:21">
      <c r="B145" s="2024"/>
      <c r="G145" s="248"/>
      <c r="H145" s="248"/>
      <c r="I145" s="248"/>
      <c r="J145" s="248"/>
      <c r="K145" s="1781"/>
      <c r="L145" s="1781"/>
      <c r="M145" s="1781"/>
      <c r="N145" s="248"/>
      <c r="O145" s="1781"/>
      <c r="P145" s="1781"/>
      <c r="Q145" s="1781"/>
      <c r="R145" s="248"/>
      <c r="S145" s="248"/>
      <c r="T145" s="248"/>
      <c r="U145" s="1743"/>
    </row>
    <row r="146" spans="1:21">
      <c r="A146" s="223" t="s">
        <v>121</v>
      </c>
      <c r="B146" s="2053">
        <v>2024</v>
      </c>
      <c r="C146" s="297">
        <v>2025</v>
      </c>
      <c r="D146" s="297">
        <v>2025</v>
      </c>
      <c r="E146" s="297">
        <v>2025</v>
      </c>
      <c r="F146" s="297">
        <v>2025</v>
      </c>
      <c r="G146" s="1752">
        <v>2026</v>
      </c>
      <c r="H146" s="1752">
        <v>2026</v>
      </c>
      <c r="I146" s="1752">
        <v>2026</v>
      </c>
      <c r="J146" s="1752">
        <v>2026</v>
      </c>
      <c r="K146" s="1794">
        <v>2027</v>
      </c>
      <c r="L146" s="1794">
        <v>2028</v>
      </c>
      <c r="M146" s="1794">
        <v>2029</v>
      </c>
      <c r="N146" s="1752">
        <v>2030</v>
      </c>
      <c r="O146" s="1781"/>
      <c r="P146" s="1781"/>
      <c r="Q146" s="1781"/>
      <c r="R146" s="248"/>
      <c r="S146" s="248"/>
      <c r="T146" s="248"/>
      <c r="U146" s="1743"/>
    </row>
    <row r="147" spans="1:21">
      <c r="B147" s="2053" t="s">
        <v>2</v>
      </c>
      <c r="C147" s="733" t="s">
        <v>3</v>
      </c>
      <c r="D147" s="733" t="s">
        <v>4</v>
      </c>
      <c r="E147" s="733" t="s">
        <v>5</v>
      </c>
      <c r="F147" s="733" t="s">
        <v>2</v>
      </c>
      <c r="G147" s="1764" t="s">
        <v>3</v>
      </c>
      <c r="H147" s="1764" t="s">
        <v>4</v>
      </c>
      <c r="I147" s="1764" t="s">
        <v>5</v>
      </c>
      <c r="J147" s="1764" t="s">
        <v>2</v>
      </c>
      <c r="K147" s="1795" t="s">
        <v>2</v>
      </c>
      <c r="L147" s="1794" t="s">
        <v>2</v>
      </c>
      <c r="M147" s="1794" t="s">
        <v>2</v>
      </c>
      <c r="N147" s="1752" t="s">
        <v>2</v>
      </c>
      <c r="O147" s="1781"/>
      <c r="P147" s="1781"/>
      <c r="Q147" s="1781"/>
      <c r="R147" s="248"/>
      <c r="S147" s="248"/>
      <c r="T147" s="248"/>
      <c r="U147" s="1743"/>
    </row>
    <row r="148" spans="1:21">
      <c r="A148" s="223" t="str">
        <f t="shared" ref="A148:A182" si="21">+A102</f>
        <v>PE001 PFNGT LLC</v>
      </c>
      <c r="B148" s="2054">
        <v>2075274.9289470119</v>
      </c>
      <c r="C148" s="731">
        <f>IFERROR((C102/SUM(C$102:C$136))*lgh_bs!E$32*C$142,0)</f>
        <v>2309146.6431230227</v>
      </c>
      <c r="D148" s="731">
        <f>IFERROR((D102/SUM(D$102:D$136))*lgh_bs!F$32*D$142,0)</f>
        <v>615797.70830956777</v>
      </c>
      <c r="E148" s="731">
        <f>IFERROR((E102/SUM(E$102:E$136))*lgh_bs!G$32*E$142,0)</f>
        <v>2179116.9754613317</v>
      </c>
      <c r="F148" s="731">
        <f>IFERROR((F102/SUM(F$102:F$136))*lgh_bs!H$32*F$142,0)</f>
        <v>2108595.9707630896</v>
      </c>
      <c r="G148" s="1765">
        <f>IFERROR((G102/SUM(G$102:G$136))*lgh_bs!I$32*G$142,0)</f>
        <v>2197627.611434707</v>
      </c>
      <c r="H148" s="1765">
        <f>IFERROR((H102/SUM(H$102:H$136))*lgh_bs!J$32*H$142,0)</f>
        <v>2303489.8669181932</v>
      </c>
      <c r="I148" s="1765">
        <f>IFERROR((I102/SUM(I$102:I$136))*lgh_bs!K$32*I$142,0)</f>
        <v>2422386.5485924142</v>
      </c>
      <c r="J148" s="1765">
        <f>IFERROR((J102/SUM(J$102:J$136))*lgh_bs!L$32*J$142,0)</f>
        <v>2636940.8400181872</v>
      </c>
      <c r="K148" s="1796">
        <f>IFERROR((K102/SUM(K$102:K$136))*lgh_bs!M$32*K$142,0)</f>
        <v>3065271.3579691746</v>
      </c>
      <c r="L148" s="1796">
        <f>IFERROR((L102/SUM(L$102:L$136))*lgh_bs!N$32*L$142,0)</f>
        <v>3689726.1015860098</v>
      </c>
      <c r="M148" s="1796">
        <f>IFERROR((M102/SUM(M$102:M$136))*lgh_bs!O$32*M$142,0)</f>
        <v>4348468.3556579687</v>
      </c>
      <c r="N148" s="1765">
        <f>IFERROR((N102/SUM(N$102:N$136))*lgh_bs!P$32*N$142,0)</f>
        <v>5096916.6612493852</v>
      </c>
      <c r="O148" s="1781"/>
      <c r="P148" s="1781"/>
      <c r="Q148" s="1781"/>
      <c r="R148" s="248"/>
      <c r="S148" s="248"/>
      <c r="T148" s="248"/>
      <c r="U148" s="1743"/>
    </row>
    <row r="149" spans="1:21">
      <c r="A149" s="223" t="str">
        <f t="shared" si="21"/>
        <v>PE002 Derivee Capital Advisors, LLC</v>
      </c>
      <c r="B149" s="2054">
        <v>1245164.9573682069</v>
      </c>
      <c r="C149" s="731">
        <f>IFERROR((C103/SUM(C$102:C$136))*lgh_bs!E$32*C$142,0)</f>
        <v>1385487.9858738137</v>
      </c>
      <c r="D149" s="731">
        <f>IFERROR((D103/SUM(D$102:D$136))*lgh_bs!F$32*D$142,0)</f>
        <v>369478.62498574069</v>
      </c>
      <c r="E149" s="731">
        <f>IFERROR((E103/SUM(E$102:E$136))*lgh_bs!G$32*E$142,0)</f>
        <v>1307470.1852767991</v>
      </c>
      <c r="F149" s="731">
        <f>IFERROR((F103/SUM(F$102:F$136))*lgh_bs!H$32*F$142,0)</f>
        <v>1265157.5824578539</v>
      </c>
      <c r="G149" s="1765">
        <f>IFERROR((G103/SUM(G$102:G$136))*lgh_bs!I$32*G$142,0)</f>
        <v>1318576.5668608241</v>
      </c>
      <c r="H149" s="1765">
        <f>IFERROR((H103/SUM(H$102:H$136))*lgh_bs!J$32*H$142,0)</f>
        <v>1382093.9201509161</v>
      </c>
      <c r="I149" s="1765">
        <f>IFERROR((I103/SUM(I$102:I$136))*lgh_bs!K$32*I$142,0)</f>
        <v>1453431.9291554485</v>
      </c>
      <c r="J149" s="1765">
        <f>IFERROR((J103/SUM(J$102:J$136))*lgh_bs!L$32*J$142,0)</f>
        <v>1582164.5040109125</v>
      </c>
      <c r="K149" s="1796">
        <f>IFERROR((K103/SUM(K$102:K$136))*lgh_bs!M$32*K$142,0)</f>
        <v>1839162.8147815049</v>
      </c>
      <c r="L149" s="1796">
        <f>IFERROR((L103/SUM(L$102:L$136))*lgh_bs!N$32*L$142,0)</f>
        <v>2213835.660951606</v>
      </c>
      <c r="M149" s="1796">
        <f>IFERROR((M103/SUM(M$102:M$136))*lgh_bs!O$32*M$142,0)</f>
        <v>2609081.0133947819</v>
      </c>
      <c r="N149" s="1765">
        <f>IFERROR((N103/SUM(N$102:N$136))*lgh_bs!P$32*N$142,0)</f>
        <v>3058149.9967496311</v>
      </c>
      <c r="O149" s="1781"/>
      <c r="P149" s="1781"/>
      <c r="Q149" s="1781"/>
      <c r="R149" s="248"/>
      <c r="S149" s="248"/>
      <c r="T149" s="248"/>
      <c r="U149" s="1743"/>
    </row>
    <row r="150" spans="1:21">
      <c r="A150" s="223" t="str">
        <f t="shared" si="21"/>
        <v>PE003 Derivee Capital Advisors, LLC</v>
      </c>
      <c r="B150" s="2054">
        <v>830109.97157880478</v>
      </c>
      <c r="C150" s="731">
        <f>IFERROR((C104/SUM(C$102:C$136))*lgh_bs!E$32*C$142,0)</f>
        <v>923658.65724920889</v>
      </c>
      <c r="D150" s="731">
        <f>IFERROR((D104/SUM(D$102:D$136))*lgh_bs!F$32*D$142,0)</f>
        <v>246319.08332382704</v>
      </c>
      <c r="E150" s="731">
        <f>IFERROR((E104/SUM(E$102:E$136))*lgh_bs!G$32*E$142,0)</f>
        <v>871646.79018453253</v>
      </c>
      <c r="F150" s="731">
        <f>IFERROR((F104/SUM(F$102:F$136))*lgh_bs!H$32*F$142,0)</f>
        <v>843438.38830523577</v>
      </c>
      <c r="G150" s="1765">
        <f>IFERROR((G104/SUM(G$102:G$136))*lgh_bs!I$32*G$142,0)</f>
        <v>879051.04457388259</v>
      </c>
      <c r="H150" s="1765">
        <f>IFERROR((H104/SUM(H$102:H$136))*lgh_bs!J$32*H$142,0)</f>
        <v>921395.9467672772</v>
      </c>
      <c r="I150" s="1765">
        <f>IFERROR((I104/SUM(I$102:I$136))*lgh_bs!K$32*I$142,0)</f>
        <v>968954.61943696556</v>
      </c>
      <c r="J150" s="1765">
        <f>IFERROR((J104/SUM(J$102:J$136))*lgh_bs!L$32*J$142,0)</f>
        <v>1054776.3360072747</v>
      </c>
      <c r="K150" s="1796">
        <f>IFERROR((K104/SUM(K$102:K$136))*lgh_bs!M$32*K$142,0)</f>
        <v>1226108.5431876697</v>
      </c>
      <c r="L150" s="1796">
        <f>IFERROR((L104/SUM(L$102:L$136))*lgh_bs!N$32*L$142,0)</f>
        <v>1475890.4406344036</v>
      </c>
      <c r="M150" s="1796">
        <f>IFERROR((M104/SUM(M$102:M$136))*lgh_bs!O$32*M$142,0)</f>
        <v>1739387.3422631873</v>
      </c>
      <c r="N150" s="1765">
        <f>IFERROR((N104/SUM(N$102:N$136))*lgh_bs!P$32*N$142,0)</f>
        <v>2038766.6644997536</v>
      </c>
      <c r="O150" s="1781"/>
      <c r="P150" s="1781"/>
      <c r="Q150" s="1781"/>
      <c r="R150" s="248"/>
      <c r="S150" s="248"/>
      <c r="T150" s="248"/>
      <c r="U150" s="1743"/>
    </row>
    <row r="151" spans="1:21">
      <c r="A151" s="223" t="str">
        <f t="shared" si="21"/>
        <v>PE004 DCAPP Hotel Ventures LLC</v>
      </c>
      <c r="B151" s="2054">
        <v>1660219.94315761</v>
      </c>
      <c r="C151" s="731">
        <f>IFERROR((C105/SUM(C$102:C$136))*lgh_bs!E$32*C$142,0)</f>
        <v>1847317.3144984175</v>
      </c>
      <c r="D151" s="731">
        <f>IFERROR((D105/SUM(D$102:D$136))*lgh_bs!F$32*D$142,0)</f>
        <v>492638.16664765408</v>
      </c>
      <c r="E151" s="731">
        <f>IFERROR((E105/SUM(E$102:E$136))*lgh_bs!G$32*E$142,0)</f>
        <v>1743293.5803690651</v>
      </c>
      <c r="F151" s="731">
        <f>IFERROR((F105/SUM(F$102:F$136))*lgh_bs!H$32*F$142,0)</f>
        <v>1686876.7766104713</v>
      </c>
      <c r="G151" s="1765">
        <f>IFERROR((G105/SUM(G$102:G$136))*lgh_bs!I$32*G$142,0)</f>
        <v>1758102.0891477652</v>
      </c>
      <c r="H151" s="1765">
        <f>IFERROR((H105/SUM(H$102:H$136))*lgh_bs!J$32*H$142,0)</f>
        <v>1842791.8935345542</v>
      </c>
      <c r="I151" s="1765">
        <f>IFERROR((I105/SUM(I$102:I$136))*lgh_bs!K$32*I$142,0)</f>
        <v>1937909.2388739309</v>
      </c>
      <c r="J151" s="1765">
        <f>IFERROR((J105/SUM(J$102:J$136))*lgh_bs!L$32*J$142,0)</f>
        <v>2109552.6720145489</v>
      </c>
      <c r="K151" s="1796">
        <f>IFERROR((K105/SUM(K$102:K$136))*lgh_bs!M$32*K$142,0)</f>
        <v>2452217.086375339</v>
      </c>
      <c r="L151" s="1796">
        <f>IFERROR((L105/SUM(L$102:L$136))*lgh_bs!N$32*L$142,0)</f>
        <v>2951780.8812688072</v>
      </c>
      <c r="M151" s="1796">
        <f>IFERROR((M105/SUM(M$102:M$136))*lgh_bs!O$32*M$142,0)</f>
        <v>3478774.6845263746</v>
      </c>
      <c r="N151" s="1765">
        <f>IFERROR((N105/SUM(N$102:N$136))*lgh_bs!P$32*N$142,0)</f>
        <v>4077533.3289995068</v>
      </c>
      <c r="O151" s="1781"/>
      <c r="P151" s="1781"/>
      <c r="Q151" s="1781"/>
      <c r="R151" s="248"/>
      <c r="S151" s="248"/>
      <c r="T151" s="248"/>
      <c r="U151" s="1743"/>
    </row>
    <row r="152" spans="1:21">
      <c r="A152" s="223" t="str">
        <f t="shared" si="21"/>
        <v>PE005 DCAPP Hotel Ventures LLC</v>
      </c>
      <c r="B152" s="2054">
        <v>1328175.954526088</v>
      </c>
      <c r="C152" s="731">
        <f>IFERROR((C106/SUM(C$102:C$136))*lgh_bs!E$32*C$142,0)</f>
        <v>1477853.8515987343</v>
      </c>
      <c r="D152" s="731">
        <f>IFERROR((D106/SUM(D$102:D$136))*lgh_bs!F$32*D$142,0)</f>
        <v>394110.53331812331</v>
      </c>
      <c r="E152" s="731">
        <f>IFERROR((E106/SUM(E$102:E$136))*lgh_bs!G$32*E$142,0)</f>
        <v>1394634.8642952524</v>
      </c>
      <c r="F152" s="731">
        <f>IFERROR((F106/SUM(F$102:F$136))*lgh_bs!H$32*F$142,0)</f>
        <v>1349501.4212883776</v>
      </c>
      <c r="G152" s="1765">
        <f>IFERROR((G106/SUM(G$102:G$136))*lgh_bs!I$32*G$142,0)</f>
        <v>1406481.6713182123</v>
      </c>
      <c r="H152" s="1765">
        <f>IFERROR((H106/SUM(H$102:H$136))*lgh_bs!J$32*H$142,0)</f>
        <v>1474233.5148276438</v>
      </c>
      <c r="I152" s="1765">
        <f>IFERROR((I106/SUM(I$102:I$136))*lgh_bs!K$32*I$142,0)</f>
        <v>1550327.3910991449</v>
      </c>
      <c r="J152" s="1765">
        <f>IFERROR((J106/SUM(J$102:J$136))*lgh_bs!L$32*J$142,0)</f>
        <v>1687642.1376116395</v>
      </c>
      <c r="K152" s="1796">
        <f>IFERROR((K106/SUM(K$102:K$136))*lgh_bs!M$32*K$142,0)</f>
        <v>1961773.6691002715</v>
      </c>
      <c r="L152" s="1796">
        <f>IFERROR((L106/SUM(L$102:L$136))*lgh_bs!N$32*L$142,0)</f>
        <v>2361424.7050150461</v>
      </c>
      <c r="M152" s="1796">
        <f>IFERROR((M106/SUM(M$102:M$136))*lgh_bs!O$32*M$142,0)</f>
        <v>2783019.7476211004</v>
      </c>
      <c r="N152" s="1765">
        <f>IFERROR((N106/SUM(N$102:N$136))*lgh_bs!P$32*N$142,0)</f>
        <v>3262026.6631996064</v>
      </c>
      <c r="O152" s="1781"/>
      <c r="P152" s="1781"/>
      <c r="Q152" s="1781"/>
      <c r="R152" s="248"/>
      <c r="S152" s="248"/>
      <c r="T152" s="248"/>
      <c r="U152" s="1743"/>
    </row>
    <row r="153" spans="1:21">
      <c r="A153" s="223" t="str">
        <f t="shared" si="21"/>
        <v>PE006 DCAPP Hotel Ventures LLC</v>
      </c>
      <c r="B153" s="2054">
        <v>664087.97726304387</v>
      </c>
      <c r="C153" s="731">
        <f>IFERROR((C107/SUM(C$102:C$136))*lgh_bs!E$32*C$142,0)</f>
        <v>738926.92579936713</v>
      </c>
      <c r="D153" s="731">
        <f>IFERROR((D107/SUM(D$102:D$136))*lgh_bs!F$32*D$142,0)</f>
        <v>197055.26665906166</v>
      </c>
      <c r="E153" s="731">
        <f>IFERROR((E107/SUM(E$102:E$136))*lgh_bs!G$32*E$142,0)</f>
        <v>697317.43214762618</v>
      </c>
      <c r="F153" s="731">
        <f>IFERROR((F107/SUM(F$102:F$136))*lgh_bs!H$32*F$142,0)</f>
        <v>674750.7106441888</v>
      </c>
      <c r="G153" s="1765">
        <f>IFERROR((G107/SUM(G$102:G$136))*lgh_bs!I$32*G$142,0)</f>
        <v>703240.83565910615</v>
      </c>
      <c r="H153" s="1765">
        <f>IFERROR((H107/SUM(H$102:H$136))*lgh_bs!J$32*H$142,0)</f>
        <v>737116.75741382188</v>
      </c>
      <c r="I153" s="1765">
        <f>IFERROR((I107/SUM(I$102:I$136))*lgh_bs!K$32*I$142,0)</f>
        <v>775163.69554957247</v>
      </c>
      <c r="J153" s="1765">
        <f>IFERROR((J107/SUM(J$102:J$136))*lgh_bs!L$32*J$142,0)</f>
        <v>843821.06880581973</v>
      </c>
      <c r="K153" s="1796">
        <f>IFERROR((K107/SUM(K$102:K$136))*lgh_bs!M$32*K$142,0)</f>
        <v>980886.83455013577</v>
      </c>
      <c r="L153" s="1796">
        <f>IFERROR((L107/SUM(L$102:L$136))*lgh_bs!N$32*L$142,0)</f>
        <v>1180712.352507523</v>
      </c>
      <c r="M153" s="1796">
        <f>IFERROR((M107/SUM(M$102:M$136))*lgh_bs!O$32*M$142,0)</f>
        <v>1391509.8738105502</v>
      </c>
      <c r="N153" s="1765">
        <f>IFERROR((N107/SUM(N$102:N$136))*lgh_bs!P$32*N$142,0)</f>
        <v>1631013.3315998032</v>
      </c>
      <c r="O153" s="1781"/>
      <c r="P153" s="1781"/>
      <c r="Q153" s="1781"/>
      <c r="R153" s="248"/>
      <c r="S153" s="248"/>
      <c r="T153" s="248"/>
      <c r="U153" s="1743"/>
    </row>
    <row r="154" spans="1:21">
      <c r="A154" s="223" t="str">
        <f t="shared" si="21"/>
        <v>PE007 La Pointe Investments LLC</v>
      </c>
      <c r="B154" s="2054">
        <v>741169.61748107558</v>
      </c>
      <c r="C154" s="731">
        <f>IFERROR((C108/SUM(C$102:C$136))*lgh_bs!E$32*C$142,0)</f>
        <v>824695.22968679364</v>
      </c>
      <c r="D154" s="731">
        <f>IFERROR((D108/SUM(D$102:D$136))*lgh_bs!F$32*D$142,0)</f>
        <v>219927.75296770272</v>
      </c>
      <c r="E154" s="731">
        <f>IFERROR((E108/SUM(E$102:E$136))*lgh_bs!G$32*E$142,0)</f>
        <v>778256.06266476121</v>
      </c>
      <c r="F154" s="731">
        <f>IFERROR((F108/SUM(F$102:F$136))*lgh_bs!H$32*F$142,0)</f>
        <v>753069.98955824622</v>
      </c>
      <c r="G154" s="1765">
        <f>IFERROR((G108/SUM(G$102:G$136))*lgh_bs!I$32*G$142,0)</f>
        <v>784867.00408382376</v>
      </c>
      <c r="H154" s="1765">
        <f>IFERROR((H108/SUM(H$102:H$136))*lgh_bs!J$32*H$142,0)</f>
        <v>822674.95247078314</v>
      </c>
      <c r="I154" s="1765">
        <f>IFERROR((I108/SUM(I$102:I$136))*lgh_bs!K$32*I$142,0)</f>
        <v>865138.05306871922</v>
      </c>
      <c r="J154" s="1765">
        <f>IFERROR((J108/SUM(J$102:J$136))*lgh_bs!L$32*J$142,0)</f>
        <v>941764.58572078089</v>
      </c>
      <c r="K154" s="1796">
        <f>IFERROR((K108/SUM(K$102:K$136))*lgh_bs!M$32*K$142,0)</f>
        <v>1094739.7707032764</v>
      </c>
      <c r="L154" s="1796">
        <f>IFERROR((L108/SUM(L$102:L$136))*lgh_bs!N$32*L$142,0)</f>
        <v>1317759.3219950034</v>
      </c>
      <c r="M154" s="1796">
        <f>IFERROR((M108/SUM(M$102:M$136))*lgh_bs!O$32*M$142,0)</f>
        <v>1553024.4127349886</v>
      </c>
      <c r="N154" s="1765">
        <f>IFERROR((N108/SUM(N$102:N$136))*lgh_bs!P$32*N$142,0)</f>
        <v>1820327.3790176373</v>
      </c>
      <c r="O154" s="1781"/>
      <c r="P154" s="1781"/>
      <c r="Q154" s="1781"/>
      <c r="R154" s="248"/>
      <c r="S154" s="248"/>
      <c r="T154" s="248"/>
      <c r="U154" s="1743"/>
    </row>
    <row r="155" spans="1:21">
      <c r="A155" s="223" t="str">
        <f t="shared" si="21"/>
        <v>PE008 La Pointe Investments LLC</v>
      </c>
      <c r="B155" s="2054">
        <v>741169.61748107558</v>
      </c>
      <c r="C155" s="731">
        <f>IFERROR((C109/SUM(C$102:C$136))*lgh_bs!E$32*C$142,0)</f>
        <v>824695.22968679364</v>
      </c>
      <c r="D155" s="731">
        <f>IFERROR((D109/SUM(D$102:D$136))*lgh_bs!F$32*D$142,0)</f>
        <v>219927.75296770272</v>
      </c>
      <c r="E155" s="731">
        <f>IFERROR((E109/SUM(E$102:E$136))*lgh_bs!G$32*E$142,0)</f>
        <v>778256.06266476121</v>
      </c>
      <c r="F155" s="731">
        <f>IFERROR((F109/SUM(F$102:F$136))*lgh_bs!H$32*F$142,0)</f>
        <v>753069.98955824622</v>
      </c>
      <c r="G155" s="1765">
        <f>IFERROR((G109/SUM(G$102:G$136))*lgh_bs!I$32*G$142,0)</f>
        <v>784867.00408382376</v>
      </c>
      <c r="H155" s="1765">
        <f>IFERROR((H109/SUM(H$102:H$136))*lgh_bs!J$32*H$142,0)</f>
        <v>822674.95247078314</v>
      </c>
      <c r="I155" s="1765">
        <f>IFERROR((I109/SUM(I$102:I$136))*lgh_bs!K$32*I$142,0)</f>
        <v>865138.05306871922</v>
      </c>
      <c r="J155" s="1765">
        <f>IFERROR((J109/SUM(J$102:J$136))*lgh_bs!L$32*J$142,0)</f>
        <v>941764.58572078089</v>
      </c>
      <c r="K155" s="1796">
        <f>IFERROR((K109/SUM(K$102:K$136))*lgh_bs!M$32*K$142,0)</f>
        <v>1094739.7707032764</v>
      </c>
      <c r="L155" s="1796">
        <f>IFERROR((L109/SUM(L$102:L$136))*lgh_bs!N$32*L$142,0)</f>
        <v>1317759.3219950034</v>
      </c>
      <c r="M155" s="1796">
        <f>IFERROR((M109/SUM(M$102:M$136))*lgh_bs!O$32*M$142,0)</f>
        <v>1553024.4127349886</v>
      </c>
      <c r="N155" s="1765">
        <f>IFERROR((N109/SUM(N$102:N$136))*lgh_bs!P$32*N$142,0)</f>
        <v>1820327.3790176373</v>
      </c>
      <c r="O155" s="1781"/>
      <c r="P155" s="1781"/>
      <c r="Q155" s="1781"/>
      <c r="R155" s="248"/>
      <c r="S155" s="248"/>
      <c r="T155" s="248"/>
      <c r="U155" s="1743"/>
    </row>
    <row r="156" spans="1:21">
      <c r="A156" s="223" t="str">
        <f t="shared" si="21"/>
        <v>PE009 La Pointe Investments LLC</v>
      </c>
      <c r="B156" s="2054">
        <v>299432.52546235459</v>
      </c>
      <c r="C156" s="731">
        <f>IFERROR((C110/SUM(C$102:C$136))*lgh_bs!E$32*C$142,0)</f>
        <v>333176.87279346463</v>
      </c>
      <c r="D156" s="731">
        <f>IFERROR((D110/SUM(D$102:D$136))*lgh_bs!F$32*D$142,0)</f>
        <v>88850.812198951899</v>
      </c>
      <c r="E156" s="731">
        <f>IFERROR((E110/SUM(E$102:E$136))*lgh_bs!G$32*E$142,0)</f>
        <v>314415.44931656361</v>
      </c>
      <c r="F156" s="731">
        <f>IFERROR((F110/SUM(F$102:F$136))*lgh_bs!H$32*F$142,0)</f>
        <v>304240.27578153147</v>
      </c>
      <c r="G156" s="1765">
        <f>IFERROR((G110/SUM(G$102:G$136))*lgh_bs!I$32*G$142,0)</f>
        <v>317086.26964986481</v>
      </c>
      <c r="H156" s="1765">
        <f>IFERROR((H110/SUM(H$102:H$136))*lgh_bs!J$32*H$142,0)</f>
        <v>332360.68079819641</v>
      </c>
      <c r="I156" s="1765">
        <f>IFERROR((I110/SUM(I$102:I$136))*lgh_bs!K$32*I$142,0)</f>
        <v>349515.77343976253</v>
      </c>
      <c r="J156" s="1765">
        <f>IFERROR((J110/SUM(J$102:J$136))*lgh_bs!L$32*J$142,0)</f>
        <v>380472.89263119549</v>
      </c>
      <c r="K156" s="1796">
        <f>IFERROR((K110/SUM(K$102:K$136))*lgh_bs!M$32*K$142,0)</f>
        <v>442274.86736412364</v>
      </c>
      <c r="L156" s="1796">
        <f>IFERROR((L110/SUM(L$102:L$136))*lgh_bs!N$32*L$142,0)</f>
        <v>532374.76608598127</v>
      </c>
      <c r="M156" s="1796">
        <f>IFERROR((M110/SUM(M$102:M$136))*lgh_bs!O$32*M$142,0)</f>
        <v>627421.86274493544</v>
      </c>
      <c r="N156" s="1765">
        <f>IFERROR((N110/SUM(N$102:N$136))*lgh_bs!P$32*N$142,0)</f>
        <v>735412.26112312544</v>
      </c>
      <c r="O156" s="1781"/>
      <c r="P156" s="1781"/>
      <c r="Q156" s="1781"/>
      <c r="R156" s="248"/>
      <c r="S156" s="248"/>
      <c r="T156" s="248"/>
      <c r="U156" s="1743"/>
    </row>
    <row r="157" spans="1:21">
      <c r="A157" s="223" t="str">
        <f t="shared" si="21"/>
        <v>PE010 Benjamin Rego Jr.</v>
      </c>
      <c r="B157" s="2054">
        <v>106728.4249172749</v>
      </c>
      <c r="C157" s="731">
        <f>IFERROR((C111/SUM(C$102:C$136))*lgh_bs!E$32*C$142,0)</f>
        <v>118756.11307489825</v>
      </c>
      <c r="D157" s="731">
        <f>IFERROR((D111/SUM(D$102:D$136))*lgh_bs!F$32*D$142,0)</f>
        <v>31669.596427349188</v>
      </c>
      <c r="E157" s="731">
        <f>IFERROR((E111/SUM(E$102:E$136))*lgh_bs!G$32*E$142,0)</f>
        <v>112068.87302372559</v>
      </c>
      <c r="F157" s="731">
        <f>IFERROR((F111/SUM(F$102:F$136))*lgh_bs!H$32*F$142,0)</f>
        <v>108442.07849638745</v>
      </c>
      <c r="G157" s="1765">
        <f>IFERROR((G111/SUM(G$102:G$136))*lgh_bs!I$32*G$142,0)</f>
        <v>113020.84858807061</v>
      </c>
      <c r="H157" s="1765">
        <f>IFERROR((H111/SUM(H$102:H$136))*lgh_bs!J$32*H$142,0)</f>
        <v>118465.19315579276</v>
      </c>
      <c r="I157" s="1765">
        <f>IFERROR((I111/SUM(I$102:I$136))*lgh_bs!K$32*I$142,0)</f>
        <v>124579.87964189555</v>
      </c>
      <c r="J157" s="1765">
        <f>IFERROR((J111/SUM(J$102:J$136))*lgh_bs!L$32*J$142,0)</f>
        <v>135614.10034379244</v>
      </c>
      <c r="K157" s="1796">
        <f>IFERROR((K111/SUM(K$102:K$136))*lgh_bs!M$32*K$142,0)</f>
        <v>157642.52698127177</v>
      </c>
      <c r="L157" s="1796">
        <f>IFERROR((L111/SUM(L$102:L$136))*lgh_bs!N$32*L$142,0)</f>
        <v>189757.34236728042</v>
      </c>
      <c r="M157" s="1796">
        <f>IFERROR((M111/SUM(M$102:M$136))*lgh_bs!O$32*M$142,0)</f>
        <v>223635.5154338383</v>
      </c>
      <c r="N157" s="1765">
        <f>IFERROR((N111/SUM(N$102:N$136))*lgh_bs!P$32*N$142,0)</f>
        <v>262127.1425785397</v>
      </c>
      <c r="O157" s="1781"/>
      <c r="P157" s="1781"/>
      <c r="Q157" s="1781"/>
      <c r="R157" s="248"/>
      <c r="S157" s="248"/>
      <c r="T157" s="248"/>
      <c r="U157" s="1743"/>
    </row>
    <row r="158" spans="1:21">
      <c r="A158" s="223" t="str">
        <f t="shared" si="21"/>
        <v>PE011 Benjamin Rego Jr.</v>
      </c>
      <c r="B158" s="2054">
        <v>11858.71387969721</v>
      </c>
      <c r="C158" s="731">
        <f>IFERROR((C112/SUM(C$102:C$136))*lgh_bs!E$32*C$142,0)</f>
        <v>13195.123674988699</v>
      </c>
      <c r="D158" s="731">
        <f>IFERROR((D112/SUM(D$102:D$136))*lgh_bs!F$32*D$142,0)</f>
        <v>3518.8440474832437</v>
      </c>
      <c r="E158" s="731">
        <f>IFERROR((E112/SUM(E$102:E$136))*lgh_bs!G$32*E$142,0)</f>
        <v>12452.097002636179</v>
      </c>
      <c r="F158" s="731">
        <f>IFERROR((F112/SUM(F$102:F$136))*lgh_bs!H$32*F$142,0)</f>
        <v>12049.11983293194</v>
      </c>
      <c r="G158" s="1765">
        <f>IFERROR((G112/SUM(G$102:G$136))*lgh_bs!I$32*G$142,0)</f>
        <v>12557.872065341182</v>
      </c>
      <c r="H158" s="1765">
        <f>IFERROR((H112/SUM(H$102:H$136))*lgh_bs!J$32*H$142,0)</f>
        <v>13162.799239532531</v>
      </c>
      <c r="I158" s="1765">
        <f>IFERROR((I112/SUM(I$102:I$136))*lgh_bs!K$32*I$142,0)</f>
        <v>13842.208849099508</v>
      </c>
      <c r="J158" s="1765">
        <f>IFERROR((J112/SUM(J$102:J$136))*lgh_bs!L$32*J$142,0)</f>
        <v>15068.233371532498</v>
      </c>
      <c r="K158" s="1796">
        <f>IFERROR((K112/SUM(K$102:K$136))*lgh_bs!M$32*K$142,0)</f>
        <v>17515.836331252423</v>
      </c>
      <c r="L158" s="1796">
        <f>IFERROR((L112/SUM(L$102:L$136))*lgh_bs!N$32*L$142,0)</f>
        <v>21084.149151920054</v>
      </c>
      <c r="M158" s="1796">
        <f>IFERROR((M112/SUM(M$102:M$136))*lgh_bs!O$32*M$142,0)</f>
        <v>24848.390603759821</v>
      </c>
      <c r="N158" s="1765">
        <f>IFERROR((N112/SUM(N$102:N$136))*lgh_bs!P$32*N$142,0)</f>
        <v>29125.238064282195</v>
      </c>
      <c r="O158" s="1781"/>
      <c r="P158" s="1781"/>
      <c r="Q158" s="1781"/>
      <c r="R158" s="248"/>
      <c r="S158" s="248"/>
      <c r="T158" s="248"/>
      <c r="U158" s="1743"/>
    </row>
    <row r="159" spans="1:21">
      <c r="A159" s="223" t="str">
        <f t="shared" si="21"/>
        <v>PE012 Benjamin Rego Jr._1</v>
      </c>
      <c r="B159" s="2054">
        <v>12695.939079603841</v>
      </c>
      <c r="C159" s="731">
        <f>IFERROR((C113/SUM(C$102:C$136))*lgh_bs!E$32*C$142,0)</f>
        <v>14126.6994064429</v>
      </c>
      <c r="D159" s="731">
        <f>IFERROR((D113/SUM(D$102:D$136))*lgh_bs!F$32*D$142,0)</f>
        <v>3767.2744372355605</v>
      </c>
      <c r="E159" s="731">
        <f>IFERROR((E113/SUM(E$102:E$136))*lgh_bs!G$32*E$142,0)</f>
        <v>13331.215051022295</v>
      </c>
      <c r="F159" s="731">
        <f>IFERROR((F113/SUM(F$102:F$136))*lgh_bs!H$32*F$142,0)</f>
        <v>12899.787693136936</v>
      </c>
      <c r="G159" s="1765">
        <f>IFERROR((G113/SUM(G$102:G$136))*lgh_bs!I$32*G$142,0)</f>
        <v>13444.457833154269</v>
      </c>
      <c r="H159" s="1765">
        <f>IFERROR((H113/SUM(H$102:H$136))*lgh_bs!J$32*H$142,0)</f>
        <v>14092.092865843526</v>
      </c>
      <c r="I159" s="1765">
        <f>IFERROR((I113/SUM(I$102:I$136))*lgh_bs!K$32*I$142,0)</f>
        <v>14819.468793845932</v>
      </c>
      <c r="J159" s="1765">
        <f>IFERROR((J113/SUM(J$102:J$136))*lgh_bs!L$32*J$142,0)</f>
        <v>16132.05064756269</v>
      </c>
      <c r="K159" s="1796">
        <f>IFERROR((K113/SUM(K$102:K$136))*lgh_bs!M$32*K$142,0)</f>
        <v>18752.454376238842</v>
      </c>
      <c r="L159" s="1796">
        <f>IFERROR((L113/SUM(L$102:L$136))*lgh_bs!N$32*L$142,0)</f>
        <v>22572.690082045607</v>
      </c>
      <c r="M159" s="1796">
        <f>IFERROR((M113/SUM(M$102:M$136))*lgh_bs!O$32*M$142,0)</f>
        <v>26602.686980385261</v>
      </c>
      <c r="N159" s="1765">
        <f>IFERROR((N113/SUM(N$102:N$136))*lgh_bs!P$32*N$142,0)</f>
        <v>31181.479871620519</v>
      </c>
      <c r="O159" s="1781"/>
      <c r="P159" s="1781"/>
      <c r="Q159" s="1781"/>
      <c r="R159" s="248"/>
      <c r="S159" s="248"/>
      <c r="T159" s="248"/>
      <c r="U159" s="1743"/>
    </row>
    <row r="160" spans="1:21">
      <c r="A160" s="223" t="str">
        <f t="shared" si="21"/>
        <v>PE013 Benjamin Rego Jr._1</v>
      </c>
      <c r="B160" s="2054">
        <v>38087.817238811513</v>
      </c>
      <c r="C160" s="731">
        <f>IFERROR((C114/SUM(C$102:C$136))*lgh_bs!E$32*C$142,0)</f>
        <v>42380.098219328698</v>
      </c>
      <c r="D160" s="731">
        <f>IFERROR((D114/SUM(D$102:D$136))*lgh_bs!F$32*D$142,0)</f>
        <v>11301.823311706679</v>
      </c>
      <c r="E160" s="731">
        <f>IFERROR((E114/SUM(E$102:E$136))*lgh_bs!G$32*E$142,0)</f>
        <v>39993.645153066878</v>
      </c>
      <c r="F160" s="731">
        <f>IFERROR((F114/SUM(F$102:F$136))*lgh_bs!H$32*F$142,0)</f>
        <v>38699.363079410796</v>
      </c>
      <c r="G160" s="1765">
        <f>IFERROR((G114/SUM(G$102:G$136))*lgh_bs!I$32*G$142,0)</f>
        <v>40333.373499462788</v>
      </c>
      <c r="H160" s="1765">
        <f>IFERROR((H114/SUM(H$102:H$136))*lgh_bs!J$32*H$142,0)</f>
        <v>42276.278597530574</v>
      </c>
      <c r="I160" s="1765">
        <f>IFERROR((I114/SUM(I$102:I$136))*lgh_bs!K$32*I$142,0)</f>
        <v>44458.406381537781</v>
      </c>
      <c r="J160" s="1765">
        <f>IFERROR((J114/SUM(J$102:J$136))*lgh_bs!L$32*J$142,0)</f>
        <v>48396.151942688055</v>
      </c>
      <c r="K160" s="1796">
        <f>IFERROR((K114/SUM(K$102:K$136))*lgh_bs!M$32*K$142,0)</f>
        <v>56257.363128716519</v>
      </c>
      <c r="L160" s="1796">
        <f>IFERROR((L114/SUM(L$102:L$136))*lgh_bs!N$32*L$142,0)</f>
        <v>67718.070246136791</v>
      </c>
      <c r="M160" s="1796">
        <f>IFERROR((M114/SUM(M$102:M$136))*lgh_bs!O$32*M$142,0)</f>
        <v>79808.060941155767</v>
      </c>
      <c r="N160" s="1765">
        <f>IFERROR((N114/SUM(N$102:N$136))*lgh_bs!P$32*N$142,0)</f>
        <v>93544.439614861534</v>
      </c>
      <c r="O160" s="1781"/>
      <c r="P160" s="1781"/>
      <c r="Q160" s="1781"/>
      <c r="R160" s="248"/>
      <c r="S160" s="248"/>
      <c r="T160" s="248"/>
      <c r="U160" s="1743"/>
    </row>
    <row r="161" spans="1:21">
      <c r="A161" s="223" t="str">
        <f t="shared" si="21"/>
        <v>PE014 Benjamin Rego Jr._1</v>
      </c>
      <c r="B161" s="2054">
        <v>76175.634477623011</v>
      </c>
      <c r="C161" s="731">
        <f>IFERROR((C115/SUM(C$102:C$136))*lgh_bs!E$32*C$142,0)</f>
        <v>84760.196438657396</v>
      </c>
      <c r="D161" s="731">
        <f>IFERROR((D115/SUM(D$102:D$136))*lgh_bs!F$32*D$142,0)</f>
        <v>22603.646623413366</v>
      </c>
      <c r="E161" s="731">
        <f>IFERROR((E115/SUM(E$102:E$136))*lgh_bs!G$32*E$142,0)</f>
        <v>79987.290306133757</v>
      </c>
      <c r="F161" s="731">
        <f>IFERROR((F115/SUM(F$102:F$136))*lgh_bs!H$32*F$142,0)</f>
        <v>77398.726158821606</v>
      </c>
      <c r="G161" s="1765">
        <f>IFERROR((G115/SUM(G$102:G$136))*lgh_bs!I$32*G$142,0)</f>
        <v>80666.746998925606</v>
      </c>
      <c r="H161" s="1765">
        <f>IFERROR((H115/SUM(H$102:H$136))*lgh_bs!J$32*H$142,0)</f>
        <v>84552.557195061163</v>
      </c>
      <c r="I161" s="1765">
        <f>IFERROR((I115/SUM(I$102:I$136))*lgh_bs!K$32*I$142,0)</f>
        <v>88916.812763075592</v>
      </c>
      <c r="J161" s="1765">
        <f>IFERROR((J115/SUM(J$102:J$136))*lgh_bs!L$32*J$142,0)</f>
        <v>96792.303885376139</v>
      </c>
      <c r="K161" s="1796">
        <f>IFERROR((K115/SUM(K$102:K$136))*lgh_bs!M$32*K$142,0)</f>
        <v>112514.72625743307</v>
      </c>
      <c r="L161" s="1796">
        <f>IFERROR((L115/SUM(L$102:L$136))*lgh_bs!N$32*L$142,0)</f>
        <v>135436.14049227361</v>
      </c>
      <c r="M161" s="1796">
        <f>IFERROR((M115/SUM(M$102:M$136))*lgh_bs!O$32*M$142,0)</f>
        <v>159616.12188231156</v>
      </c>
      <c r="N161" s="1765">
        <f>IFERROR((N115/SUM(N$102:N$136))*lgh_bs!P$32*N$142,0)</f>
        <v>187088.8792297231</v>
      </c>
      <c r="O161" s="1781"/>
      <c r="P161" s="1781"/>
      <c r="Q161" s="1781"/>
      <c r="R161" s="248"/>
      <c r="S161" s="248"/>
      <c r="T161" s="248"/>
      <c r="U161" s="1743"/>
    </row>
    <row r="162" spans="1:21">
      <c r="A162" s="223" t="str">
        <f t="shared" si="21"/>
        <v>PE015 LBCW Holdings, LP</v>
      </c>
      <c r="B162" s="2054">
        <v>118587.1387969721</v>
      </c>
      <c r="C162" s="731">
        <f>IFERROR((C116/SUM(C$102:C$136))*lgh_bs!E$32*C$142,0)</f>
        <v>131951.23674988697</v>
      </c>
      <c r="D162" s="731">
        <f>IFERROR((D116/SUM(D$102:D$136))*lgh_bs!F$32*D$142,0)</f>
        <v>35188.44047483243</v>
      </c>
      <c r="E162" s="731">
        <f>IFERROR((E116/SUM(E$102:E$136))*lgh_bs!G$32*E$142,0)</f>
        <v>124520.9700263618</v>
      </c>
      <c r="F162" s="731">
        <f>IFERROR((F116/SUM(F$102:F$136))*lgh_bs!H$32*F$142,0)</f>
        <v>120491.19832931941</v>
      </c>
      <c r="G162" s="1765">
        <f>IFERROR((G116/SUM(G$102:G$136))*lgh_bs!I$32*G$142,0)</f>
        <v>125578.72065341179</v>
      </c>
      <c r="H162" s="1765">
        <f>IFERROR((H116/SUM(H$102:H$136))*lgh_bs!J$32*H$142,0)</f>
        <v>131627.9923953253</v>
      </c>
      <c r="I162" s="1765">
        <f>IFERROR((I116/SUM(I$102:I$136))*lgh_bs!K$32*I$142,0)</f>
        <v>138422.08849099505</v>
      </c>
      <c r="J162" s="1765">
        <f>IFERROR((J116/SUM(J$102:J$136))*lgh_bs!L$32*J$142,0)</f>
        <v>150682.33371532493</v>
      </c>
      <c r="K162" s="1796">
        <f>IFERROR((K116/SUM(K$102:K$136))*lgh_bs!M$32*K$142,0)</f>
        <v>175158.36331252422</v>
      </c>
      <c r="L162" s="1796">
        <f>IFERROR((L116/SUM(L$102:L$136))*lgh_bs!N$32*L$142,0)</f>
        <v>210841.4915192005</v>
      </c>
      <c r="M162" s="1796">
        <f>IFERROR((M116/SUM(M$102:M$136))*lgh_bs!O$32*M$142,0)</f>
        <v>248483.90603759818</v>
      </c>
      <c r="N162" s="1765">
        <f>IFERROR((N116/SUM(N$102:N$136))*lgh_bs!P$32*N$142,0)</f>
        <v>291252.38064282195</v>
      </c>
      <c r="O162" s="1781"/>
      <c r="P162" s="1781"/>
      <c r="Q162" s="1781"/>
      <c r="R162" s="248"/>
      <c r="S162" s="248"/>
      <c r="T162" s="248"/>
      <c r="U162" s="1743"/>
    </row>
    <row r="163" spans="1:21">
      <c r="A163" s="223" t="str">
        <f t="shared" si="21"/>
        <v>PE016 LBCW Holdings, LP</v>
      </c>
      <c r="B163" s="2054">
        <v>118587.1387969721</v>
      </c>
      <c r="C163" s="731">
        <f>IFERROR((C117/SUM(C$102:C$136))*lgh_bs!E$32*C$142,0)</f>
        <v>131951.23674988697</v>
      </c>
      <c r="D163" s="731">
        <f>IFERROR((D117/SUM(D$102:D$136))*lgh_bs!F$32*D$142,0)</f>
        <v>35188.44047483243</v>
      </c>
      <c r="E163" s="731">
        <f>IFERROR((E117/SUM(E$102:E$136))*lgh_bs!G$32*E$142,0)</f>
        <v>124520.9700263618</v>
      </c>
      <c r="F163" s="731">
        <f>IFERROR((F117/SUM(F$102:F$136))*lgh_bs!H$32*F$142,0)</f>
        <v>120491.19832931941</v>
      </c>
      <c r="G163" s="1765">
        <f>IFERROR((G117/SUM(G$102:G$136))*lgh_bs!I$32*G$142,0)</f>
        <v>125578.72065341179</v>
      </c>
      <c r="H163" s="1765">
        <f>IFERROR((H117/SUM(H$102:H$136))*lgh_bs!J$32*H$142,0)</f>
        <v>131627.9923953253</v>
      </c>
      <c r="I163" s="1765">
        <f>IFERROR((I117/SUM(I$102:I$136))*lgh_bs!K$32*I$142,0)</f>
        <v>138422.08849099505</v>
      </c>
      <c r="J163" s="1765">
        <f>IFERROR((J117/SUM(J$102:J$136))*lgh_bs!L$32*J$142,0)</f>
        <v>150682.33371532493</v>
      </c>
      <c r="K163" s="1796">
        <f>IFERROR((K117/SUM(K$102:K$136))*lgh_bs!M$32*K$142,0)</f>
        <v>175158.36331252422</v>
      </c>
      <c r="L163" s="1796">
        <f>IFERROR((L117/SUM(L$102:L$136))*lgh_bs!N$32*L$142,0)</f>
        <v>210841.4915192005</v>
      </c>
      <c r="M163" s="1796">
        <f>IFERROR((M117/SUM(M$102:M$136))*lgh_bs!O$32*M$142,0)</f>
        <v>248483.90603759818</v>
      </c>
      <c r="N163" s="1765">
        <f>IFERROR((N117/SUM(N$102:N$136))*lgh_bs!P$32*N$142,0)</f>
        <v>291252.38064282195</v>
      </c>
      <c r="O163" s="1781"/>
      <c r="P163" s="1781"/>
      <c r="Q163" s="1781"/>
      <c r="R163" s="248"/>
      <c r="S163" s="248"/>
      <c r="T163" s="248"/>
      <c r="U163" s="1743"/>
    </row>
    <row r="164" spans="1:21">
      <c r="A164" s="223" t="str">
        <f t="shared" si="21"/>
        <v>PE017 Arbor Green II LP</v>
      </c>
      <c r="B164" s="2054">
        <v>237174.27759394419</v>
      </c>
      <c r="C164" s="731">
        <f>IFERROR((C118/SUM(C$102:C$136))*lgh_bs!E$32*C$142,0)</f>
        <v>263902.47349977389</v>
      </c>
      <c r="D164" s="731">
        <f>IFERROR((D118/SUM(D$102:D$136))*lgh_bs!F$32*D$142,0)</f>
        <v>70376.880949664846</v>
      </c>
      <c r="E164" s="731">
        <f>IFERROR((E118/SUM(E$102:E$136))*lgh_bs!G$32*E$142,0)</f>
        <v>249041.94005272354</v>
      </c>
      <c r="F164" s="731">
        <f>IFERROR((F118/SUM(F$102:F$136))*lgh_bs!H$32*F$142,0)</f>
        <v>240982.3966586387</v>
      </c>
      <c r="G164" s="1765">
        <f>IFERROR((G118/SUM(G$102:G$136))*lgh_bs!I$32*G$142,0)</f>
        <v>251157.44130682354</v>
      </c>
      <c r="H164" s="1765">
        <f>IFERROR((H118/SUM(H$102:H$136))*lgh_bs!J$32*H$142,0)</f>
        <v>263255.98479065055</v>
      </c>
      <c r="I164" s="1765">
        <f>IFERROR((I118/SUM(I$102:I$136))*lgh_bs!K$32*I$142,0)</f>
        <v>276844.17698199011</v>
      </c>
      <c r="J164" s="1765">
        <f>IFERROR((J118/SUM(J$102:J$136))*lgh_bs!L$32*J$142,0)</f>
        <v>301364.66743064986</v>
      </c>
      <c r="K164" s="1796">
        <f>IFERROR((K118/SUM(K$102:K$136))*lgh_bs!M$32*K$142,0)</f>
        <v>350316.72662504832</v>
      </c>
      <c r="L164" s="1796">
        <f>IFERROR((L118/SUM(L$102:L$136))*lgh_bs!N$32*L$142,0)</f>
        <v>421682.98303840094</v>
      </c>
      <c r="M164" s="1796">
        <f>IFERROR((M118/SUM(M$102:M$136))*lgh_bs!O$32*M$142,0)</f>
        <v>496967.8120751963</v>
      </c>
      <c r="N164" s="1765">
        <f>IFERROR((N118/SUM(N$102:N$136))*lgh_bs!P$32*N$142,0)</f>
        <v>582504.76128564379</v>
      </c>
      <c r="O164" s="1781"/>
      <c r="P164" s="1781"/>
      <c r="Q164" s="1781"/>
      <c r="R164" s="248"/>
      <c r="S164" s="248"/>
      <c r="T164" s="248"/>
      <c r="U164" s="1743"/>
    </row>
    <row r="165" spans="1:21">
      <c r="A165" s="223" t="str">
        <f t="shared" si="21"/>
        <v>PE018 Todd &amp; Stephanie Routh</v>
      </c>
      <c r="B165" s="2054">
        <v>77081.640218031855</v>
      </c>
      <c r="C165" s="731">
        <f>IFERROR((C119/SUM(C$102:C$136))*lgh_bs!E$32*C$142,0)</f>
        <v>85768.303887426518</v>
      </c>
      <c r="D165" s="731">
        <f>IFERROR((D119/SUM(D$102:D$136))*lgh_bs!F$32*D$142,0)</f>
        <v>22872.486308641077</v>
      </c>
      <c r="E165" s="731">
        <f>IFERROR((E119/SUM(E$102:E$136))*lgh_bs!G$32*E$142,0)</f>
        <v>80938.630517135141</v>
      </c>
      <c r="F165" s="731">
        <f>IFERROR((F119/SUM(F$102:F$136))*lgh_bs!H$32*F$142,0)</f>
        <v>78319.278914057577</v>
      </c>
      <c r="G165" s="1765">
        <f>IFERROR((G119/SUM(G$102:G$136))*lgh_bs!I$32*G$142,0)</f>
        <v>81626.16842471766</v>
      </c>
      <c r="H165" s="1765">
        <f>IFERROR((H119/SUM(H$102:H$136))*lgh_bs!J$32*H$142,0)</f>
        <v>85558.195056961427</v>
      </c>
      <c r="I165" s="1765">
        <f>IFERROR((I119/SUM(I$102:I$136))*lgh_bs!K$32*I$142,0)</f>
        <v>89974.357519146768</v>
      </c>
      <c r="J165" s="1765">
        <f>IFERROR((J119/SUM(J$102:J$136))*lgh_bs!L$32*J$142,0)</f>
        <v>97943.516914961205</v>
      </c>
      <c r="K165" s="1796">
        <f>IFERROR((K119/SUM(K$102:K$136))*lgh_bs!M$32*K$142,0)</f>
        <v>113852.93615314072</v>
      </c>
      <c r="L165" s="1796">
        <f>IFERROR((L119/SUM(L$102:L$136))*lgh_bs!N$32*L$142,0)</f>
        <v>137046.9694874803</v>
      </c>
      <c r="M165" s="1796">
        <f>IFERROR((M119/SUM(M$102:M$136))*lgh_bs!O$32*M$142,0)</f>
        <v>161514.53892443879</v>
      </c>
      <c r="N165" s="1765">
        <f>IFERROR((N119/SUM(N$102:N$136))*lgh_bs!P$32*N$142,0)</f>
        <v>189314.04741783423</v>
      </c>
      <c r="O165" s="1781"/>
      <c r="P165" s="1781"/>
      <c r="Q165" s="1781"/>
      <c r="R165" s="248"/>
      <c r="S165" s="248"/>
      <c r="T165" s="248"/>
      <c r="U165" s="1743"/>
    </row>
    <row r="166" spans="1:21">
      <c r="A166" s="223" t="str">
        <f t="shared" si="21"/>
        <v>PE019 Todd &amp; Stephanie Routh</v>
      </c>
      <c r="B166" s="2054">
        <v>23717.427759394421</v>
      </c>
      <c r="C166" s="731">
        <f>IFERROR((C120/SUM(C$102:C$136))*lgh_bs!E$32*C$142,0)</f>
        <v>26390.247349977395</v>
      </c>
      <c r="D166" s="731">
        <f>IFERROR((D120/SUM(D$102:D$136))*lgh_bs!F$32*D$142,0)</f>
        <v>7037.6880949664856</v>
      </c>
      <c r="E166" s="731">
        <f>IFERROR((E120/SUM(E$102:E$136))*lgh_bs!G$32*E$142,0)</f>
        <v>24904.194005272355</v>
      </c>
      <c r="F166" s="731">
        <f>IFERROR((F120/SUM(F$102:F$136))*lgh_bs!H$32*F$142,0)</f>
        <v>24098.239665863875</v>
      </c>
      <c r="G166" s="1765">
        <f>IFERROR((G120/SUM(G$102:G$136))*lgh_bs!I$32*G$142,0)</f>
        <v>25115.744130682357</v>
      </c>
      <c r="H166" s="1765">
        <f>IFERROR((H120/SUM(H$102:H$136))*lgh_bs!J$32*H$142,0)</f>
        <v>26325.598479065055</v>
      </c>
      <c r="I166" s="1765">
        <f>IFERROR((I120/SUM(I$102:I$136))*lgh_bs!K$32*I$142,0)</f>
        <v>27684.417698199009</v>
      </c>
      <c r="J166" s="1765">
        <f>IFERROR((J120/SUM(J$102:J$136))*lgh_bs!L$32*J$142,0)</f>
        <v>30136.466743064986</v>
      </c>
      <c r="K166" s="1796">
        <f>IFERROR((K120/SUM(K$102:K$136))*lgh_bs!M$32*K$142,0)</f>
        <v>35031.672662504832</v>
      </c>
      <c r="L166" s="1796">
        <f>IFERROR((L120/SUM(L$102:L$136))*lgh_bs!N$32*L$142,0)</f>
        <v>42168.298303840093</v>
      </c>
      <c r="M166" s="1796">
        <f>IFERROR((M120/SUM(M$102:M$136))*lgh_bs!O$32*M$142,0)</f>
        <v>49696.781207519634</v>
      </c>
      <c r="N166" s="1765">
        <f>IFERROR((N120/SUM(N$102:N$136))*lgh_bs!P$32*N$142,0)</f>
        <v>58250.476128564384</v>
      </c>
      <c r="O166" s="1781"/>
      <c r="P166" s="1781"/>
      <c r="Q166" s="1781"/>
      <c r="R166" s="248"/>
      <c r="S166" s="248"/>
      <c r="T166" s="248"/>
      <c r="U166" s="1743"/>
    </row>
    <row r="167" spans="1:21">
      <c r="A167" s="223" t="str">
        <f t="shared" si="21"/>
        <v>PE020 Todd &amp; Stephanie Routh</v>
      </c>
      <c r="B167" s="2054">
        <v>136375.20961651791</v>
      </c>
      <c r="C167" s="731">
        <f>IFERROR((C121/SUM(C$102:C$136))*lgh_bs!E$32*C$142,0)</f>
        <v>151743.92226237009</v>
      </c>
      <c r="D167" s="731">
        <f>IFERROR((D121/SUM(D$102:D$136))*lgh_bs!F$32*D$142,0)</f>
        <v>40466.706546057314</v>
      </c>
      <c r="E167" s="731">
        <f>IFERROR((E121/SUM(E$102:E$136))*lgh_bs!G$32*E$142,0)</f>
        <v>143199.11553031611</v>
      </c>
      <c r="F167" s="731">
        <f>IFERROR((F121/SUM(F$102:F$136))*lgh_bs!H$32*F$142,0)</f>
        <v>138564.87807871733</v>
      </c>
      <c r="G167" s="1765">
        <f>IFERROR((G121/SUM(G$102:G$136))*lgh_bs!I$32*G$142,0)</f>
        <v>144415.52875142361</v>
      </c>
      <c r="H167" s="1765">
        <f>IFERROR((H121/SUM(H$102:H$136))*lgh_bs!J$32*H$142,0)</f>
        <v>151372.19125462414</v>
      </c>
      <c r="I167" s="1765">
        <f>IFERROR((I121/SUM(I$102:I$136))*lgh_bs!K$32*I$142,0)</f>
        <v>159185.40176464437</v>
      </c>
      <c r="J167" s="1765">
        <f>IFERROR((J121/SUM(J$102:J$136))*lgh_bs!L$32*J$142,0)</f>
        <v>173284.68377262374</v>
      </c>
      <c r="K167" s="1796">
        <f>IFERROR((K121/SUM(K$102:K$136))*lgh_bs!M$32*K$142,0)</f>
        <v>201432.1178094029</v>
      </c>
      <c r="L167" s="1796">
        <f>IFERROR((L121/SUM(L$102:L$136))*lgh_bs!N$32*L$142,0)</f>
        <v>242467.71524708066</v>
      </c>
      <c r="M167" s="1796">
        <f>IFERROR((M121/SUM(M$102:M$136))*lgh_bs!O$32*M$142,0)</f>
        <v>285756.49194323795</v>
      </c>
      <c r="N167" s="1765">
        <f>IFERROR((N121/SUM(N$102:N$136))*lgh_bs!P$32*N$142,0)</f>
        <v>334940.23773924535</v>
      </c>
      <c r="O167" s="1781"/>
      <c r="P167" s="1781"/>
      <c r="Q167" s="1781"/>
      <c r="R167" s="248"/>
      <c r="S167" s="248"/>
      <c r="T167" s="248"/>
      <c r="U167" s="1743"/>
    </row>
    <row r="168" spans="1:21">
      <c r="A168" s="223" t="str">
        <f t="shared" si="21"/>
        <v>PE021 Todd &amp; Stephanie Routh</v>
      </c>
      <c r="B168" s="2054">
        <v>237174.27759394419</v>
      </c>
      <c r="C168" s="731">
        <f>IFERROR((C122/SUM(C$102:C$136))*lgh_bs!E$32*C$142,0)</f>
        <v>263902.47349977389</v>
      </c>
      <c r="D168" s="731">
        <f>IFERROR((D122/SUM(D$102:D$136))*lgh_bs!F$32*D$142,0)</f>
        <v>70376.880949664846</v>
      </c>
      <c r="E168" s="731">
        <f>IFERROR((E122/SUM(E$102:E$136))*lgh_bs!G$32*E$142,0)</f>
        <v>249041.94005272354</v>
      </c>
      <c r="F168" s="731">
        <f>IFERROR((F122/SUM(F$102:F$136))*lgh_bs!H$32*F$142,0)</f>
        <v>240982.3966586387</v>
      </c>
      <c r="G168" s="1765">
        <f>IFERROR((G122/SUM(G$102:G$136))*lgh_bs!I$32*G$142,0)</f>
        <v>251157.44130682354</v>
      </c>
      <c r="H168" s="1765">
        <f>IFERROR((H122/SUM(H$102:H$136))*lgh_bs!J$32*H$142,0)</f>
        <v>263255.98479065055</v>
      </c>
      <c r="I168" s="1765">
        <f>IFERROR((I122/SUM(I$102:I$136))*lgh_bs!K$32*I$142,0)</f>
        <v>276844.17698199011</v>
      </c>
      <c r="J168" s="1765">
        <f>IFERROR((J122/SUM(J$102:J$136))*lgh_bs!L$32*J$142,0)</f>
        <v>301364.66743064986</v>
      </c>
      <c r="K168" s="1796">
        <f>IFERROR((K122/SUM(K$102:K$136))*lgh_bs!M$32*K$142,0)</f>
        <v>350316.72662504832</v>
      </c>
      <c r="L168" s="1796">
        <f>IFERROR((L122/SUM(L$102:L$136))*lgh_bs!N$32*L$142,0)</f>
        <v>421682.98303840094</v>
      </c>
      <c r="M168" s="1796">
        <f>IFERROR((M122/SUM(M$102:M$136))*lgh_bs!O$32*M$142,0)</f>
        <v>496967.8120751963</v>
      </c>
      <c r="N168" s="1765">
        <f>IFERROR((N122/SUM(N$102:N$136))*lgh_bs!P$32*N$142,0)</f>
        <v>582504.76128564379</v>
      </c>
      <c r="O168" s="1781"/>
      <c r="P168" s="1781"/>
      <c r="Q168" s="1781"/>
      <c r="R168" s="248"/>
      <c r="S168" s="248"/>
      <c r="T168" s="248"/>
      <c r="U168" s="1743"/>
    </row>
    <row r="169" spans="1:21">
      <c r="A169" s="223" t="str">
        <f t="shared" si="21"/>
        <v>PE022 Huston Street</v>
      </c>
      <c r="B169" s="2054">
        <v>237174.27759394419</v>
      </c>
      <c r="C169" s="731">
        <f>IFERROR((C123/SUM(C$102:C$136))*lgh_bs!E$32*C$142,0)</f>
        <v>263902.47349977389</v>
      </c>
      <c r="D169" s="731">
        <f>IFERROR((D123/SUM(D$102:D$136))*lgh_bs!F$32*D$142,0)</f>
        <v>70376.880949664846</v>
      </c>
      <c r="E169" s="731">
        <f>IFERROR((E123/SUM(E$102:E$136))*lgh_bs!G$32*E$142,0)</f>
        <v>249041.94005272354</v>
      </c>
      <c r="F169" s="731">
        <f>IFERROR((F123/SUM(F$102:F$136))*lgh_bs!H$32*F$142,0)</f>
        <v>240982.3966586387</v>
      </c>
      <c r="G169" s="1765">
        <f>IFERROR((G123/SUM(G$102:G$136))*lgh_bs!I$32*G$142,0)</f>
        <v>251157.44130682354</v>
      </c>
      <c r="H169" s="1765">
        <f>IFERROR((H123/SUM(H$102:H$136))*lgh_bs!J$32*H$142,0)</f>
        <v>263255.98479065055</v>
      </c>
      <c r="I169" s="1765">
        <f>IFERROR((I123/SUM(I$102:I$136))*lgh_bs!K$32*I$142,0)</f>
        <v>276844.17698199011</v>
      </c>
      <c r="J169" s="1765">
        <f>IFERROR((J123/SUM(J$102:J$136))*lgh_bs!L$32*J$142,0)</f>
        <v>301364.66743064986</v>
      </c>
      <c r="K169" s="1796">
        <f>IFERROR((K123/SUM(K$102:K$136))*lgh_bs!M$32*K$142,0)</f>
        <v>350316.72662504832</v>
      </c>
      <c r="L169" s="1796">
        <f>IFERROR((L123/SUM(L$102:L$136))*lgh_bs!N$32*L$142,0)</f>
        <v>421682.98303840094</v>
      </c>
      <c r="M169" s="1796">
        <f>IFERROR((M123/SUM(M$102:M$136))*lgh_bs!O$32*M$142,0)</f>
        <v>496967.8120751963</v>
      </c>
      <c r="N169" s="1765">
        <f>IFERROR((N123/SUM(N$102:N$136))*lgh_bs!P$32*N$142,0)</f>
        <v>582504.76128564379</v>
      </c>
      <c r="O169" s="1781"/>
      <c r="P169" s="1781"/>
      <c r="Q169" s="1781"/>
      <c r="R169" s="248"/>
      <c r="S169" s="248"/>
      <c r="T169" s="248"/>
      <c r="U169" s="1743"/>
    </row>
    <row r="170" spans="1:21">
      <c r="A170" s="223" t="str">
        <f t="shared" si="21"/>
        <v>PE023 Bruner Interests LLC</v>
      </c>
      <c r="B170" s="2054">
        <v>63479.695398019168</v>
      </c>
      <c r="C170" s="731">
        <f>IFERROR((C124/SUM(C$102:C$136))*lgh_bs!E$32*C$142,0)</f>
        <v>70633.497032214495</v>
      </c>
      <c r="D170" s="731">
        <f>IFERROR((D124/SUM(D$102:D$136))*lgh_bs!F$32*D$142,0)</f>
        <v>18836.372186177799</v>
      </c>
      <c r="E170" s="731">
        <f>IFERROR((E124/SUM(E$102:E$136))*lgh_bs!G$32*E$142,0)</f>
        <v>66656.075255111456</v>
      </c>
      <c r="F170" s="731">
        <f>IFERROR((F124/SUM(F$102:F$136))*lgh_bs!H$32*F$142,0)</f>
        <v>64498.938465684667</v>
      </c>
      <c r="G170" s="1765">
        <f>IFERROR((G124/SUM(G$102:G$136))*lgh_bs!I$32*G$142,0)</f>
        <v>67222.289165771334</v>
      </c>
      <c r="H170" s="1765">
        <f>IFERROR((H124/SUM(H$102:H$136))*lgh_bs!J$32*H$142,0)</f>
        <v>70460.464329217633</v>
      </c>
      <c r="I170" s="1765">
        <f>IFERROR((I124/SUM(I$102:I$136))*lgh_bs!K$32*I$142,0)</f>
        <v>74097.343969229652</v>
      </c>
      <c r="J170" s="1765">
        <f>IFERROR((J124/SUM(J$102:J$136))*lgh_bs!L$32*J$142,0)</f>
        <v>80660.253237813435</v>
      </c>
      <c r="K170" s="1796">
        <f>IFERROR((K124/SUM(K$102:K$136))*lgh_bs!M$32*K$142,0)</f>
        <v>93762.271881194203</v>
      </c>
      <c r="L170" s="1796">
        <f>IFERROR((L124/SUM(L$102:L$136))*lgh_bs!N$32*L$142,0)</f>
        <v>112863.45041022802</v>
      </c>
      <c r="M170" s="1796">
        <f>IFERROR((M124/SUM(M$102:M$136))*lgh_bs!O$32*M$142,0)</f>
        <v>133013.43490192629</v>
      </c>
      <c r="N170" s="1765">
        <f>IFERROR((N124/SUM(N$102:N$136))*lgh_bs!P$32*N$142,0)</f>
        <v>155907.39935810256</v>
      </c>
      <c r="O170" s="1781"/>
      <c r="P170" s="1781"/>
      <c r="Q170" s="1781"/>
      <c r="R170" s="248"/>
      <c r="S170" s="248"/>
      <c r="T170" s="248"/>
      <c r="U170" s="1743"/>
    </row>
    <row r="171" spans="1:21">
      <c r="A171" s="223" t="str">
        <f t="shared" si="21"/>
        <v>PE024 Bruner Interests LLC</v>
      </c>
      <c r="B171" s="2054">
        <v>15869.92384950479</v>
      </c>
      <c r="C171" s="731">
        <f>IFERROR((C125/SUM(C$102:C$136))*lgh_bs!E$32*C$142,0)</f>
        <v>17658.374258053624</v>
      </c>
      <c r="D171" s="731">
        <f>IFERROR((D125/SUM(D$102:D$136))*lgh_bs!F$32*D$142,0)</f>
        <v>4709.0930465444499</v>
      </c>
      <c r="E171" s="731">
        <f>IFERROR((E125/SUM(E$102:E$136))*lgh_bs!G$32*E$142,0)</f>
        <v>16664.018813777864</v>
      </c>
      <c r="F171" s="731">
        <f>IFERROR((F125/SUM(F$102:F$136))*lgh_bs!H$32*F$142,0)</f>
        <v>16124.734616421167</v>
      </c>
      <c r="G171" s="1765">
        <f>IFERROR((G125/SUM(G$102:G$136))*lgh_bs!I$32*G$142,0)</f>
        <v>16805.572291442833</v>
      </c>
      <c r="H171" s="1765">
        <f>IFERROR((H125/SUM(H$102:H$136))*lgh_bs!J$32*H$142,0)</f>
        <v>17615.116082304408</v>
      </c>
      <c r="I171" s="1765">
        <f>IFERROR((I125/SUM(I$102:I$136))*lgh_bs!K$32*I$142,0)</f>
        <v>18524.335992307413</v>
      </c>
      <c r="J171" s="1765">
        <f>IFERROR((J125/SUM(J$102:J$136))*lgh_bs!L$32*J$142,0)</f>
        <v>20165.063309453359</v>
      </c>
      <c r="K171" s="1796">
        <f>IFERROR((K125/SUM(K$102:K$136))*lgh_bs!M$32*K$142,0)</f>
        <v>23440.567970298551</v>
      </c>
      <c r="L171" s="1796">
        <f>IFERROR((L125/SUM(L$102:L$136))*lgh_bs!N$32*L$142,0)</f>
        <v>28215.862602557005</v>
      </c>
      <c r="M171" s="1796">
        <f>IFERROR((M125/SUM(M$102:M$136))*lgh_bs!O$32*M$142,0)</f>
        <v>33253.358725481572</v>
      </c>
      <c r="N171" s="1765">
        <f>IFERROR((N125/SUM(N$102:N$136))*lgh_bs!P$32*N$142,0)</f>
        <v>38976.849839525639</v>
      </c>
      <c r="O171" s="1781"/>
      <c r="P171" s="1781"/>
      <c r="Q171" s="1781"/>
      <c r="R171" s="248"/>
      <c r="S171" s="248"/>
      <c r="T171" s="248"/>
      <c r="U171" s="1743"/>
    </row>
    <row r="172" spans="1:21">
      <c r="A172" s="223" t="str">
        <f t="shared" si="21"/>
        <v>PE025 Sandollar Holdings Limited</v>
      </c>
      <c r="B172" s="2054">
        <v>31739.847699009581</v>
      </c>
      <c r="C172" s="731">
        <f>IFERROR((C126/SUM(C$102:C$136))*lgh_bs!E$32*C$142,0)</f>
        <v>35316.748516107247</v>
      </c>
      <c r="D172" s="731">
        <f>IFERROR((D126/SUM(D$102:D$136))*lgh_bs!F$32*D$142,0)</f>
        <v>9418.1860930888997</v>
      </c>
      <c r="E172" s="731">
        <f>IFERROR((E126/SUM(E$102:E$136))*lgh_bs!G$32*E$142,0)</f>
        <v>33328.037627555728</v>
      </c>
      <c r="F172" s="731">
        <f>IFERROR((F126/SUM(F$102:F$136))*lgh_bs!H$32*F$142,0)</f>
        <v>32249.469232842333</v>
      </c>
      <c r="G172" s="1765">
        <f>IFERROR((G126/SUM(G$102:G$136))*lgh_bs!I$32*G$142,0)</f>
        <v>33611.144582885667</v>
      </c>
      <c r="H172" s="1765">
        <f>IFERROR((H126/SUM(H$102:H$136))*lgh_bs!J$32*H$142,0)</f>
        <v>35230.232164608817</v>
      </c>
      <c r="I172" s="1765">
        <f>IFERROR((I126/SUM(I$102:I$136))*lgh_bs!K$32*I$142,0)</f>
        <v>37048.671984614826</v>
      </c>
      <c r="J172" s="1765">
        <f>IFERROR((J126/SUM(J$102:J$136))*lgh_bs!L$32*J$142,0)</f>
        <v>40330.126618906717</v>
      </c>
      <c r="K172" s="1796">
        <f>IFERROR((K126/SUM(K$102:K$136))*lgh_bs!M$32*K$142,0)</f>
        <v>46881.135940597102</v>
      </c>
      <c r="L172" s="1796">
        <f>IFERROR((L126/SUM(L$102:L$136))*lgh_bs!N$32*L$142,0)</f>
        <v>56431.725205114009</v>
      </c>
      <c r="M172" s="1796">
        <f>IFERROR((M126/SUM(M$102:M$136))*lgh_bs!O$32*M$142,0)</f>
        <v>66506.717450963144</v>
      </c>
      <c r="N172" s="1765">
        <f>IFERROR((N126/SUM(N$102:N$136))*lgh_bs!P$32*N$142,0)</f>
        <v>77953.699679051279</v>
      </c>
      <c r="O172" s="1781"/>
      <c r="P172" s="1781"/>
      <c r="Q172" s="1781"/>
      <c r="R172" s="248"/>
      <c r="S172" s="248"/>
      <c r="T172" s="248"/>
      <c r="U172" s="1743"/>
    </row>
    <row r="173" spans="1:21">
      <c r="A173" s="223" t="str">
        <f t="shared" si="21"/>
        <v>PE026 James Neuhauser (Jim)</v>
      </c>
      <c r="B173" s="2054">
        <v>31739.847699009581</v>
      </c>
      <c r="C173" s="731">
        <f>IFERROR((C127/SUM(C$102:C$136))*lgh_bs!E$32*C$142,0)</f>
        <v>35316.748516107247</v>
      </c>
      <c r="D173" s="731">
        <f>IFERROR((D127/SUM(D$102:D$136))*lgh_bs!F$32*D$142,0)</f>
        <v>9418.1860930888997</v>
      </c>
      <c r="E173" s="731">
        <f>IFERROR((E127/SUM(E$102:E$136))*lgh_bs!G$32*E$142,0)</f>
        <v>33328.037627555728</v>
      </c>
      <c r="F173" s="731">
        <f>IFERROR((F127/SUM(F$102:F$136))*lgh_bs!H$32*F$142,0)</f>
        <v>32249.469232842333</v>
      </c>
      <c r="G173" s="1765">
        <f>IFERROR((G127/SUM(G$102:G$136))*lgh_bs!I$32*G$142,0)</f>
        <v>33611.144582885667</v>
      </c>
      <c r="H173" s="1765">
        <f>IFERROR((H127/SUM(H$102:H$136))*lgh_bs!J$32*H$142,0)</f>
        <v>35230.232164608817</v>
      </c>
      <c r="I173" s="1765">
        <f>IFERROR((I127/SUM(I$102:I$136))*lgh_bs!K$32*I$142,0)</f>
        <v>37048.671984614826</v>
      </c>
      <c r="J173" s="1765">
        <f>IFERROR((J127/SUM(J$102:J$136))*lgh_bs!L$32*J$142,0)</f>
        <v>40330.126618906717</v>
      </c>
      <c r="K173" s="1796">
        <f>IFERROR((K127/SUM(K$102:K$136))*lgh_bs!M$32*K$142,0)</f>
        <v>46881.135940597102</v>
      </c>
      <c r="L173" s="1796">
        <f>IFERROR((L127/SUM(L$102:L$136))*lgh_bs!N$32*L$142,0)</f>
        <v>56431.725205114009</v>
      </c>
      <c r="M173" s="1796">
        <f>IFERROR((M127/SUM(M$102:M$136))*lgh_bs!O$32*M$142,0)</f>
        <v>66506.717450963144</v>
      </c>
      <c r="N173" s="1765">
        <f>IFERROR((N127/SUM(N$102:N$136))*lgh_bs!P$32*N$142,0)</f>
        <v>77953.699679051279</v>
      </c>
      <c r="O173" s="1781"/>
      <c r="P173" s="1781"/>
      <c r="Q173" s="1781"/>
      <c r="R173" s="248"/>
      <c r="S173" s="248"/>
      <c r="T173" s="248"/>
      <c r="U173" s="1743"/>
    </row>
    <row r="174" spans="1:21">
      <c r="A174" s="223" t="str">
        <f t="shared" si="21"/>
        <v>PE027 PFNGT LLC_side letter part % adj.</v>
      </c>
      <c r="B174" s="2054">
        <v>29943252.546235461</v>
      </c>
      <c r="C174" s="731">
        <f>IFERROR((C128/SUM(C$102:C$136))*lgh_bs!E$32*C$142,0)</f>
        <v>33317687.279346459</v>
      </c>
      <c r="D174" s="731">
        <f>IFERROR((D128/SUM(D$102:D$136))*lgh_bs!F$32*D$142,0)</f>
        <v>8885081.2198951896</v>
      </c>
      <c r="E174" s="731">
        <f>IFERROR((E128/SUM(E$102:E$136))*lgh_bs!G$32*E$142,0)</f>
        <v>0</v>
      </c>
      <c r="F174" s="731">
        <f>IFERROR((F128/SUM(F$102:F$136))*lgh_bs!H$32*F$142,0)</f>
        <v>0</v>
      </c>
      <c r="G174" s="1765">
        <f>IFERROR((G128/SUM(G$102:G$136))*lgh_bs!I$32*G$142,0)</f>
        <v>0</v>
      </c>
      <c r="H174" s="1765">
        <f>IFERROR((H128/SUM(H$102:H$136))*lgh_bs!J$32*H$142,0)</f>
        <v>0</v>
      </c>
      <c r="I174" s="1765">
        <f>IFERROR((I128/SUM(I$102:I$136))*lgh_bs!K$32*I$142,0)</f>
        <v>0</v>
      </c>
      <c r="J174" s="1765">
        <f>IFERROR((J128/SUM(J$102:J$136))*lgh_bs!L$32*J$142,0)</f>
        <v>0</v>
      </c>
      <c r="K174" s="1796">
        <f>IFERROR((K128/SUM(K$102:K$136))*lgh_bs!M$32*K$142,0)</f>
        <v>0</v>
      </c>
      <c r="L174" s="1796">
        <f>IFERROR((L128/SUM(L$102:L$136))*lgh_bs!N$32*L$142,0)</f>
        <v>0</v>
      </c>
      <c r="M174" s="1796">
        <f>IFERROR((M128/SUM(M$102:M$136))*lgh_bs!O$32*M$142,0)</f>
        <v>0</v>
      </c>
      <c r="N174" s="1765">
        <f>IFERROR((N128/SUM(N$102:N$136))*lgh_bs!P$32*N$142,0)</f>
        <v>0</v>
      </c>
      <c r="O174" s="1781"/>
      <c r="P174" s="1781"/>
      <c r="Q174" s="1781"/>
      <c r="R174" s="248"/>
      <c r="S174" s="248"/>
      <c r="T174" s="248"/>
      <c r="U174" s="1743"/>
    </row>
    <row r="175" spans="1:21">
      <c r="A175" s="223" t="str">
        <f t="shared" si="21"/>
        <v>PE028 La Pointe Investments LLC</v>
      </c>
      <c r="B175" s="2054">
        <v>1197730.1018494179</v>
      </c>
      <c r="C175" s="731">
        <f>IFERROR((C129/SUM(C$102:C$136))*lgh_bs!E$32*C$142,0)</f>
        <v>1332707.4911738585</v>
      </c>
      <c r="D175" s="731">
        <f>IFERROR((D129/SUM(D$102:D$136))*lgh_bs!F$32*D$142,0)</f>
        <v>355403.24879580759</v>
      </c>
      <c r="E175" s="731">
        <f>IFERROR((E129/SUM(E$102:E$136))*lgh_bs!G$32*E$142,0)</f>
        <v>1257661.7972662544</v>
      </c>
      <c r="F175" s="731">
        <f>IFERROR((F129/SUM(F$102:F$136))*lgh_bs!H$32*F$142,0)</f>
        <v>1216961.1031261259</v>
      </c>
      <c r="G175" s="1765">
        <f>IFERROR((G129/SUM(G$102:G$136))*lgh_bs!I$32*G$142,0)</f>
        <v>1268345.0785994593</v>
      </c>
      <c r="H175" s="1765">
        <f>IFERROR((H129/SUM(H$102:H$136))*lgh_bs!J$32*H$142,0)</f>
        <v>1329442.7231927856</v>
      </c>
      <c r="I175" s="1765">
        <f>IFERROR((I129/SUM(I$102:I$136))*lgh_bs!K$32*I$142,0)</f>
        <v>1398063.0937590501</v>
      </c>
      <c r="J175" s="1765">
        <f>IFERROR((J129/SUM(J$102:J$136))*lgh_bs!L$32*J$142,0)</f>
        <v>1521891.5705247819</v>
      </c>
      <c r="K175" s="1796">
        <f>IFERROR((K129/SUM(K$102:K$136))*lgh_bs!M$32*K$142,0)</f>
        <v>1769099.4694564946</v>
      </c>
      <c r="L175" s="1796">
        <f>IFERROR((L129/SUM(L$102:L$136))*lgh_bs!N$32*L$142,0)</f>
        <v>2129499.0643439251</v>
      </c>
      <c r="M175" s="1796">
        <f>IFERROR((M129/SUM(M$102:M$136))*lgh_bs!O$32*M$142,0)</f>
        <v>2509687.4509797418</v>
      </c>
      <c r="N175" s="1765">
        <f>IFERROR((N129/SUM(N$102:N$136))*lgh_bs!P$32*N$142,0)</f>
        <v>2941649.0444925018</v>
      </c>
      <c r="O175" s="1781"/>
      <c r="P175" s="1781"/>
      <c r="Q175" s="1781"/>
      <c r="R175" s="248"/>
      <c r="S175" s="248"/>
      <c r="T175" s="248"/>
      <c r="U175" s="1743"/>
    </row>
    <row r="176" spans="1:21">
      <c r="A176" s="223" t="str">
        <f t="shared" si="21"/>
        <v>PE029 La Pointe Investments LLC</v>
      </c>
      <c r="B176" s="2054">
        <v>1197730.1018494179</v>
      </c>
      <c r="C176" s="731">
        <f>IFERROR((C130/SUM(C$102:C$136))*lgh_bs!E$32*C$142,0)</f>
        <v>1332707.4911738585</v>
      </c>
      <c r="D176" s="731">
        <f>IFERROR((D130/SUM(D$102:D$136))*lgh_bs!F$32*D$142,0)</f>
        <v>355403.24879580759</v>
      </c>
      <c r="E176" s="731">
        <f>IFERROR((E130/SUM(E$102:E$136))*lgh_bs!G$32*E$142,0)</f>
        <v>1257661.7972662544</v>
      </c>
      <c r="F176" s="731">
        <f>IFERROR((F130/SUM(F$102:F$136))*lgh_bs!H$32*F$142,0)</f>
        <v>1216961.1031261259</v>
      </c>
      <c r="G176" s="1765">
        <f>IFERROR((G130/SUM(G$102:G$136))*lgh_bs!I$32*G$142,0)</f>
        <v>1268345.0785994593</v>
      </c>
      <c r="H176" s="1765">
        <f>IFERROR((H130/SUM(H$102:H$136))*lgh_bs!J$32*H$142,0)</f>
        <v>1329442.7231927856</v>
      </c>
      <c r="I176" s="1765">
        <f>IFERROR((I130/SUM(I$102:I$136))*lgh_bs!K$32*I$142,0)</f>
        <v>1398063.0937590501</v>
      </c>
      <c r="J176" s="1765">
        <f>IFERROR((J130/SUM(J$102:J$136))*lgh_bs!L$32*J$142,0)</f>
        <v>1521891.5705247819</v>
      </c>
      <c r="K176" s="1796">
        <f>IFERROR((K130/SUM(K$102:K$136))*lgh_bs!M$32*K$142,0)</f>
        <v>1769099.4694564946</v>
      </c>
      <c r="L176" s="1796">
        <f>IFERROR((L130/SUM(L$102:L$136))*lgh_bs!N$32*L$142,0)</f>
        <v>2129499.0643439251</v>
      </c>
      <c r="M176" s="1796">
        <f>IFERROR((M130/SUM(M$102:M$136))*lgh_bs!O$32*M$142,0)</f>
        <v>2509687.4509797418</v>
      </c>
      <c r="N176" s="1765">
        <f>IFERROR((N130/SUM(N$102:N$136))*lgh_bs!P$32*N$142,0)</f>
        <v>2941649.0444925018</v>
      </c>
      <c r="O176" s="1781"/>
      <c r="P176" s="1781"/>
      <c r="Q176" s="1781"/>
      <c r="R176" s="248"/>
      <c r="S176" s="248"/>
      <c r="T176" s="248"/>
      <c r="U176" s="1743"/>
    </row>
    <row r="177" spans="1:21">
      <c r="A177" s="223" t="str">
        <f t="shared" si="21"/>
        <v>PE030 King Partner Pref convert</v>
      </c>
      <c r="B177" s="2054">
        <v>0</v>
      </c>
      <c r="C177" s="731">
        <f>IFERROR((C131/SUM(C$102:C$136))*lgh_bs!E$32*C$142,0)</f>
        <v>854665.31408979534</v>
      </c>
      <c r="D177" s="731">
        <f>IFERROR((D131/SUM(D$102:D$136))*lgh_bs!F$32*D$142,0)</f>
        <v>281709.2478676007</v>
      </c>
      <c r="E177" s="731">
        <f>IFERROR((E131/SUM(E$102:E$136))*lgh_bs!G$32*E$142,0)</f>
        <v>1000071.6202024183</v>
      </c>
      <c r="F177" s="731">
        <f>IFERROR((F131/SUM(F$102:F$136))*lgh_bs!H$32*F$142,0)</f>
        <v>967707.10915456945</v>
      </c>
      <c r="G177" s="1765">
        <f>IFERROR((G131/SUM(G$102:G$136))*lgh_bs!I$32*G$142,0)</f>
        <v>1008566.786784722</v>
      </c>
      <c r="H177" s="1765">
        <f>IFERROR((H131/SUM(H$102:H$136))*lgh_bs!J$32*H$142,0)</f>
        <v>1057150.6115870776</v>
      </c>
      <c r="I177" s="1765">
        <f>IFERROR((I131/SUM(I$102:I$136))*lgh_bs!K$32*I$142,0)</f>
        <v>1111716.3822261028</v>
      </c>
      <c r="J177" s="1765">
        <f>IFERROR((J131/SUM(J$102:J$136))*lgh_bs!L$32*J$142,0)</f>
        <v>1210182.7152700776</v>
      </c>
      <c r="K177" s="1796">
        <f>IFERROR((K131/SUM(K$102:K$136))*lgh_bs!M$32*K$142,0)</f>
        <v>1406758.3006530963</v>
      </c>
      <c r="L177" s="1796">
        <f>IFERROR((L131/SUM(L$102:L$136))*lgh_bs!N$32*L$142,0)</f>
        <v>1693342.0289358627</v>
      </c>
      <c r="M177" s="1796">
        <f>IFERROR((M131/SUM(M$102:M$136))*lgh_bs!O$32*M$142,0)</f>
        <v>1995661.4733457104</v>
      </c>
      <c r="N177" s="1765">
        <f>IFERROR((N131/SUM(N$102:N$136))*lgh_bs!P$32*N$142,0)</f>
        <v>2339150.105685927</v>
      </c>
      <c r="O177" s="1781"/>
      <c r="P177" s="1781"/>
      <c r="Q177" s="1781"/>
      <c r="R177" s="248"/>
      <c r="S177" s="248"/>
      <c r="T177" s="248"/>
      <c r="U177" s="1743"/>
    </row>
    <row r="178" spans="1:21">
      <c r="A178" s="223" t="str">
        <f t="shared" si="21"/>
        <v>PE031 Edwin2 convert</v>
      </c>
      <c r="B178" s="2054">
        <v>0</v>
      </c>
      <c r="C178" s="731">
        <f>IFERROR((C132/SUM(C$102:C$136))*lgh_bs!E$32*C$142,0)</f>
        <v>169520.39287731479</v>
      </c>
      <c r="D178" s="731">
        <f>IFERROR((D132/SUM(D$102:D$136))*lgh_bs!F$32*D$142,0)</f>
        <v>55876.214453077817</v>
      </c>
      <c r="E178" s="731">
        <f>IFERROR((E132/SUM(E$102:E$136))*lgh_bs!G$32*E$142,0)</f>
        <v>198361.3130980003</v>
      </c>
      <c r="F178" s="731">
        <f>IFERROR((F132/SUM(F$102:F$136))*lgh_bs!H$32*F$142,0)</f>
        <v>191941.90594801374</v>
      </c>
      <c r="G178" s="1765">
        <f>IFERROR((G132/SUM(G$102:G$136))*lgh_bs!I$32*G$142,0)</f>
        <v>200046.30481680439</v>
      </c>
      <c r="H178" s="1765">
        <f>IFERROR((H132/SUM(H$102:H$136))*lgh_bs!J$32*H$142,0)</f>
        <v>209682.76593462701</v>
      </c>
      <c r="I178" s="1765">
        <f>IFERROR((I132/SUM(I$102:I$136))*lgh_bs!K$32*I$142,0)</f>
        <v>220505.72870600389</v>
      </c>
      <c r="J178" s="1765">
        <f>IFERROR((J132/SUM(J$102:J$136))*lgh_bs!L$32*J$142,0)</f>
        <v>240036.24104530466</v>
      </c>
      <c r="K178" s="1796">
        <f>IFERROR((K132/SUM(K$102:K$136))*lgh_bs!M$32*K$142,0)</f>
        <v>279026.43979896134</v>
      </c>
      <c r="L178" s="1796">
        <f>IFERROR((L132/SUM(L$102:L$136))*lgh_bs!N$32*L$142,0)</f>
        <v>335869.49334265053</v>
      </c>
      <c r="M178" s="1796">
        <f>IFERROR((M132/SUM(M$102:M$136))*lgh_bs!O$32*M$142,0)</f>
        <v>395833.68066361203</v>
      </c>
      <c r="N178" s="1765">
        <f>IFERROR((N132/SUM(N$102:N$136))*lgh_bs!P$32*N$142,0)</f>
        <v>463963.65732613427</v>
      </c>
      <c r="O178" s="1781"/>
      <c r="P178" s="1781"/>
      <c r="Q178" s="1781"/>
      <c r="R178" s="248"/>
      <c r="S178" s="248"/>
      <c r="T178" s="248"/>
      <c r="U178" s="1743"/>
    </row>
    <row r="179" spans="1:21">
      <c r="A179" s="223" t="str">
        <f t="shared" si="21"/>
        <v>PE032 Buddy</v>
      </c>
      <c r="B179" s="2054">
        <v>0</v>
      </c>
      <c r="C179" s="731">
        <f>IFERROR((C133/SUM(C$102:C$136))*lgh_bs!E$32*C$142,0)</f>
        <v>0</v>
      </c>
      <c r="D179" s="731">
        <f>IFERROR((D133/SUM(D$102:D$136))*lgh_bs!F$32*D$142,0)</f>
        <v>0</v>
      </c>
      <c r="E179" s="731">
        <f>IFERROR((E133/SUM(E$102:E$136))*lgh_bs!G$32*E$142,0)</f>
        <v>0</v>
      </c>
      <c r="F179" s="731">
        <f>IFERROR((F133/SUM(F$102:F$136))*lgh_bs!H$32*F$142,0)</f>
        <v>0</v>
      </c>
      <c r="G179" s="1765">
        <f>IFERROR((G133/SUM(G$102:G$136))*lgh_bs!I$32*G$142,0)</f>
        <v>250057.88102100548</v>
      </c>
      <c r="H179" s="1765">
        <f>IFERROR((H133/SUM(H$102:H$136))*lgh_bs!J$32*H$142,0)</f>
        <v>262103.45741828374</v>
      </c>
      <c r="I179" s="1765">
        <f>IFERROR((I133/SUM(I$102:I$136))*lgh_bs!K$32*I$142,0)</f>
        <v>275632.16088250483</v>
      </c>
      <c r="J179" s="1765">
        <f>IFERROR((J133/SUM(J$102:J$136))*lgh_bs!L$32*J$142,0)</f>
        <v>300045.30130663083</v>
      </c>
      <c r="K179" s="1796">
        <f>IFERROR((K133/SUM(K$102:K$136))*lgh_bs!M$32*K$142,0)</f>
        <v>348783.04974870163</v>
      </c>
      <c r="L179" s="1796">
        <f>IFERROR((L133/SUM(L$102:L$136))*lgh_bs!N$32*L$142,0)</f>
        <v>419836.86667831306</v>
      </c>
      <c r="M179" s="1796">
        <f>IFERROR((M133/SUM(M$102:M$136))*lgh_bs!O$32*M$142,0)</f>
        <v>494792.10082951497</v>
      </c>
      <c r="N179" s="1765">
        <f>IFERROR((N133/SUM(N$102:N$136))*lgh_bs!P$32*N$142,0)</f>
        <v>579954.57165766787</v>
      </c>
      <c r="O179" s="1781"/>
      <c r="P179" s="1781"/>
      <c r="Q179" s="1781"/>
      <c r="R179" s="248"/>
      <c r="S179" s="248"/>
      <c r="T179" s="248"/>
      <c r="U179" s="1743"/>
    </row>
    <row r="180" spans="1:21">
      <c r="A180" s="223" t="str">
        <f t="shared" si="21"/>
        <v>PE033 PFNGT LLC</v>
      </c>
      <c r="B180" s="2054">
        <v>0</v>
      </c>
      <c r="C180" s="731">
        <f>IFERROR((C134/SUM(C$102:C$136))*lgh_bs!E$32*C$142,0)</f>
        <v>0</v>
      </c>
      <c r="D180" s="731">
        <f>IFERROR((D134/SUM(D$102:D$136))*lgh_bs!F$32*D$142,0)</f>
        <v>0</v>
      </c>
      <c r="E180" s="731">
        <f>IFERROR((E134/SUM(E$102:E$136))*lgh_bs!G$32*E$142,0)</f>
        <v>0</v>
      </c>
      <c r="F180" s="731">
        <f>IFERROR((F134/SUM(F$102:F$136))*lgh_bs!H$32*F$142,0)</f>
        <v>0</v>
      </c>
      <c r="G180" s="1765">
        <f>IFERROR((G134/SUM(G$102:G$136))*lgh_bs!I$32*G$142,0)</f>
        <v>0</v>
      </c>
      <c r="H180" s="1765">
        <f>IFERROR((H134/SUM(H$102:H$136))*lgh_bs!J$32*H$142,0)</f>
        <v>0</v>
      </c>
      <c r="I180" s="1765">
        <f>IFERROR((I134/SUM(I$102:I$136))*lgh_bs!K$32*I$142,0)</f>
        <v>0</v>
      </c>
      <c r="J180" s="1765">
        <f>IFERROR((J134/SUM(J$102:J$136))*lgh_bs!L$32*J$142,0)</f>
        <v>0</v>
      </c>
      <c r="K180" s="1796">
        <f>IFERROR((K134/SUM(K$102:K$136))*lgh_bs!M$32*K$142,0)</f>
        <v>0</v>
      </c>
      <c r="L180" s="1796">
        <f>IFERROR((L134/SUM(L$102:L$136))*lgh_bs!N$32*L$142,0)</f>
        <v>0</v>
      </c>
      <c r="M180" s="1796">
        <f>IFERROR((M134/SUM(M$102:M$136))*lgh_bs!O$32*M$142,0)</f>
        <v>0</v>
      </c>
      <c r="N180" s="1765">
        <f>IFERROR((N134/SUM(N$102:N$136))*lgh_bs!P$32*N$142,0)</f>
        <v>0</v>
      </c>
      <c r="O180" s="1781"/>
      <c r="P180" s="1781"/>
      <c r="Q180" s="1781"/>
      <c r="R180" s="248"/>
      <c r="S180" s="248"/>
      <c r="T180" s="248"/>
      <c r="U180" s="1743"/>
    </row>
    <row r="181" spans="1:21">
      <c r="A181" s="223" t="str">
        <f t="shared" si="21"/>
        <v>PE034 Cambrian</v>
      </c>
      <c r="B181" s="2054">
        <v>0</v>
      </c>
      <c r="C181" s="731">
        <f>IFERROR((C135/SUM(C$102:C$136))*lgh_bs!E$32*C$142,0)</f>
        <v>0</v>
      </c>
      <c r="D181" s="731">
        <f>IFERROR((D135/SUM(D$102:D$136))*lgh_bs!F$32*D$142,0)</f>
        <v>0</v>
      </c>
      <c r="E181" s="731">
        <f>IFERROR((E135/SUM(E$102:E$136))*lgh_bs!G$32*E$142,0)</f>
        <v>0</v>
      </c>
      <c r="F181" s="731">
        <f>IFERROR((F135/SUM(F$102:F$136))*lgh_bs!H$32*F$142,0)</f>
        <v>0</v>
      </c>
      <c r="G181" s="1765">
        <f>IFERROR((G135/SUM(G$102:G$136))*lgh_bs!I$32*G$142,0)</f>
        <v>0</v>
      </c>
      <c r="H181" s="1765">
        <f>IFERROR((H135/SUM(H$102:H$136))*lgh_bs!J$32*H$142,0)</f>
        <v>0</v>
      </c>
      <c r="I181" s="1765">
        <f>IFERROR((I135/SUM(I$102:I$136))*lgh_bs!K$32*I$142,0)</f>
        <v>0</v>
      </c>
      <c r="J181" s="1765">
        <f>IFERROR((J135/SUM(J$102:J$136))*lgh_bs!L$32*J$142,0)</f>
        <v>0</v>
      </c>
      <c r="K181" s="1796">
        <f>IFERROR((K135/SUM(K$102:K$136))*lgh_bs!M$32*K$142,0)</f>
        <v>0</v>
      </c>
      <c r="L181" s="1796">
        <f>IFERROR((L135/SUM(L$102:L$136))*lgh_bs!N$32*L$142,0)</f>
        <v>0</v>
      </c>
      <c r="M181" s="1796">
        <f>IFERROR((M135/SUM(M$102:M$136))*lgh_bs!O$32*M$142,0)</f>
        <v>0</v>
      </c>
      <c r="N181" s="1765">
        <f>IFERROR((N135/SUM(N$102:N$136))*lgh_bs!P$32*N$142,0)</f>
        <v>0</v>
      </c>
      <c r="O181" s="1781"/>
      <c r="P181" s="1781"/>
      <c r="Q181" s="1781"/>
      <c r="R181" s="248"/>
      <c r="S181" s="248"/>
      <c r="T181" s="248"/>
      <c r="U181" s="1743"/>
    </row>
    <row r="182" spans="1:21">
      <c r="A182" s="223" t="str">
        <f t="shared" si="21"/>
        <v>PE035 guy</v>
      </c>
      <c r="B182" s="2054">
        <v>0</v>
      </c>
      <c r="C182" s="731">
        <f>IFERROR((C136/SUM(C$102:C$136))*lgh_bs!E$32*C$142,0)</f>
        <v>0</v>
      </c>
      <c r="D182" s="731">
        <f>IFERROR((D136/SUM(D$102:D$136))*lgh_bs!F$32*D$142,0)</f>
        <v>0</v>
      </c>
      <c r="E182" s="731">
        <f>IFERROR((E136/SUM(E$102:E$136))*lgh_bs!G$32*E$142,0)</f>
        <v>0</v>
      </c>
      <c r="F182" s="731">
        <f>IFERROR((F136/SUM(F$102:F$136))*lgh_bs!H$32*F$142,0)</f>
        <v>0</v>
      </c>
      <c r="G182" s="1765">
        <f>IFERROR((G136/SUM(G$102:G$136))*lgh_bs!I$32*G$142,0)</f>
        <v>166705.25401400367</v>
      </c>
      <c r="H182" s="1765">
        <f>IFERROR((H136/SUM(H$102:H$136))*lgh_bs!J$32*H$142,0)</f>
        <v>174735.63827885585</v>
      </c>
      <c r="I182" s="1765">
        <f>IFERROR((I136/SUM(I$102:I$136))*lgh_bs!K$32*I$142,0)</f>
        <v>183754.77392166993</v>
      </c>
      <c r="J182" s="1765">
        <f>IFERROR((J136/SUM(J$102:J$136))*lgh_bs!L$32*J$142,0)</f>
        <v>200030.20087108726</v>
      </c>
      <c r="K182" s="1796">
        <f>IFERROR((K136/SUM(K$102:K$136))*lgh_bs!M$32*K$142,0)</f>
        <v>232522.03316580111</v>
      </c>
      <c r="L182" s="1796">
        <f>IFERROR((L136/SUM(L$102:L$136))*lgh_bs!N$32*L$142,0)</f>
        <v>279891.24445220875</v>
      </c>
      <c r="M182" s="1796">
        <f>IFERROR((M136/SUM(M$102:M$136))*lgh_bs!O$32*M$142,0)</f>
        <v>329861.40055301005</v>
      </c>
      <c r="N182" s="1765">
        <f>IFERROR((N136/SUM(N$102:N$136))*lgh_bs!P$32*N$142,0)</f>
        <v>386636.38110511197</v>
      </c>
      <c r="O182" s="1781"/>
      <c r="P182" s="1781"/>
      <c r="Q182" s="1781"/>
      <c r="R182" s="248"/>
      <c r="S182" s="248"/>
      <c r="T182" s="248"/>
      <c r="U182" s="1743"/>
    </row>
    <row r="183" spans="1:21">
      <c r="B183" s="2024"/>
      <c r="G183" s="248"/>
      <c r="H183" s="248"/>
      <c r="I183" s="248"/>
      <c r="J183" s="248"/>
      <c r="K183" s="1781"/>
      <c r="L183" s="1781"/>
      <c r="M183" s="1781"/>
      <c r="N183" s="248"/>
      <c r="O183" s="1781"/>
      <c r="P183" s="1781"/>
      <c r="Q183" s="1781"/>
      <c r="R183" s="248"/>
      <c r="S183" s="248"/>
      <c r="T183" s="248"/>
      <c r="U183" s="1743"/>
    </row>
    <row r="184" spans="1:21">
      <c r="A184" s="223" t="s">
        <v>473</v>
      </c>
      <c r="B184" s="2054">
        <v>43497765.475407854</v>
      </c>
      <c r="C184" s="731">
        <f t="shared" ref="C184:N184" si="22">SUM(C148:C182)</f>
        <v>49423902.64560657</v>
      </c>
      <c r="D184" s="731">
        <f t="shared" si="22"/>
        <v>13244706.308200227</v>
      </c>
      <c r="E184" s="731">
        <f t="shared" si="22"/>
        <v>15431182.920337822</v>
      </c>
      <c r="F184" s="731">
        <f t="shared" si="22"/>
        <v>14931795.996423746</v>
      </c>
      <c r="G184" s="1765">
        <f t="shared" si="22"/>
        <v>15979027.136789519</v>
      </c>
      <c r="H184" s="1765">
        <f t="shared" si="22"/>
        <v>16748755.294704337</v>
      </c>
      <c r="I184" s="1765">
        <f t="shared" si="22"/>
        <v>17613257.220809232</v>
      </c>
      <c r="J184" s="1765">
        <f t="shared" si="22"/>
        <v>19173288.969213083</v>
      </c>
      <c r="K184" s="1796">
        <f t="shared" si="22"/>
        <v>22287695.128947157</v>
      </c>
      <c r="L184" s="1796">
        <f t="shared" si="22"/>
        <v>26828127.385090936</v>
      </c>
      <c r="M184" s="1796">
        <f t="shared" si="22"/>
        <v>31617865.327586975</v>
      </c>
      <c r="N184" s="1765">
        <f t="shared" si="22"/>
        <v>37059859.104558893</v>
      </c>
      <c r="O184" s="1781"/>
      <c r="P184" s="1781"/>
      <c r="Q184" s="1781"/>
      <c r="R184" s="248"/>
      <c r="S184" s="248"/>
      <c r="T184" s="248"/>
      <c r="U184" s="1743"/>
    </row>
    <row r="185" spans="1:21">
      <c r="A185" s="223" t="s">
        <v>338</v>
      </c>
      <c r="B185" s="2055">
        <v>119773010.1849418</v>
      </c>
      <c r="C185" s="1073">
        <f>+lgh_bs!E32</f>
        <v>133270749.11738586</v>
      </c>
      <c r="D185" s="1073">
        <f>+lgh_bs!F32</f>
        <v>135457214.35874093</v>
      </c>
      <c r="E185" s="1073">
        <f>+lgh_bs!G32</f>
        <v>158323925.95367149</v>
      </c>
      <c r="F185" s="1073">
        <f>+lgh_bs!H32</f>
        <v>153200216.46411586</v>
      </c>
      <c r="G185" s="1766">
        <f>+lgh_bs!I32</f>
        <v>159605299.05108485</v>
      </c>
      <c r="H185" s="1766">
        <f>+lgh_bs!J32</f>
        <v>167293670.30049485</v>
      </c>
      <c r="I185" s="1766">
        <f>+lgh_bs!K32</f>
        <v>175928682.13601094</v>
      </c>
      <c r="J185" s="1766">
        <f>+lgh_bs!L32</f>
        <v>191510940.78052631</v>
      </c>
      <c r="K185" s="1797">
        <f>+lgh_bs!M32</f>
        <v>222618950.18783554</v>
      </c>
      <c r="L185" s="1797">
        <f>+lgh_bs!N32</f>
        <v>267970712.96158728</v>
      </c>
      <c r="M185" s="1797">
        <f>+lgh_bs!O32</f>
        <v>315812646.65029883</v>
      </c>
      <c r="N185" s="1766">
        <f>+lgh_bs!P32</f>
        <v>370169588.20702118</v>
      </c>
      <c r="O185" s="1781"/>
      <c r="P185" s="1781"/>
      <c r="Q185" s="1781"/>
      <c r="R185" s="248"/>
      <c r="S185" s="248"/>
      <c r="T185" s="248"/>
      <c r="U185" s="1743"/>
    </row>
    <row r="186" spans="1:21">
      <c r="A186" s="223" t="s">
        <v>474</v>
      </c>
      <c r="B186" s="2056">
        <v>0.36316834158415839</v>
      </c>
      <c r="C186" s="229">
        <f t="shared" ref="C186:N186" si="23">C142</f>
        <v>0.37085334158415839</v>
      </c>
      <c r="D186" s="229">
        <f t="shared" si="23"/>
        <v>9.7777784453202593E-2</v>
      </c>
      <c r="E186" s="229">
        <f t="shared" si="23"/>
        <v>9.7465893593702738E-2</v>
      </c>
      <c r="F186" s="229">
        <f t="shared" si="23"/>
        <v>9.7465893593702738E-2</v>
      </c>
      <c r="G186" s="1767">
        <f t="shared" si="23"/>
        <v>0.10011589359370274</v>
      </c>
      <c r="H186" s="1767">
        <f t="shared" si="23"/>
        <v>0.10011589359370274</v>
      </c>
      <c r="I186" s="1767">
        <f t="shared" si="23"/>
        <v>0.10011589359370274</v>
      </c>
      <c r="J186" s="1767">
        <f t="shared" si="23"/>
        <v>0.10011589359370274</v>
      </c>
      <c r="K186" s="1782">
        <f t="shared" si="23"/>
        <v>0.10011589359370274</v>
      </c>
      <c r="L186" s="1782">
        <f t="shared" si="23"/>
        <v>0.10011589359370274</v>
      </c>
      <c r="M186" s="1782">
        <f t="shared" si="23"/>
        <v>0.10011589359370274</v>
      </c>
      <c r="N186" s="1767">
        <f t="shared" si="23"/>
        <v>0.10011589359370274</v>
      </c>
      <c r="O186" s="1781"/>
      <c r="P186" s="1781"/>
      <c r="Q186" s="1781"/>
      <c r="R186" s="248"/>
      <c r="S186" s="248"/>
      <c r="T186" s="248"/>
      <c r="U186" s="1743"/>
    </row>
    <row r="187" spans="1:21">
      <c r="A187" s="223" t="s">
        <v>475</v>
      </c>
      <c r="B187" s="2054">
        <v>43497765.475407854</v>
      </c>
      <c r="C187" s="731">
        <f t="shared" ref="C187:N187" si="24">C185*C186</f>
        <v>49423902.645606577</v>
      </c>
      <c r="D187" s="731">
        <f t="shared" si="24"/>
        <v>13244706.308200229</v>
      </c>
      <c r="E187" s="731">
        <f t="shared" si="24"/>
        <v>15431182.920337817</v>
      </c>
      <c r="F187" s="731">
        <f t="shared" si="24"/>
        <v>14931795.996423742</v>
      </c>
      <c r="G187" s="1765">
        <f t="shared" si="24"/>
        <v>15979027.136789516</v>
      </c>
      <c r="H187" s="1765">
        <f t="shared" si="24"/>
        <v>16748755.294704331</v>
      </c>
      <c r="I187" s="1765">
        <f t="shared" si="24"/>
        <v>17613257.220809225</v>
      </c>
      <c r="J187" s="1765">
        <f t="shared" si="24"/>
        <v>19173288.96921308</v>
      </c>
      <c r="K187" s="1796">
        <f t="shared" si="24"/>
        <v>22287695.128947154</v>
      </c>
      <c r="L187" s="1796">
        <f t="shared" si="24"/>
        <v>26828127.385090932</v>
      </c>
      <c r="M187" s="1796">
        <f t="shared" si="24"/>
        <v>31617865.32758696</v>
      </c>
      <c r="N187" s="1765">
        <f t="shared" si="24"/>
        <v>37059859.104558893</v>
      </c>
      <c r="O187" s="1781"/>
      <c r="P187" s="1781"/>
      <c r="Q187" s="1781"/>
      <c r="R187" s="248"/>
      <c r="S187" s="248"/>
      <c r="T187" s="248"/>
      <c r="U187" s="174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9">
    <tabColor rgb="FFFFC000"/>
    <outlinePr summaryRight="0"/>
  </sheetPr>
  <dimension ref="A1:AG55"/>
  <sheetViews>
    <sheetView showGridLines="0" tabSelected="1" zoomScale="29" zoomScaleNormal="29" workbookViewId="0">
      <pane xSplit="6" ySplit="3" topLeftCell="O4" activePane="bottomRight" state="frozen"/>
      <selection pane="topRight" activeCell="G1" sqref="G1"/>
      <selection pane="bottomLeft" activeCell="A4" sqref="A4"/>
      <selection pane="bottomRight" activeCell="S40" sqref="S40"/>
    </sheetView>
  </sheetViews>
  <sheetFormatPr defaultColWidth="9.26171875" defaultRowHeight="15.6" outlineLevelCol="1"/>
  <cols>
    <col min="1" max="1" width="17.26171875" style="223" customWidth="1"/>
    <col min="2" max="2" width="23" style="223" bestFit="1" customWidth="1"/>
    <col min="3" max="3" width="12.26171875" style="223" customWidth="1" outlineLevel="1"/>
    <col min="4" max="4" width="9.26171875" style="223" customWidth="1" outlineLevel="1"/>
    <col min="5" max="5" width="12.26171875" style="223" customWidth="1" outlineLevel="1"/>
    <col min="6" max="6" width="15" style="223" customWidth="1" outlineLevel="1"/>
    <col min="7" max="7" width="14.26171875" style="2024" customWidth="1" outlineLevel="1"/>
    <col min="8" max="8" width="9.26171875" style="2024" customWidth="1" outlineLevel="1"/>
    <col min="9" max="9" width="17.26171875" style="223" bestFit="1" customWidth="1"/>
    <col min="10" max="10" width="12.68359375" style="223" bestFit="1" customWidth="1"/>
    <col min="11" max="11" width="15.68359375" style="223" bestFit="1" customWidth="1"/>
    <col min="12" max="12" width="12.68359375" style="223" bestFit="1" customWidth="1"/>
    <col min="13" max="13" width="15.68359375" style="223" bestFit="1" customWidth="1"/>
    <col min="14" max="14" width="9.26171875" style="223" bestFit="1" customWidth="1"/>
    <col min="15" max="15" width="15.68359375" style="223" bestFit="1" customWidth="1"/>
    <col min="16" max="16" width="13" style="223" bestFit="1" customWidth="1"/>
    <col min="17" max="17" width="16.26171875" style="223" bestFit="1" customWidth="1"/>
    <col min="18" max="18" width="11.68359375" style="223" bestFit="1" customWidth="1"/>
    <col min="19" max="19" width="16.26171875" style="223" bestFit="1" customWidth="1"/>
    <col min="20" max="20" width="11.68359375" style="223" bestFit="1" customWidth="1"/>
    <col min="21" max="21" width="16.26171875" style="223" bestFit="1" customWidth="1"/>
    <col min="22" max="22" width="10.68359375" style="223" bestFit="1" customWidth="1"/>
    <col min="23" max="23" width="17.41796875" style="223" bestFit="1" customWidth="1"/>
    <col min="24" max="24" width="12.578125" style="223" bestFit="1" customWidth="1"/>
    <col min="25" max="25" width="16.41796875" style="223" bestFit="1" customWidth="1"/>
    <col min="26" max="26" width="12" style="223" bestFit="1" customWidth="1"/>
    <col min="27" max="27" width="13.26171875" style="223" bestFit="1" customWidth="1"/>
    <col min="28" max="28" width="6" style="223" bestFit="1" customWidth="1"/>
    <col min="29" max="29" width="12.41796875" style="223" bestFit="1" customWidth="1"/>
    <col min="30" max="30" width="6" style="223" bestFit="1" customWidth="1"/>
    <col min="31" max="31" width="12.41796875" style="223" bestFit="1" customWidth="1"/>
    <col min="32" max="32" width="13" style="223" bestFit="1" customWidth="1"/>
    <col min="33" max="33" width="32.68359375" style="223" bestFit="1" customWidth="1"/>
    <col min="34" max="34" width="9.26171875" style="223" customWidth="1"/>
    <col min="35" max="16384" width="9.26171875" style="223"/>
  </cols>
  <sheetData>
    <row r="1" spans="1:33">
      <c r="H1" s="2024" t="s">
        <v>476</v>
      </c>
      <c r="J1" s="223" t="s">
        <v>476</v>
      </c>
      <c r="L1" s="223" t="s">
        <v>476</v>
      </c>
      <c r="N1" s="223" t="s">
        <v>476</v>
      </c>
      <c r="P1" s="223" t="s">
        <v>476</v>
      </c>
      <c r="R1" s="223" t="s">
        <v>476</v>
      </c>
      <c r="T1" s="223" t="s">
        <v>476</v>
      </c>
      <c r="V1" s="223" t="s">
        <v>476</v>
      </c>
      <c r="X1" s="223" t="s">
        <v>476</v>
      </c>
      <c r="Z1" s="223" t="s">
        <v>476</v>
      </c>
      <c r="AB1" s="223" t="s">
        <v>476</v>
      </c>
      <c r="AD1" s="223" t="s">
        <v>476</v>
      </c>
      <c r="AF1" s="223" t="s">
        <v>476</v>
      </c>
    </row>
    <row r="2" spans="1:33" s="234" customFormat="1">
      <c r="A2" s="234" t="s">
        <v>383</v>
      </c>
      <c r="G2" s="2025">
        <v>45657</v>
      </c>
      <c r="H2" s="2025">
        <v>45657</v>
      </c>
      <c r="I2" s="640">
        <f>+lgh_pref_equity!M3</f>
        <v>45747</v>
      </c>
      <c r="J2" s="640">
        <f>+I2</f>
        <v>45747</v>
      </c>
      <c r="K2" s="640">
        <f>+lgh_pref_equity!N3</f>
        <v>45838</v>
      </c>
      <c r="L2" s="640">
        <f>+K2</f>
        <v>45838</v>
      </c>
      <c r="M2" s="640">
        <f>+lgh_pref_equity!O3</f>
        <v>45930</v>
      </c>
      <c r="N2" s="640">
        <f>+M2</f>
        <v>45930</v>
      </c>
      <c r="O2" s="640">
        <f>+lgh_pref_equity!P3</f>
        <v>46022</v>
      </c>
      <c r="P2" s="640">
        <f>+O2</f>
        <v>46022</v>
      </c>
      <c r="Q2" s="640">
        <f>+lgh_pref_equity!Q3</f>
        <v>46112</v>
      </c>
      <c r="R2" s="640">
        <f>+Q2</f>
        <v>46112</v>
      </c>
      <c r="S2" s="640">
        <f>+lgh_pref_equity!R3</f>
        <v>46203</v>
      </c>
      <c r="T2" s="640">
        <f>+S2</f>
        <v>46203</v>
      </c>
      <c r="U2" s="640">
        <f>+lgh_pref_equity!S3</f>
        <v>46295</v>
      </c>
      <c r="V2" s="640">
        <f>+U2</f>
        <v>46295</v>
      </c>
      <c r="W2" s="640">
        <f>+lgh_pref_equity!T3</f>
        <v>46387</v>
      </c>
      <c r="X2" s="640">
        <f>+W2</f>
        <v>46387</v>
      </c>
      <c r="Y2" s="640">
        <f>+lgh_pref_equity!U3</f>
        <v>46752</v>
      </c>
      <c r="Z2" s="640">
        <f>+Y2</f>
        <v>46752</v>
      </c>
      <c r="AA2" s="640">
        <f>+lgh_pref_equity!V3</f>
        <v>47118</v>
      </c>
      <c r="AB2" s="640">
        <f>+AA2</f>
        <v>47118</v>
      </c>
      <c r="AC2" s="640">
        <f>+lgh_pref_equity!W3</f>
        <v>47483</v>
      </c>
      <c r="AD2" s="640">
        <f>+AC2</f>
        <v>47483</v>
      </c>
      <c r="AE2" s="640">
        <f>+lgh_pref_equity!X3</f>
        <v>47848</v>
      </c>
      <c r="AF2" s="640">
        <f>+AE2</f>
        <v>47848</v>
      </c>
      <c r="AG2" s="234" t="s">
        <v>477</v>
      </c>
    </row>
    <row r="3" spans="1:33">
      <c r="A3" s="223" t="s">
        <v>478</v>
      </c>
      <c r="B3" s="223" t="s">
        <v>385</v>
      </c>
      <c r="C3" s="223" t="s">
        <v>386</v>
      </c>
      <c r="D3" s="223" t="s">
        <v>387</v>
      </c>
      <c r="E3" s="223" t="s">
        <v>389</v>
      </c>
      <c r="F3" s="424" t="s">
        <v>479</v>
      </c>
      <c r="G3" s="2026">
        <v>4</v>
      </c>
      <c r="H3" s="2026">
        <v>4</v>
      </c>
      <c r="I3" s="424">
        <f>+lgh_pref_equity!M4</f>
        <v>1</v>
      </c>
      <c r="J3" s="424">
        <f>+I3</f>
        <v>1</v>
      </c>
      <c r="K3" s="424">
        <f>+lgh_pref_equity!N4</f>
        <v>2</v>
      </c>
      <c r="L3" s="424">
        <f>+K3</f>
        <v>2</v>
      </c>
      <c r="M3" s="424">
        <f>+lgh_pref_equity!O4</f>
        <v>3</v>
      </c>
      <c r="N3" s="424">
        <f>+M3</f>
        <v>3</v>
      </c>
      <c r="O3" s="424">
        <f>+lgh_pref_equity!P4</f>
        <v>4</v>
      </c>
      <c r="P3" s="424">
        <f>+O3</f>
        <v>4</v>
      </c>
      <c r="Q3" s="424">
        <f>+lgh_pref_equity!Q4</f>
        <v>1</v>
      </c>
      <c r="R3" s="424">
        <f>+Q3</f>
        <v>1</v>
      </c>
      <c r="S3" s="424">
        <f>+lgh_pref_equity!R4</f>
        <v>2</v>
      </c>
      <c r="T3" s="424">
        <f>+S3</f>
        <v>2</v>
      </c>
      <c r="U3" s="424">
        <f>+lgh_pref_equity!S4</f>
        <v>3</v>
      </c>
      <c r="V3" s="424">
        <f>+U3</f>
        <v>3</v>
      </c>
      <c r="W3" s="424">
        <f>+lgh_pref_equity!T4</f>
        <v>4</v>
      </c>
      <c r="X3" s="424">
        <f>+W3</f>
        <v>4</v>
      </c>
      <c r="Y3" s="424">
        <f>+lgh_pref_equity!U4</f>
        <v>4</v>
      </c>
      <c r="Z3" s="424">
        <f>+Y3</f>
        <v>4</v>
      </c>
      <c r="AA3" s="424">
        <f>+lgh_pref_equity!V4</f>
        <v>4</v>
      </c>
      <c r="AB3" s="424">
        <f>+AA3</f>
        <v>4</v>
      </c>
      <c r="AC3" s="424">
        <f>+lgh_pref_equity!W4</f>
        <v>4</v>
      </c>
      <c r="AD3" s="424">
        <f>+AC3</f>
        <v>4</v>
      </c>
      <c r="AE3" s="424">
        <f>+lgh_pref_equity!X4</f>
        <v>4</v>
      </c>
      <c r="AF3" s="424">
        <f>+AE3</f>
        <v>4</v>
      </c>
      <c r="AG3" s="223" t="s">
        <v>480</v>
      </c>
    </row>
    <row r="4" spans="1:33">
      <c r="A4" s="223" t="s">
        <v>481</v>
      </c>
      <c r="B4" s="512" t="s">
        <v>482</v>
      </c>
      <c r="C4" s="232"/>
      <c r="D4" s="264"/>
      <c r="E4" s="302"/>
      <c r="F4" s="302"/>
      <c r="G4" s="2027">
        <v>0</v>
      </c>
      <c r="H4" s="2028"/>
      <c r="I4" s="232">
        <f t="shared" ref="I4:I29" si="0">IF(AND(YEAR($E4)=YEAR(I$2),ROUNDUP(MONTH($E4)/3,0)=I$3),$C4*(1+$D4/4)^((I$2-$E4)/91),IF(ROUND(SUM(G4:H4),0)=0,0,SUM(G4:H4)*(1+$D4/4)))</f>
        <v>0</v>
      </c>
      <c r="J4" s="514">
        <v>0</v>
      </c>
      <c r="K4" s="232">
        <f t="shared" ref="K4:K29" si="1">IF(AND(YEAR($E4)=YEAR(K$2),ROUNDUP(MONTH($E4)/3,0)=K$3),$C4*(1+$D4/4)^((K$2-$E4)/91),IF(ROUND(SUM(I4:J4),0)=0,0,SUM(I4:J4)*(1+$D4/4)))</f>
        <v>0</v>
      </c>
      <c r="L4" s="514"/>
      <c r="M4" s="232">
        <f>IF(AND(YEAR($E4)=YEAR(M$2),ROUNDUP(MONTH($E4)/3,0)=M$3),$C4*(1+$D4/4)^((M$2-$E4)/91),IF(ROUND(SUM(K4:L4),0)=0,0,SUM(K4:L4)*(1+$D4/4)))</f>
        <v>0</v>
      </c>
      <c r="N4" s="514">
        <v>0</v>
      </c>
      <c r="O4" s="232">
        <f t="shared" ref="O4:O29" si="2">IF(AND(YEAR($E4)=YEAR(O$2),ROUNDUP(MONTH($E4)/3,0)=O$3),$C4*(1+$D4/4)^((O$2-$E4)/91),IF(ROUND(SUM(M4:N4),0)=0,0,SUM(M4:N4)*(1+$D4/4)))</f>
        <v>0</v>
      </c>
      <c r="P4" s="641">
        <f>+-O4</f>
        <v>0</v>
      </c>
      <c r="Q4" s="232">
        <f t="shared" ref="Q4:Q9" si="3">IF(AND(YEAR($E4)=YEAR(Q$2),ROUNDUP(MONTH($E4)/3,0)=Q$3),$C4*(1+$D4/4)^((Q$2-$E4)/91),IF(ROUND(SUM(O4:P4),0)=0,0,SUM(O4:P4)*(1+$D4/4)))</f>
        <v>0</v>
      </c>
      <c r="R4" s="514">
        <f>-Q4</f>
        <v>0</v>
      </c>
      <c r="S4" s="232">
        <f t="shared" ref="S4:S29" si="4">IF(AND(YEAR($E4)=YEAR(S$2),ROUNDUP(MONTH($E4)/3,0)=S$3),$C4*(1+$D4/4)^((S$2-$E4)/91),IF(ROUND(SUM(Q4:R4),0)=0,0,SUM(Q4:R4)*(1+$D4/4)))</f>
        <v>0</v>
      </c>
      <c r="T4" s="514">
        <v>0</v>
      </c>
      <c r="U4" s="232">
        <f t="shared" ref="U4:U29" si="5">IF(AND(YEAR($E4)=YEAR(U$2),ROUNDUP(MONTH($E4)/3,0)=U$3),$C4*(1+$D4/4)^((U$2-$E4)/91),IF(ROUND(SUM(S4:T4),0)=0,0,SUM(S4:T4)*(1+$D4/4)))</f>
        <v>0</v>
      </c>
      <c r="V4" s="514">
        <v>0</v>
      </c>
      <c r="W4" s="232">
        <f t="shared" ref="W4:W29" si="6">IF(AND(YEAR($E4)=YEAR(W$2),ROUNDUP(MONTH($E4)/3,0)=W$3),$C4*(1+$D4/4)^((W$2-$E4)/91),IF(ROUND(SUM(U4:V4),0)=0,0,SUM(U4:V4)*(1+$D4/4)))</f>
        <v>0</v>
      </c>
      <c r="X4" s="641">
        <v>0</v>
      </c>
      <c r="Y4" s="232">
        <f t="shared" ref="Y4:Y29" si="7">IF(AND(YEAR($E4)=YEAR(Y$2),ROUNDUP(MONTH($E4)/3,0)&lt;=Y$3),$C4*(1+$D4)^((Y$2-$E4)/365),IF(ROUND(SUM(W4:X4),0)=0,0,SUM(W4:X4)*(1+$D4)))</f>
        <v>0</v>
      </c>
      <c r="Z4" s="514">
        <v>0</v>
      </c>
      <c r="AA4" s="232">
        <f t="shared" ref="AA4:AA29" si="8">IF(AND(YEAR($E4)=YEAR(AA$2),ROUNDUP(MONTH($E4)/3,0)&lt;=AA$3),$C4*(1+$D4)^((AA$2-$E4)/365),IF(ROUND(SUM(Y4:Z4),0)=0,0,SUM(Y4:Z4)*(1+$D4)))</f>
        <v>0</v>
      </c>
      <c r="AB4" s="514">
        <v>0</v>
      </c>
      <c r="AC4" s="232">
        <f t="shared" ref="AC4:AC29" si="9">IF(AND(YEAR($E4)=YEAR(AC$2),ROUNDUP(MONTH($E4)/3,0)&lt;=AC$3),$C4*(1+$D4)^((AC$2-$E4)/365),IF(ROUND(SUM(AA4:AB4),0)=0,0,SUM(AA4:AB4)*(1+$D4)))</f>
        <v>0</v>
      </c>
      <c r="AD4" s="514">
        <v>0</v>
      </c>
      <c r="AE4" s="232">
        <f t="shared" ref="AE4:AE29" si="10">IF(AND(YEAR($E4)=YEAR(AE$2),ROUNDUP(MONTH($E4)/3,0)&lt;=AE$3),$C4*(1+$D4)^((AE$2-$E4)/365),IF(ROUND(SUM(AC4:AD4),0)=0,0,SUM(AC4:AD4)*(1+$D4)))</f>
        <v>0</v>
      </c>
      <c r="AF4" s="514">
        <v>0</v>
      </c>
      <c r="AG4" s="223" t="s">
        <v>483</v>
      </c>
    </row>
    <row r="5" spans="1:33">
      <c r="A5" s="223" t="s">
        <v>484</v>
      </c>
      <c r="B5" s="512" t="s">
        <v>485</v>
      </c>
      <c r="C5" s="707"/>
      <c r="D5" s="705">
        <v>0.1133</v>
      </c>
      <c r="E5" s="706">
        <v>46022</v>
      </c>
      <c r="F5" s="302"/>
      <c r="G5" s="2027">
        <v>0</v>
      </c>
      <c r="H5" s="2028">
        <v>0</v>
      </c>
      <c r="I5" s="232">
        <f t="shared" si="0"/>
        <v>0</v>
      </c>
      <c r="J5" s="514">
        <v>0</v>
      </c>
      <c r="K5" s="232">
        <f t="shared" si="1"/>
        <v>0</v>
      </c>
      <c r="L5" s="514"/>
      <c r="M5" s="232">
        <f>IF(AND(YEAR($E5)=YEAR(M$2),ROUNDUP(MONTH($E5)/3,0)=M$3),$C5*(1+$D5/4)^((M$2-$E5)/91),IF(ROUND(SUM(K5:L5),0)=0,0,SUM(K5:L5)*(1+$D5/4)))</f>
        <v>0</v>
      </c>
      <c r="N5" s="514"/>
      <c r="O5" s="232">
        <f t="shared" si="2"/>
        <v>0</v>
      </c>
      <c r="P5" s="641"/>
      <c r="Q5" s="232">
        <f t="shared" si="3"/>
        <v>0</v>
      </c>
      <c r="R5" s="514"/>
      <c r="S5" s="232">
        <f t="shared" si="4"/>
        <v>0</v>
      </c>
      <c r="T5" s="514">
        <v>0</v>
      </c>
      <c r="U5" s="232">
        <f t="shared" si="5"/>
        <v>0</v>
      </c>
      <c r="V5" s="514">
        <v>0</v>
      </c>
      <c r="W5" s="232">
        <f t="shared" si="6"/>
        <v>0</v>
      </c>
      <c r="X5" s="641">
        <f>-W5</f>
        <v>0</v>
      </c>
      <c r="Y5" s="232">
        <f t="shared" si="7"/>
        <v>0</v>
      </c>
      <c r="Z5" s="514">
        <v>0</v>
      </c>
      <c r="AA5" s="232">
        <f t="shared" si="8"/>
        <v>0</v>
      </c>
      <c r="AB5" s="514">
        <v>0</v>
      </c>
      <c r="AC5" s="232">
        <f t="shared" si="9"/>
        <v>0</v>
      </c>
      <c r="AD5" s="514">
        <v>0</v>
      </c>
      <c r="AE5" s="232">
        <f t="shared" si="10"/>
        <v>0</v>
      </c>
      <c r="AF5" s="514">
        <v>0</v>
      </c>
      <c r="AG5" s="223" t="s">
        <v>486</v>
      </c>
    </row>
    <row r="6" spans="1:33">
      <c r="A6" s="223" t="s">
        <v>487</v>
      </c>
      <c r="B6" s="512" t="s">
        <v>488</v>
      </c>
      <c r="C6" s="232"/>
      <c r="D6" s="264"/>
      <c r="E6" s="302"/>
      <c r="F6" s="302"/>
      <c r="G6" s="2027">
        <v>0</v>
      </c>
      <c r="H6" s="2028">
        <v>0</v>
      </c>
      <c r="I6" s="232">
        <f t="shared" si="0"/>
        <v>0</v>
      </c>
      <c r="J6" s="514">
        <v>0</v>
      </c>
      <c r="K6" s="232">
        <f t="shared" si="1"/>
        <v>0</v>
      </c>
      <c r="L6" s="514"/>
      <c r="M6" s="232">
        <f>IF(AND(YEAR($E6)=YEAR(M$2),ROUNDUP(MONTH($E6)/3,0)=M$3),$C6*(1+$D6/4)^((M$2-$E6)/91),IF(ROUND(SUM(K6:L6),0)=0,0,SUM(K6:L6)*(1+$D6/4)))</f>
        <v>0</v>
      </c>
      <c r="N6" s="514">
        <v>0</v>
      </c>
      <c r="O6" s="232">
        <f t="shared" si="2"/>
        <v>0</v>
      </c>
      <c r="P6" s="641"/>
      <c r="Q6" s="232">
        <f t="shared" si="3"/>
        <v>0</v>
      </c>
      <c r="R6" s="514">
        <f>-Q6</f>
        <v>0</v>
      </c>
      <c r="S6" s="232">
        <f t="shared" si="4"/>
        <v>0</v>
      </c>
      <c r="T6" s="514">
        <v>0</v>
      </c>
      <c r="U6" s="232">
        <f t="shared" si="5"/>
        <v>0</v>
      </c>
      <c r="V6" s="514">
        <v>0</v>
      </c>
      <c r="W6" s="232">
        <f t="shared" si="6"/>
        <v>0</v>
      </c>
      <c r="X6" s="641">
        <v>0</v>
      </c>
      <c r="Y6" s="232">
        <f t="shared" si="7"/>
        <v>0</v>
      </c>
      <c r="Z6" s="514">
        <v>0</v>
      </c>
      <c r="AA6" s="232">
        <f t="shared" si="8"/>
        <v>0</v>
      </c>
      <c r="AB6" s="514">
        <v>0</v>
      </c>
      <c r="AC6" s="232">
        <f t="shared" si="9"/>
        <v>0</v>
      </c>
      <c r="AD6" s="514">
        <v>0</v>
      </c>
      <c r="AE6" s="232">
        <f t="shared" si="10"/>
        <v>0</v>
      </c>
      <c r="AF6" s="514">
        <v>0</v>
      </c>
      <c r="AG6" s="223" t="s">
        <v>489</v>
      </c>
    </row>
    <row r="7" spans="1:33">
      <c r="A7" s="223" t="s">
        <v>490</v>
      </c>
      <c r="B7" s="223" t="s">
        <v>491</v>
      </c>
      <c r="C7" s="232">
        <v>5000000</v>
      </c>
      <c r="D7" s="233">
        <v>0.12</v>
      </c>
      <c r="E7" s="302">
        <v>45657</v>
      </c>
      <c r="F7" s="302">
        <v>45747</v>
      </c>
      <c r="G7" s="2027">
        <v>5000000</v>
      </c>
      <c r="H7" s="2028">
        <v>0</v>
      </c>
      <c r="I7" s="232">
        <f t="shared" si="0"/>
        <v>5150000</v>
      </c>
      <c r="J7" s="514"/>
      <c r="K7" s="232">
        <f t="shared" si="1"/>
        <v>5304500</v>
      </c>
      <c r="L7" s="514"/>
      <c r="M7" s="704"/>
      <c r="N7" s="514">
        <v>0</v>
      </c>
      <c r="O7" s="232">
        <f t="shared" si="2"/>
        <v>0</v>
      </c>
      <c r="P7" s="641">
        <v>0</v>
      </c>
      <c r="Q7" s="232">
        <f t="shared" si="3"/>
        <v>0</v>
      </c>
      <c r="R7" s="514">
        <v>0</v>
      </c>
      <c r="S7" s="232">
        <f t="shared" si="4"/>
        <v>0</v>
      </c>
      <c r="T7" s="514">
        <v>0</v>
      </c>
      <c r="U7" s="232">
        <f t="shared" si="5"/>
        <v>0</v>
      </c>
      <c r="V7" s="514">
        <v>0</v>
      </c>
      <c r="W7" s="232">
        <f t="shared" si="6"/>
        <v>0</v>
      </c>
      <c r="X7" s="641">
        <v>0</v>
      </c>
      <c r="Y7" s="232">
        <f t="shared" si="7"/>
        <v>0</v>
      </c>
      <c r="Z7" s="514">
        <v>0</v>
      </c>
      <c r="AA7" s="232">
        <f t="shared" si="8"/>
        <v>0</v>
      </c>
      <c r="AB7" s="514">
        <v>0</v>
      </c>
      <c r="AC7" s="232">
        <f t="shared" si="9"/>
        <v>0</v>
      </c>
      <c r="AD7" s="514">
        <v>0</v>
      </c>
      <c r="AE7" s="232">
        <f t="shared" si="10"/>
        <v>0</v>
      </c>
      <c r="AF7" s="514">
        <v>0</v>
      </c>
    </row>
    <row r="8" spans="1:33">
      <c r="A8" s="223" t="s">
        <v>492</v>
      </c>
      <c r="B8" s="223" t="s">
        <v>493</v>
      </c>
      <c r="C8" s="232">
        <v>10000000</v>
      </c>
      <c r="D8" s="233">
        <v>0.12</v>
      </c>
      <c r="E8" s="302">
        <v>45657</v>
      </c>
      <c r="F8" s="302">
        <v>45747</v>
      </c>
      <c r="G8" s="2027">
        <v>10000000</v>
      </c>
      <c r="H8" s="2028">
        <v>0</v>
      </c>
      <c r="I8" s="232">
        <f t="shared" si="0"/>
        <v>10300000</v>
      </c>
      <c r="J8" s="514"/>
      <c r="K8" s="232">
        <f t="shared" si="1"/>
        <v>10609000</v>
      </c>
      <c r="L8" s="514"/>
      <c r="M8" s="704"/>
      <c r="N8" s="514">
        <v>0</v>
      </c>
      <c r="O8" s="232">
        <f t="shared" si="2"/>
        <v>0</v>
      </c>
      <c r="P8" s="641">
        <v>0</v>
      </c>
      <c r="Q8" s="232">
        <f t="shared" si="3"/>
        <v>0</v>
      </c>
      <c r="R8" s="514">
        <v>0</v>
      </c>
      <c r="S8" s="232">
        <f t="shared" si="4"/>
        <v>0</v>
      </c>
      <c r="T8" s="514">
        <v>0</v>
      </c>
      <c r="U8" s="232">
        <f t="shared" si="5"/>
        <v>0</v>
      </c>
      <c r="V8" s="514">
        <v>0</v>
      </c>
      <c r="W8" s="232">
        <f t="shared" si="6"/>
        <v>0</v>
      </c>
      <c r="X8" s="641">
        <v>0</v>
      </c>
      <c r="Y8" s="232">
        <f t="shared" si="7"/>
        <v>0</v>
      </c>
      <c r="Z8" s="514">
        <v>0</v>
      </c>
      <c r="AA8" s="232">
        <f t="shared" si="8"/>
        <v>0</v>
      </c>
      <c r="AB8" s="514">
        <v>0</v>
      </c>
      <c r="AC8" s="232">
        <f t="shared" si="9"/>
        <v>0</v>
      </c>
      <c r="AD8" s="514">
        <v>0</v>
      </c>
      <c r="AE8" s="232">
        <f t="shared" si="10"/>
        <v>0</v>
      </c>
      <c r="AF8" s="514">
        <v>0</v>
      </c>
    </row>
    <row r="9" spans="1:33">
      <c r="A9" s="223" t="s">
        <v>494</v>
      </c>
      <c r="B9" s="223" t="s">
        <v>495</v>
      </c>
      <c r="C9" s="232">
        <v>5000000</v>
      </c>
      <c r="D9" s="233">
        <v>0.18</v>
      </c>
      <c r="E9" s="302">
        <v>45657</v>
      </c>
      <c r="F9" s="302">
        <v>45747</v>
      </c>
      <c r="G9" s="2027">
        <v>5000000</v>
      </c>
      <c r="H9" s="2028">
        <v>0</v>
      </c>
      <c r="I9" s="232">
        <f t="shared" si="0"/>
        <v>5225000</v>
      </c>
      <c r="J9" s="514"/>
      <c r="K9" s="232">
        <f t="shared" si="1"/>
        <v>5460125</v>
      </c>
      <c r="L9" s="514"/>
      <c r="M9" s="704"/>
      <c r="N9" s="514">
        <v>0</v>
      </c>
      <c r="O9" s="232">
        <f t="shared" si="2"/>
        <v>0</v>
      </c>
      <c r="P9" s="641">
        <v>0</v>
      </c>
      <c r="Q9" s="232">
        <f t="shared" si="3"/>
        <v>0</v>
      </c>
      <c r="R9" s="514">
        <v>0</v>
      </c>
      <c r="S9" s="232">
        <f t="shared" si="4"/>
        <v>0</v>
      </c>
      <c r="T9" s="514">
        <v>0</v>
      </c>
      <c r="U9" s="232">
        <f t="shared" si="5"/>
        <v>0</v>
      </c>
      <c r="V9" s="514">
        <v>0</v>
      </c>
      <c r="W9" s="232">
        <f t="shared" si="6"/>
        <v>0</v>
      </c>
      <c r="X9" s="641">
        <v>0</v>
      </c>
      <c r="Y9" s="232">
        <f t="shared" si="7"/>
        <v>0</v>
      </c>
      <c r="Z9" s="514">
        <v>0</v>
      </c>
      <c r="AA9" s="232">
        <f t="shared" si="8"/>
        <v>0</v>
      </c>
      <c r="AB9" s="514">
        <v>0</v>
      </c>
      <c r="AC9" s="232">
        <f t="shared" si="9"/>
        <v>0</v>
      </c>
      <c r="AD9" s="514">
        <v>0</v>
      </c>
      <c r="AE9" s="232">
        <f t="shared" si="10"/>
        <v>0</v>
      </c>
      <c r="AF9" s="514">
        <v>0</v>
      </c>
    </row>
    <row r="10" spans="1:33">
      <c r="A10" s="223" t="s">
        <v>496</v>
      </c>
      <c r="B10" s="223" t="s">
        <v>497</v>
      </c>
      <c r="C10" s="232">
        <v>2000000</v>
      </c>
      <c r="D10" s="264">
        <v>0.2</v>
      </c>
      <c r="E10" s="302">
        <v>45617</v>
      </c>
      <c r="F10" s="302"/>
      <c r="G10" s="2027">
        <v>2040362.779512597</v>
      </c>
      <c r="H10" s="2028">
        <v>0</v>
      </c>
      <c r="I10" s="232">
        <f t="shared" si="0"/>
        <v>2142380.9184882268</v>
      </c>
      <c r="J10" s="514">
        <v>0</v>
      </c>
      <c r="K10" s="232">
        <f t="shared" si="1"/>
        <v>2249499.9644126385</v>
      </c>
      <c r="L10" s="514"/>
      <c r="M10" s="232">
        <f t="shared" ref="M10:M29" si="11">IF(AND(YEAR($E10)=YEAR(M$2),ROUNDUP(MONTH($E10)/3,0)=M$3),$C10*(1+$D10/4)^((M$2-$E10)/91),IF(ROUND(SUM(K10:L10),0)=0,0,SUM(K10:L10)*(1+$D10/4)))</f>
        <v>2361974.9626332703</v>
      </c>
      <c r="N10" s="514"/>
      <c r="O10" s="232">
        <f t="shared" si="2"/>
        <v>2480073.7107649338</v>
      </c>
      <c r="P10" s="720">
        <v>-2900000</v>
      </c>
      <c r="Q10" s="704"/>
      <c r="R10" s="514">
        <v>0</v>
      </c>
      <c r="S10" s="232">
        <f t="shared" si="4"/>
        <v>0</v>
      </c>
      <c r="T10" s="514">
        <v>0</v>
      </c>
      <c r="U10" s="232">
        <f t="shared" si="5"/>
        <v>0</v>
      </c>
      <c r="V10" s="514">
        <v>0</v>
      </c>
      <c r="W10" s="232">
        <f t="shared" si="6"/>
        <v>0</v>
      </c>
      <c r="X10" s="641">
        <v>0</v>
      </c>
      <c r="Y10" s="232">
        <f t="shared" si="7"/>
        <v>0</v>
      </c>
      <c r="Z10" s="514">
        <v>0</v>
      </c>
      <c r="AA10" s="232">
        <f t="shared" si="8"/>
        <v>0</v>
      </c>
      <c r="AB10" s="514">
        <v>0</v>
      </c>
      <c r="AC10" s="232">
        <f t="shared" si="9"/>
        <v>0</v>
      </c>
      <c r="AD10" s="514">
        <v>0</v>
      </c>
      <c r="AE10" s="232">
        <f t="shared" si="10"/>
        <v>0</v>
      </c>
      <c r="AF10" s="514">
        <v>0</v>
      </c>
    </row>
    <row r="11" spans="1:33">
      <c r="A11" s="223" t="s">
        <v>498</v>
      </c>
      <c r="B11" s="223" t="s">
        <v>499</v>
      </c>
      <c r="C11" s="232">
        <v>1000000</v>
      </c>
      <c r="D11" s="229">
        <v>4.5199999999999997E-2</v>
      </c>
      <c r="E11" s="302">
        <v>45649</v>
      </c>
      <c r="F11" s="302">
        <v>45711</v>
      </c>
      <c r="G11" s="2027">
        <v>1000969.417629251</v>
      </c>
      <c r="H11" s="2028">
        <v>0</v>
      </c>
      <c r="I11" s="232">
        <f t="shared" si="0"/>
        <v>1012280.3720484617</v>
      </c>
      <c r="J11" s="514"/>
      <c r="K11" s="232">
        <f t="shared" si="1"/>
        <v>1023719.1402526094</v>
      </c>
      <c r="L11" s="514"/>
      <c r="M11" s="232">
        <f t="shared" si="11"/>
        <v>1035287.166537464</v>
      </c>
      <c r="N11" s="514">
        <v>0</v>
      </c>
      <c r="O11" s="232">
        <f t="shared" si="2"/>
        <v>1046985.9115193374</v>
      </c>
      <c r="P11" s="641"/>
      <c r="Q11" s="704"/>
      <c r="R11" s="514"/>
      <c r="S11" s="232">
        <f t="shared" si="4"/>
        <v>0</v>
      </c>
      <c r="T11" s="514">
        <v>0</v>
      </c>
      <c r="U11" s="232">
        <f t="shared" si="5"/>
        <v>0</v>
      </c>
      <c r="V11" s="514">
        <v>0</v>
      </c>
      <c r="W11" s="232">
        <f t="shared" si="6"/>
        <v>0</v>
      </c>
      <c r="X11" s="641">
        <v>0</v>
      </c>
      <c r="Y11" s="232">
        <f t="shared" si="7"/>
        <v>0</v>
      </c>
      <c r="Z11" s="514">
        <v>0</v>
      </c>
      <c r="AA11" s="232">
        <f t="shared" si="8"/>
        <v>0</v>
      </c>
      <c r="AB11" s="514">
        <v>0</v>
      </c>
      <c r="AC11" s="232">
        <f t="shared" si="9"/>
        <v>0</v>
      </c>
      <c r="AD11" s="514">
        <v>0</v>
      </c>
      <c r="AE11" s="232">
        <f t="shared" si="10"/>
        <v>0</v>
      </c>
      <c r="AF11" s="514">
        <v>0</v>
      </c>
    </row>
    <row r="12" spans="1:33">
      <c r="A12" s="223" t="s">
        <v>500</v>
      </c>
      <c r="B12" s="223" t="s">
        <v>116</v>
      </c>
      <c r="C12" s="232">
        <v>1000000</v>
      </c>
      <c r="D12" s="229">
        <v>0.1023</v>
      </c>
      <c r="E12" s="302">
        <v>45538</v>
      </c>
      <c r="F12" s="302">
        <v>45747</v>
      </c>
      <c r="G12" s="2027">
        <v>1032264.27201908</v>
      </c>
      <c r="H12" s="2028"/>
      <c r="I12" s="232">
        <f t="shared" si="0"/>
        <v>1058664.4307759679</v>
      </c>
      <c r="J12" s="514">
        <f>-I12</f>
        <v>-1058664.4307759679</v>
      </c>
      <c r="K12" s="232">
        <f t="shared" si="1"/>
        <v>0</v>
      </c>
      <c r="L12" s="514"/>
      <c r="M12" s="232">
        <f t="shared" si="11"/>
        <v>0</v>
      </c>
      <c r="N12" s="514">
        <v>0</v>
      </c>
      <c r="O12" s="232">
        <f t="shared" si="2"/>
        <v>0</v>
      </c>
      <c r="P12" s="641"/>
      <c r="Q12" s="232">
        <f>IF(AND(YEAR($E12)=YEAR(Q$2),ROUNDUP(MONTH($E12)/3,0)=Q$3),$C12*(1+$D12/4)^((Q$2-$E12)/91),IF(ROUND(SUM(O12:P12),0)=0,0,SUM(O12:P12)*(1+$D12/4)))</f>
        <v>0</v>
      </c>
      <c r="R12" s="514">
        <v>0</v>
      </c>
      <c r="S12" s="232">
        <f t="shared" si="4"/>
        <v>0</v>
      </c>
      <c r="T12" s="514">
        <v>0</v>
      </c>
      <c r="U12" s="232">
        <f t="shared" si="5"/>
        <v>0</v>
      </c>
      <c r="V12" s="514">
        <v>0</v>
      </c>
      <c r="W12" s="232">
        <f t="shared" si="6"/>
        <v>0</v>
      </c>
      <c r="X12" s="641">
        <v>0</v>
      </c>
      <c r="Y12" s="232">
        <f t="shared" si="7"/>
        <v>0</v>
      </c>
      <c r="Z12" s="514">
        <v>0</v>
      </c>
      <c r="AA12" s="232">
        <f t="shared" si="8"/>
        <v>0</v>
      </c>
      <c r="AB12" s="514">
        <v>0</v>
      </c>
      <c r="AC12" s="232">
        <f t="shared" si="9"/>
        <v>0</v>
      </c>
      <c r="AD12" s="514">
        <v>0</v>
      </c>
      <c r="AE12" s="232">
        <f t="shared" si="10"/>
        <v>0</v>
      </c>
      <c r="AF12" s="514">
        <v>0</v>
      </c>
    </row>
    <row r="13" spans="1:33">
      <c r="A13" s="223" t="s">
        <v>501</v>
      </c>
      <c r="B13" s="223" t="s">
        <v>116</v>
      </c>
      <c r="C13" s="232">
        <v>400000</v>
      </c>
      <c r="D13" s="229">
        <v>0.1023</v>
      </c>
      <c r="E13" s="302">
        <v>45562</v>
      </c>
      <c r="F13" s="302">
        <v>45747</v>
      </c>
      <c r="G13" s="2027">
        <v>410269.78163498401</v>
      </c>
      <c r="H13" s="2028"/>
      <c r="I13" s="232">
        <f t="shared" si="0"/>
        <v>420762.43130029872</v>
      </c>
      <c r="J13" s="514">
        <f>-I13</f>
        <v>-420762.43130029872</v>
      </c>
      <c r="K13" s="232">
        <f t="shared" si="1"/>
        <v>0</v>
      </c>
      <c r="L13" s="514"/>
      <c r="M13" s="232">
        <f t="shared" si="11"/>
        <v>0</v>
      </c>
      <c r="N13" s="514">
        <v>0</v>
      </c>
      <c r="O13" s="232">
        <f t="shared" si="2"/>
        <v>0</v>
      </c>
      <c r="P13" s="641"/>
      <c r="Q13" s="232">
        <f>IF(AND(YEAR($E13)=YEAR(Q$2),ROUNDUP(MONTH($E13)/3,0)=Q$3),$C13*(1+$D13/4)^((Q$2-$E13)/91),IF(ROUND(SUM(O13:P13),0)=0,0,SUM(O13:P13)*(1+$D13/4)))</f>
        <v>0</v>
      </c>
      <c r="R13" s="514">
        <v>0</v>
      </c>
      <c r="S13" s="232">
        <f t="shared" si="4"/>
        <v>0</v>
      </c>
      <c r="T13" s="514">
        <v>0</v>
      </c>
      <c r="U13" s="232">
        <f t="shared" si="5"/>
        <v>0</v>
      </c>
      <c r="V13" s="514">
        <v>0</v>
      </c>
      <c r="W13" s="232">
        <f t="shared" si="6"/>
        <v>0</v>
      </c>
      <c r="X13" s="641">
        <v>0</v>
      </c>
      <c r="Y13" s="232">
        <f t="shared" si="7"/>
        <v>0</v>
      </c>
      <c r="Z13" s="514">
        <v>0</v>
      </c>
      <c r="AA13" s="232">
        <f t="shared" si="8"/>
        <v>0</v>
      </c>
      <c r="AB13" s="514">
        <v>0</v>
      </c>
      <c r="AC13" s="232">
        <f t="shared" si="9"/>
        <v>0</v>
      </c>
      <c r="AD13" s="514">
        <v>0</v>
      </c>
      <c r="AE13" s="232">
        <f t="shared" si="10"/>
        <v>0</v>
      </c>
      <c r="AF13" s="514">
        <v>0</v>
      </c>
    </row>
    <row r="14" spans="1:33">
      <c r="A14" s="223" t="s">
        <v>502</v>
      </c>
      <c r="B14" s="223" t="s">
        <v>116</v>
      </c>
      <c r="C14" s="232">
        <v>600000</v>
      </c>
      <c r="D14" s="229">
        <v>0.1023</v>
      </c>
      <c r="E14" s="302">
        <v>45637</v>
      </c>
      <c r="F14" s="302">
        <v>45747</v>
      </c>
      <c r="G14" s="2027">
        <v>603210.71586950752</v>
      </c>
      <c r="H14" s="2028"/>
      <c r="I14" s="232">
        <f t="shared" si="0"/>
        <v>618637.82992787007</v>
      </c>
      <c r="J14" s="514">
        <f>-I14</f>
        <v>-618637.82992787007</v>
      </c>
      <c r="K14" s="232">
        <f t="shared" si="1"/>
        <v>0</v>
      </c>
      <c r="L14" s="514"/>
      <c r="M14" s="232">
        <f t="shared" si="11"/>
        <v>0</v>
      </c>
      <c r="N14" s="514">
        <v>0</v>
      </c>
      <c r="O14" s="232">
        <f t="shared" si="2"/>
        <v>0</v>
      </c>
      <c r="P14" s="641"/>
      <c r="Q14" s="232">
        <f>IF(AND(YEAR($E14)=YEAR(Q$2),ROUNDUP(MONTH($E14)/3,0)=Q$3),$C14*(1+$D14/4)^((Q$2-$E14)/91),IF(ROUND(SUM(O14:P14),0)=0,0,SUM(O14:P14)*(1+$D14/4)))</f>
        <v>0</v>
      </c>
      <c r="R14" s="514">
        <v>0</v>
      </c>
      <c r="S14" s="232">
        <f t="shared" si="4"/>
        <v>0</v>
      </c>
      <c r="T14" s="514">
        <v>0</v>
      </c>
      <c r="U14" s="232">
        <f t="shared" si="5"/>
        <v>0</v>
      </c>
      <c r="V14" s="514">
        <v>0</v>
      </c>
      <c r="W14" s="232">
        <f t="shared" si="6"/>
        <v>0</v>
      </c>
      <c r="X14" s="641">
        <v>0</v>
      </c>
      <c r="Y14" s="232">
        <f t="shared" si="7"/>
        <v>0</v>
      </c>
      <c r="Z14" s="514">
        <v>0</v>
      </c>
      <c r="AA14" s="232">
        <f t="shared" si="8"/>
        <v>0</v>
      </c>
      <c r="AB14" s="514">
        <v>0</v>
      </c>
      <c r="AC14" s="232">
        <f t="shared" si="9"/>
        <v>0</v>
      </c>
      <c r="AD14" s="514">
        <v>0</v>
      </c>
      <c r="AE14" s="232">
        <f t="shared" si="10"/>
        <v>0</v>
      </c>
      <c r="AF14" s="514">
        <v>0</v>
      </c>
    </row>
    <row r="15" spans="1:33">
      <c r="A15" s="223" t="s">
        <v>503</v>
      </c>
      <c r="B15" s="223" t="s">
        <v>504</v>
      </c>
      <c r="C15" s="703">
        <v>500000</v>
      </c>
      <c r="D15" s="229">
        <v>4.5199999999999997E-2</v>
      </c>
      <c r="E15" s="302">
        <v>45716</v>
      </c>
      <c r="F15" s="302"/>
      <c r="G15" s="2027">
        <v>0</v>
      </c>
      <c r="H15" s="2028">
        <v>0</v>
      </c>
      <c r="I15" s="232">
        <f t="shared" si="0"/>
        <v>501917.59962501872</v>
      </c>
      <c r="J15" s="514">
        <v>0</v>
      </c>
      <c r="K15" s="232">
        <f t="shared" si="1"/>
        <v>507589.26850078144</v>
      </c>
      <c r="L15" s="514"/>
      <c r="M15" s="232">
        <f t="shared" si="11"/>
        <v>513325.02723484032</v>
      </c>
      <c r="N15" s="514">
        <v>0</v>
      </c>
      <c r="O15" s="232">
        <f t="shared" si="2"/>
        <v>519125.60004259407</v>
      </c>
      <c r="P15" s="641"/>
      <c r="Q15" s="704"/>
      <c r="R15" s="514">
        <f>-Q15</f>
        <v>0</v>
      </c>
      <c r="S15" s="232">
        <f t="shared" si="4"/>
        <v>0</v>
      </c>
      <c r="T15" s="514">
        <v>0</v>
      </c>
      <c r="U15" s="232">
        <f t="shared" si="5"/>
        <v>0</v>
      </c>
      <c r="V15" s="514">
        <v>0</v>
      </c>
      <c r="W15" s="232">
        <f t="shared" si="6"/>
        <v>0</v>
      </c>
      <c r="X15" s="641">
        <v>0</v>
      </c>
      <c r="Y15" s="232">
        <f t="shared" si="7"/>
        <v>0</v>
      </c>
      <c r="Z15" s="514">
        <v>0</v>
      </c>
      <c r="AA15" s="232">
        <f t="shared" si="8"/>
        <v>0</v>
      </c>
      <c r="AB15" s="514">
        <v>0</v>
      </c>
      <c r="AC15" s="232">
        <f t="shared" si="9"/>
        <v>0</v>
      </c>
      <c r="AD15" s="514">
        <v>0</v>
      </c>
      <c r="AE15" s="232">
        <f t="shared" si="10"/>
        <v>0</v>
      </c>
      <c r="AF15" s="514">
        <v>0</v>
      </c>
    </row>
    <row r="16" spans="1:33">
      <c r="A16" s="223" t="s">
        <v>505</v>
      </c>
      <c r="B16" s="223" t="s">
        <v>506</v>
      </c>
      <c r="C16" s="703">
        <v>100000</v>
      </c>
      <c r="D16" s="229">
        <v>4.5199999999999997E-2</v>
      </c>
      <c r="E16" s="302">
        <v>45751</v>
      </c>
      <c r="F16" s="302"/>
      <c r="G16" s="2027">
        <v>0</v>
      </c>
      <c r="H16" s="2028">
        <v>0</v>
      </c>
      <c r="I16" s="232">
        <f t="shared" si="0"/>
        <v>0</v>
      </c>
      <c r="J16" s="514">
        <v>0</v>
      </c>
      <c r="K16" s="232">
        <f t="shared" si="1"/>
        <v>101080.06241764997</v>
      </c>
      <c r="L16" s="514"/>
      <c r="M16" s="232">
        <f t="shared" si="11"/>
        <v>102222.26712296942</v>
      </c>
      <c r="N16" s="514">
        <v>0</v>
      </c>
      <c r="O16" s="232">
        <f t="shared" si="2"/>
        <v>103377.37874145899</v>
      </c>
      <c r="P16" s="641"/>
      <c r="Q16" s="704"/>
      <c r="R16" s="514">
        <f>-Q16</f>
        <v>0</v>
      </c>
      <c r="S16" s="232">
        <f t="shared" si="4"/>
        <v>0</v>
      </c>
      <c r="T16" s="514">
        <v>0</v>
      </c>
      <c r="U16" s="232">
        <f t="shared" si="5"/>
        <v>0</v>
      </c>
      <c r="V16" s="514">
        <v>0</v>
      </c>
      <c r="W16" s="232">
        <f t="shared" si="6"/>
        <v>0</v>
      </c>
      <c r="X16" s="641">
        <v>0</v>
      </c>
      <c r="Y16" s="232">
        <f t="shared" si="7"/>
        <v>0</v>
      </c>
      <c r="Z16" s="514">
        <v>0</v>
      </c>
      <c r="AA16" s="232">
        <f t="shared" si="8"/>
        <v>0</v>
      </c>
      <c r="AB16" s="514">
        <v>0</v>
      </c>
      <c r="AC16" s="232">
        <f t="shared" si="9"/>
        <v>0</v>
      </c>
      <c r="AD16" s="514">
        <v>0</v>
      </c>
      <c r="AE16" s="232">
        <f t="shared" si="10"/>
        <v>0</v>
      </c>
      <c r="AF16" s="514">
        <v>0</v>
      </c>
    </row>
    <row r="17" spans="1:32">
      <c r="A17" s="223" t="s">
        <v>507</v>
      </c>
      <c r="B17" s="223" t="s">
        <v>508</v>
      </c>
      <c r="C17" s="703">
        <v>250000</v>
      </c>
      <c r="D17" s="229">
        <v>4.5199999999999997E-2</v>
      </c>
      <c r="E17" s="302">
        <v>45993</v>
      </c>
      <c r="F17" s="302"/>
      <c r="G17" s="2027">
        <v>0</v>
      </c>
      <c r="H17" s="2028">
        <v>0</v>
      </c>
      <c r="I17" s="232">
        <f t="shared" si="0"/>
        <v>0</v>
      </c>
      <c r="J17" s="514">
        <v>0</v>
      </c>
      <c r="K17" s="232">
        <f t="shared" si="1"/>
        <v>0</v>
      </c>
      <c r="L17" s="514"/>
      <c r="M17" s="232">
        <f t="shared" si="11"/>
        <v>0</v>
      </c>
      <c r="N17" s="514">
        <v>0</v>
      </c>
      <c r="O17" s="242">
        <f t="shared" si="2"/>
        <v>250896.83094466163</v>
      </c>
      <c r="P17" s="641"/>
      <c r="Q17" s="232">
        <f t="shared" ref="Q17:Q29" si="12">IF(AND(YEAR($E17)=YEAR(Q$2),ROUNDUP(MONTH($E17)/3,0)=Q$3),$C17*(1+$D17/4)^((Q$2-$E17)/91),IF(ROUND(SUM(O17:P17),0)=0,0,SUM(O17:P17)*(1+$D17/4)))</f>
        <v>253731.96513433632</v>
      </c>
      <c r="R17" s="514"/>
      <c r="S17" s="232">
        <f t="shared" si="4"/>
        <v>256599.13634035434</v>
      </c>
      <c r="T17" s="514">
        <v>0</v>
      </c>
      <c r="U17" s="232">
        <f t="shared" si="5"/>
        <v>259498.70658100036</v>
      </c>
      <c r="V17" s="514">
        <f>-U17</f>
        <v>-259498.70658100036</v>
      </c>
      <c r="W17" s="232">
        <f t="shared" si="6"/>
        <v>0</v>
      </c>
      <c r="X17" s="641">
        <f>-W17</f>
        <v>0</v>
      </c>
      <c r="Y17" s="232">
        <f t="shared" si="7"/>
        <v>0</v>
      </c>
      <c r="Z17" s="514">
        <v>0</v>
      </c>
      <c r="AA17" s="232">
        <f t="shared" si="8"/>
        <v>0</v>
      </c>
      <c r="AB17" s="514">
        <v>0</v>
      </c>
      <c r="AC17" s="232">
        <f t="shared" si="9"/>
        <v>0</v>
      </c>
      <c r="AD17" s="514">
        <v>0</v>
      </c>
      <c r="AE17" s="232">
        <f t="shared" si="10"/>
        <v>0</v>
      </c>
      <c r="AF17" s="514">
        <v>0</v>
      </c>
    </row>
    <row r="18" spans="1:32">
      <c r="A18" s="223" t="s">
        <v>509</v>
      </c>
      <c r="B18" s="223" t="s">
        <v>508</v>
      </c>
      <c r="C18" s="232">
        <v>250000</v>
      </c>
      <c r="D18" s="229">
        <v>4.5199999999999997E-2</v>
      </c>
      <c r="E18" s="302">
        <v>46027</v>
      </c>
      <c r="F18" s="302"/>
      <c r="G18" s="2027">
        <v>0</v>
      </c>
      <c r="H18" s="2028">
        <v>0</v>
      </c>
      <c r="I18" s="232">
        <f t="shared" si="0"/>
        <v>0</v>
      </c>
      <c r="J18" s="514">
        <v>0</v>
      </c>
      <c r="K18" s="232">
        <f t="shared" si="1"/>
        <v>0</v>
      </c>
      <c r="L18" s="514"/>
      <c r="M18" s="232">
        <f t="shared" si="11"/>
        <v>0</v>
      </c>
      <c r="N18" s="514">
        <v>0</v>
      </c>
      <c r="O18" s="232">
        <f t="shared" si="2"/>
        <v>0</v>
      </c>
      <c r="P18" s="641"/>
      <c r="Q18" s="242">
        <f t="shared" si="12"/>
        <v>252637.75718587934</v>
      </c>
      <c r="R18" s="514"/>
      <c r="S18" s="232">
        <f t="shared" si="4"/>
        <v>255492.56384207981</v>
      </c>
      <c r="T18" s="514">
        <v>0</v>
      </c>
      <c r="U18" s="232">
        <f t="shared" si="5"/>
        <v>258379.62981349532</v>
      </c>
      <c r="V18" s="514">
        <f>-U18</f>
        <v>-258379.62981349532</v>
      </c>
      <c r="W18" s="232">
        <f t="shared" si="6"/>
        <v>0</v>
      </c>
      <c r="X18" s="641">
        <f>-W18</f>
        <v>0</v>
      </c>
      <c r="Y18" s="232">
        <f t="shared" si="7"/>
        <v>0</v>
      </c>
      <c r="Z18" s="514">
        <v>0</v>
      </c>
      <c r="AA18" s="232">
        <f t="shared" si="8"/>
        <v>0</v>
      </c>
      <c r="AB18" s="514">
        <v>0</v>
      </c>
      <c r="AC18" s="232">
        <f t="shared" si="9"/>
        <v>0</v>
      </c>
      <c r="AD18" s="514">
        <v>0</v>
      </c>
      <c r="AE18" s="232">
        <f t="shared" si="10"/>
        <v>0</v>
      </c>
      <c r="AF18" s="514">
        <v>0</v>
      </c>
    </row>
    <row r="19" spans="1:32">
      <c r="A19" s="223" t="s">
        <v>510</v>
      </c>
      <c r="B19" s="223" t="s">
        <v>511</v>
      </c>
      <c r="C19" s="232">
        <v>2000000</v>
      </c>
      <c r="D19" s="229">
        <v>0.13</v>
      </c>
      <c r="E19" s="302">
        <v>46008</v>
      </c>
      <c r="F19" s="302"/>
      <c r="G19" s="2027">
        <v>0</v>
      </c>
      <c r="H19" s="2028">
        <v>0</v>
      </c>
      <c r="I19" s="232">
        <f t="shared" si="0"/>
        <v>0</v>
      </c>
      <c r="J19" s="514">
        <v>0</v>
      </c>
      <c r="K19" s="232">
        <f t="shared" si="1"/>
        <v>0</v>
      </c>
      <c r="L19" s="514"/>
      <c r="M19" s="232">
        <f t="shared" si="11"/>
        <v>0</v>
      </c>
      <c r="N19" s="514">
        <v>0</v>
      </c>
      <c r="O19" s="242">
        <f t="shared" si="2"/>
        <v>2009865.1879554624</v>
      </c>
      <c r="P19" s="641"/>
      <c r="Q19" s="232">
        <f t="shared" si="12"/>
        <v>2075185.8065640149</v>
      </c>
      <c r="R19" s="514"/>
      <c r="S19" s="232">
        <f t="shared" si="4"/>
        <v>2142629.3452773453</v>
      </c>
      <c r="T19" s="514">
        <v>0</v>
      </c>
      <c r="U19" s="232">
        <f t="shared" si="5"/>
        <v>2212264.7989988588</v>
      </c>
      <c r="V19" s="514">
        <v>0</v>
      </c>
      <c r="W19" s="232">
        <f t="shared" si="6"/>
        <v>2284163.4049663218</v>
      </c>
      <c r="X19" s="641">
        <f>-W19</f>
        <v>-2284163.4049663218</v>
      </c>
      <c r="Y19" s="232">
        <f t="shared" si="7"/>
        <v>0</v>
      </c>
      <c r="Z19" s="514">
        <v>0</v>
      </c>
      <c r="AA19" s="232">
        <f t="shared" si="8"/>
        <v>0</v>
      </c>
      <c r="AB19" s="514">
        <v>0</v>
      </c>
      <c r="AC19" s="232">
        <f t="shared" si="9"/>
        <v>0</v>
      </c>
      <c r="AD19" s="514">
        <v>0</v>
      </c>
      <c r="AE19" s="232">
        <f t="shared" si="10"/>
        <v>0</v>
      </c>
      <c r="AF19" s="514">
        <v>0</v>
      </c>
    </row>
    <row r="20" spans="1:32">
      <c r="A20" s="223" t="s">
        <v>512</v>
      </c>
      <c r="B20" s="223" t="s">
        <v>513</v>
      </c>
      <c r="C20" s="232">
        <v>300000</v>
      </c>
      <c r="D20" s="233">
        <v>0</v>
      </c>
      <c r="E20" s="302">
        <v>45446</v>
      </c>
      <c r="F20" s="302"/>
      <c r="G20" s="2027">
        <v>300000</v>
      </c>
      <c r="H20" s="2028">
        <v>0</v>
      </c>
      <c r="I20" s="232">
        <f t="shared" si="0"/>
        <v>300000</v>
      </c>
      <c r="J20" s="514">
        <v>0</v>
      </c>
      <c r="K20" s="232">
        <f t="shared" si="1"/>
        <v>300000</v>
      </c>
      <c r="L20" s="514"/>
      <c r="M20" s="232">
        <f t="shared" si="11"/>
        <v>300000</v>
      </c>
      <c r="N20" s="514">
        <v>0</v>
      </c>
      <c r="O20" s="232">
        <f t="shared" si="2"/>
        <v>300000</v>
      </c>
      <c r="P20" s="720">
        <f>-O20</f>
        <v>-300000</v>
      </c>
      <c r="Q20" s="232">
        <f t="shared" si="12"/>
        <v>0</v>
      </c>
      <c r="R20" s="514"/>
      <c r="S20" s="232">
        <f t="shared" si="4"/>
        <v>0</v>
      </c>
      <c r="T20" s="514">
        <v>0</v>
      </c>
      <c r="U20" s="232">
        <f t="shared" si="5"/>
        <v>0</v>
      </c>
      <c r="V20" s="514">
        <v>0</v>
      </c>
      <c r="W20" s="232">
        <f t="shared" si="6"/>
        <v>0</v>
      </c>
      <c r="X20" s="641">
        <f>-W20</f>
        <v>0</v>
      </c>
      <c r="Y20" s="232">
        <f t="shared" si="7"/>
        <v>0</v>
      </c>
      <c r="Z20" s="514">
        <v>0</v>
      </c>
      <c r="AA20" s="232">
        <f t="shared" si="8"/>
        <v>0</v>
      </c>
      <c r="AB20" s="514">
        <v>0</v>
      </c>
      <c r="AC20" s="232">
        <f t="shared" si="9"/>
        <v>0</v>
      </c>
      <c r="AD20" s="514">
        <v>0</v>
      </c>
      <c r="AE20" s="232">
        <f t="shared" si="10"/>
        <v>0</v>
      </c>
      <c r="AF20" s="514">
        <v>0</v>
      </c>
    </row>
    <row r="21" spans="1:32">
      <c r="A21" s="223" t="s">
        <v>514</v>
      </c>
      <c r="B21" s="642" t="s">
        <v>515</v>
      </c>
      <c r="C21" s="643">
        <v>4000000</v>
      </c>
      <c r="D21" s="644">
        <v>0.12</v>
      </c>
      <c r="E21" s="645">
        <v>46203</v>
      </c>
      <c r="G21" s="2027">
        <v>0</v>
      </c>
      <c r="H21" s="2028">
        <v>0</v>
      </c>
      <c r="I21" s="232">
        <f t="shared" si="0"/>
        <v>0</v>
      </c>
      <c r="J21" s="514">
        <v>0</v>
      </c>
      <c r="K21" s="232">
        <f t="shared" si="1"/>
        <v>0</v>
      </c>
      <c r="L21" s="514"/>
      <c r="M21" s="232">
        <f t="shared" si="11"/>
        <v>0</v>
      </c>
      <c r="N21" s="514">
        <v>0</v>
      </c>
      <c r="O21" s="232">
        <f t="shared" si="2"/>
        <v>0</v>
      </c>
      <c r="P21" s="641"/>
      <c r="Q21" s="232">
        <f t="shared" si="12"/>
        <v>0</v>
      </c>
      <c r="R21" s="514">
        <f>-Q21</f>
        <v>0</v>
      </c>
      <c r="S21" s="232">
        <f t="shared" si="4"/>
        <v>4000000</v>
      </c>
      <c r="T21" s="514">
        <v>0</v>
      </c>
      <c r="U21" s="232">
        <f t="shared" si="5"/>
        <v>4120000</v>
      </c>
      <c r="V21" s="514">
        <v>0</v>
      </c>
      <c r="W21" s="232">
        <f t="shared" si="6"/>
        <v>4243600</v>
      </c>
      <c r="X21" s="641">
        <v>0</v>
      </c>
      <c r="Y21" s="232">
        <f t="shared" si="7"/>
        <v>4752832</v>
      </c>
      <c r="Z21" s="514">
        <f>-Y21</f>
        <v>-4752832</v>
      </c>
      <c r="AA21" s="232">
        <f t="shared" si="8"/>
        <v>0</v>
      </c>
      <c r="AB21" s="514">
        <v>0</v>
      </c>
      <c r="AC21" s="232">
        <f t="shared" si="9"/>
        <v>0</v>
      </c>
      <c r="AD21" s="514">
        <v>0</v>
      </c>
      <c r="AE21" s="232">
        <f t="shared" si="10"/>
        <v>0</v>
      </c>
      <c r="AF21" s="514"/>
    </row>
    <row r="22" spans="1:32">
      <c r="A22" s="223" t="s">
        <v>516</v>
      </c>
      <c r="B22" s="642"/>
      <c r="C22" s="643"/>
      <c r="D22" s="644"/>
      <c r="E22" s="645"/>
      <c r="G22" s="2027">
        <v>0</v>
      </c>
      <c r="H22" s="2028">
        <v>0</v>
      </c>
      <c r="I22" s="232">
        <f t="shared" si="0"/>
        <v>0</v>
      </c>
      <c r="J22" s="514">
        <v>0</v>
      </c>
      <c r="K22" s="232">
        <f t="shared" si="1"/>
        <v>0</v>
      </c>
      <c r="L22" s="514"/>
      <c r="M22" s="232">
        <f t="shared" si="11"/>
        <v>0</v>
      </c>
      <c r="N22" s="514">
        <v>0</v>
      </c>
      <c r="O22" s="232">
        <f t="shared" si="2"/>
        <v>0</v>
      </c>
      <c r="P22" s="641"/>
      <c r="Q22" s="232">
        <f t="shared" si="12"/>
        <v>0</v>
      </c>
      <c r="R22" s="514">
        <f>-Q22</f>
        <v>0</v>
      </c>
      <c r="S22" s="232">
        <f t="shared" si="4"/>
        <v>0</v>
      </c>
      <c r="T22" s="514">
        <v>0</v>
      </c>
      <c r="U22" s="232">
        <f t="shared" si="5"/>
        <v>0</v>
      </c>
      <c r="V22" s="514">
        <v>0</v>
      </c>
      <c r="W22" s="232">
        <f t="shared" si="6"/>
        <v>0</v>
      </c>
      <c r="X22" s="641">
        <v>0</v>
      </c>
      <c r="Y22" s="232">
        <f t="shared" si="7"/>
        <v>0</v>
      </c>
      <c r="Z22" s="514">
        <v>0</v>
      </c>
      <c r="AA22" s="232">
        <f t="shared" si="8"/>
        <v>0</v>
      </c>
      <c r="AB22" s="514">
        <v>0</v>
      </c>
      <c r="AC22" s="232">
        <f t="shared" si="9"/>
        <v>0</v>
      </c>
      <c r="AD22" s="514">
        <v>0</v>
      </c>
      <c r="AE22" s="232">
        <f t="shared" si="10"/>
        <v>0</v>
      </c>
      <c r="AF22" s="514"/>
    </row>
    <row r="23" spans="1:32">
      <c r="A23" s="223" t="s">
        <v>517</v>
      </c>
      <c r="B23" s="642"/>
      <c r="C23" s="643"/>
      <c r="D23" s="644"/>
      <c r="E23" s="645"/>
      <c r="G23" s="2027">
        <v>0</v>
      </c>
      <c r="H23" s="2028">
        <v>0</v>
      </c>
      <c r="I23" s="232">
        <f t="shared" si="0"/>
        <v>0</v>
      </c>
      <c r="J23" s="514">
        <v>0</v>
      </c>
      <c r="K23" s="232">
        <f t="shared" si="1"/>
        <v>0</v>
      </c>
      <c r="L23" s="514"/>
      <c r="M23" s="232">
        <f t="shared" si="11"/>
        <v>0</v>
      </c>
      <c r="N23" s="514">
        <v>0</v>
      </c>
      <c r="O23" s="232">
        <f t="shared" si="2"/>
        <v>0</v>
      </c>
      <c r="P23" s="641"/>
      <c r="Q23" s="232">
        <f t="shared" si="12"/>
        <v>0</v>
      </c>
      <c r="R23" s="514">
        <f>-Q23</f>
        <v>0</v>
      </c>
      <c r="S23" s="232">
        <f t="shared" si="4"/>
        <v>0</v>
      </c>
      <c r="T23" s="514">
        <v>0</v>
      </c>
      <c r="U23" s="232">
        <f t="shared" si="5"/>
        <v>0</v>
      </c>
      <c r="V23" s="514">
        <v>0</v>
      </c>
      <c r="W23" s="232">
        <f t="shared" si="6"/>
        <v>0</v>
      </c>
      <c r="X23" s="641">
        <v>0</v>
      </c>
      <c r="Y23" s="232">
        <f t="shared" si="7"/>
        <v>0</v>
      </c>
      <c r="Z23" s="514">
        <v>0</v>
      </c>
      <c r="AA23" s="232">
        <f t="shared" si="8"/>
        <v>0</v>
      </c>
      <c r="AB23" s="514">
        <v>0</v>
      </c>
      <c r="AC23" s="232">
        <f t="shared" si="9"/>
        <v>0</v>
      </c>
      <c r="AD23" s="514">
        <v>0</v>
      </c>
      <c r="AE23" s="232">
        <f t="shared" si="10"/>
        <v>0</v>
      </c>
      <c r="AF23" s="514"/>
    </row>
    <row r="24" spans="1:32">
      <c r="A24" s="223" t="s">
        <v>518</v>
      </c>
      <c r="B24" s="642"/>
      <c r="C24" s="643"/>
      <c r="D24" s="644"/>
      <c r="E24" s="645"/>
      <c r="G24" s="2027">
        <v>0</v>
      </c>
      <c r="H24" s="2028">
        <v>0</v>
      </c>
      <c r="I24" s="232">
        <f t="shared" si="0"/>
        <v>0</v>
      </c>
      <c r="J24" s="514">
        <v>0</v>
      </c>
      <c r="K24" s="232">
        <f t="shared" si="1"/>
        <v>0</v>
      </c>
      <c r="L24" s="514"/>
      <c r="M24" s="232">
        <f t="shared" si="11"/>
        <v>0</v>
      </c>
      <c r="N24" s="514">
        <v>0</v>
      </c>
      <c r="O24" s="232">
        <f t="shared" si="2"/>
        <v>0</v>
      </c>
      <c r="P24" s="641"/>
      <c r="Q24" s="232">
        <f t="shared" si="12"/>
        <v>0</v>
      </c>
      <c r="R24" s="514">
        <f>-Q24</f>
        <v>0</v>
      </c>
      <c r="S24" s="232">
        <f t="shared" si="4"/>
        <v>0</v>
      </c>
      <c r="T24" s="514">
        <v>0</v>
      </c>
      <c r="U24" s="232">
        <f t="shared" si="5"/>
        <v>0</v>
      </c>
      <c r="V24" s="514">
        <v>0</v>
      </c>
      <c r="W24" s="232">
        <f t="shared" si="6"/>
        <v>0</v>
      </c>
      <c r="X24" s="641">
        <v>0</v>
      </c>
      <c r="Y24" s="232">
        <f t="shared" si="7"/>
        <v>0</v>
      </c>
      <c r="Z24" s="514">
        <v>0</v>
      </c>
      <c r="AA24" s="232">
        <f t="shared" si="8"/>
        <v>0</v>
      </c>
      <c r="AB24" s="514">
        <v>0</v>
      </c>
      <c r="AC24" s="232">
        <f t="shared" si="9"/>
        <v>0</v>
      </c>
      <c r="AD24" s="514">
        <v>0</v>
      </c>
      <c r="AE24" s="232">
        <f t="shared" si="10"/>
        <v>0</v>
      </c>
      <c r="AF24" s="514"/>
    </row>
    <row r="25" spans="1:32">
      <c r="A25" s="223" t="s">
        <v>519</v>
      </c>
      <c r="B25" s="642"/>
      <c r="C25" s="643"/>
      <c r="D25" s="644"/>
      <c r="E25" s="645"/>
      <c r="G25" s="2027">
        <v>0</v>
      </c>
      <c r="H25" s="2028">
        <v>0</v>
      </c>
      <c r="I25" s="232">
        <f t="shared" si="0"/>
        <v>0</v>
      </c>
      <c r="J25" s="514">
        <v>0</v>
      </c>
      <c r="K25" s="232">
        <f t="shared" si="1"/>
        <v>0</v>
      </c>
      <c r="L25" s="514"/>
      <c r="M25" s="232">
        <f t="shared" si="11"/>
        <v>0</v>
      </c>
      <c r="N25" s="514">
        <v>0</v>
      </c>
      <c r="O25" s="232">
        <f t="shared" si="2"/>
        <v>0</v>
      </c>
      <c r="P25" s="641"/>
      <c r="Q25" s="232">
        <f t="shared" si="12"/>
        <v>0</v>
      </c>
      <c r="R25" s="514">
        <f>-Q25</f>
        <v>0</v>
      </c>
      <c r="S25" s="232">
        <f t="shared" si="4"/>
        <v>0</v>
      </c>
      <c r="T25" s="514">
        <v>0</v>
      </c>
      <c r="U25" s="232">
        <f t="shared" si="5"/>
        <v>0</v>
      </c>
      <c r="V25" s="514">
        <v>0</v>
      </c>
      <c r="W25" s="232">
        <f t="shared" si="6"/>
        <v>0</v>
      </c>
      <c r="X25" s="641">
        <v>0</v>
      </c>
      <c r="Y25" s="232">
        <f t="shared" si="7"/>
        <v>0</v>
      </c>
      <c r="Z25" s="514">
        <v>0</v>
      </c>
      <c r="AA25" s="232">
        <f t="shared" si="8"/>
        <v>0</v>
      </c>
      <c r="AB25" s="514">
        <v>0</v>
      </c>
      <c r="AC25" s="232">
        <f t="shared" si="9"/>
        <v>0</v>
      </c>
      <c r="AD25" s="514">
        <v>0</v>
      </c>
      <c r="AE25" s="232">
        <f t="shared" si="10"/>
        <v>0</v>
      </c>
      <c r="AF25" s="514"/>
    </row>
    <row r="26" spans="1:32">
      <c r="A26" s="223" t="s">
        <v>520</v>
      </c>
      <c r="B26" s="223" t="s">
        <v>521</v>
      </c>
      <c r="C26" s="232">
        <v>4000000</v>
      </c>
      <c r="D26" s="264">
        <v>0.2</v>
      </c>
      <c r="E26" s="302">
        <v>45575</v>
      </c>
      <c r="G26" s="2027">
        <v>4167241.3599168351</v>
      </c>
      <c r="H26" s="2028">
        <v>0</v>
      </c>
      <c r="I26" s="232">
        <f t="shared" si="0"/>
        <v>4375603.4279126767</v>
      </c>
      <c r="J26" s="514">
        <v>0</v>
      </c>
      <c r="K26" s="232">
        <f t="shared" si="1"/>
        <v>4594383.599308311</v>
      </c>
      <c r="L26" s="514"/>
      <c r="M26" s="232">
        <f t="shared" si="11"/>
        <v>4824102.779273727</v>
      </c>
      <c r="N26" s="514">
        <v>0</v>
      </c>
      <c r="O26" s="232">
        <f t="shared" si="2"/>
        <v>5065307.9182374133</v>
      </c>
      <c r="P26" s="641"/>
      <c r="Q26" s="232">
        <f t="shared" si="12"/>
        <v>5318573.3141492838</v>
      </c>
      <c r="R26" s="514"/>
      <c r="S26" s="232">
        <f t="shared" si="4"/>
        <v>5584501.9798567481</v>
      </c>
      <c r="T26" s="514">
        <v>0</v>
      </c>
      <c r="U26" s="232">
        <f t="shared" si="5"/>
        <v>5863727.0788495857</v>
      </c>
      <c r="V26" s="514">
        <v>0</v>
      </c>
      <c r="W26" s="232">
        <f t="shared" si="6"/>
        <v>6156913.4327920657</v>
      </c>
      <c r="X26" s="641">
        <v>-3000000</v>
      </c>
      <c r="Y26" s="232">
        <f t="shared" si="7"/>
        <v>3788296.1193504785</v>
      </c>
      <c r="Z26" s="514">
        <f>-Y26</f>
        <v>-3788296.1193504785</v>
      </c>
      <c r="AA26" s="232">
        <f t="shared" si="8"/>
        <v>0</v>
      </c>
      <c r="AB26" s="514">
        <v>0</v>
      </c>
      <c r="AC26" s="232">
        <f t="shared" si="9"/>
        <v>0</v>
      </c>
      <c r="AD26" s="514">
        <v>0</v>
      </c>
      <c r="AE26" s="232">
        <f t="shared" si="10"/>
        <v>0</v>
      </c>
      <c r="AF26" s="514"/>
    </row>
    <row r="27" spans="1:32">
      <c r="A27" s="223" t="s">
        <v>522</v>
      </c>
      <c r="C27" s="232"/>
      <c r="D27" s="264"/>
      <c r="E27" s="302"/>
      <c r="G27" s="2027">
        <v>0</v>
      </c>
      <c r="H27" s="2028">
        <v>0</v>
      </c>
      <c r="I27" s="232">
        <f t="shared" si="0"/>
        <v>0</v>
      </c>
      <c r="J27" s="514">
        <v>0</v>
      </c>
      <c r="K27" s="232">
        <f t="shared" si="1"/>
        <v>0</v>
      </c>
      <c r="L27" s="514"/>
      <c r="M27" s="232">
        <f t="shared" si="11"/>
        <v>0</v>
      </c>
      <c r="N27" s="514">
        <v>0</v>
      </c>
      <c r="O27" s="232">
        <f t="shared" si="2"/>
        <v>0</v>
      </c>
      <c r="P27" s="641"/>
      <c r="Q27" s="232">
        <f t="shared" si="12"/>
        <v>0</v>
      </c>
      <c r="R27" s="514"/>
      <c r="S27" s="232">
        <f t="shared" si="4"/>
        <v>0</v>
      </c>
      <c r="T27" s="514">
        <v>0</v>
      </c>
      <c r="U27" s="232">
        <f t="shared" si="5"/>
        <v>0</v>
      </c>
      <c r="V27" s="514">
        <v>0</v>
      </c>
      <c r="W27" s="232">
        <f t="shared" si="6"/>
        <v>0</v>
      </c>
      <c r="X27" s="641"/>
      <c r="Y27" s="232">
        <f t="shared" si="7"/>
        <v>0</v>
      </c>
      <c r="Z27" s="514">
        <v>0</v>
      </c>
      <c r="AA27" s="232">
        <f t="shared" si="8"/>
        <v>0</v>
      </c>
      <c r="AB27" s="514">
        <v>0</v>
      </c>
      <c r="AC27" s="232">
        <f t="shared" si="9"/>
        <v>0</v>
      </c>
      <c r="AD27" s="514">
        <v>0</v>
      </c>
      <c r="AE27" s="232">
        <f t="shared" si="10"/>
        <v>0</v>
      </c>
      <c r="AF27" s="514">
        <f>-AE27</f>
        <v>0</v>
      </c>
    </row>
    <row r="28" spans="1:32">
      <c r="A28" s="223" t="s">
        <v>523</v>
      </c>
      <c r="C28" s="232"/>
      <c r="D28" s="264"/>
      <c r="E28" s="302"/>
      <c r="G28" s="2027">
        <v>0</v>
      </c>
      <c r="H28" s="2028">
        <v>0</v>
      </c>
      <c r="I28" s="232">
        <f t="shared" si="0"/>
        <v>0</v>
      </c>
      <c r="J28" s="514">
        <v>0</v>
      </c>
      <c r="K28" s="232">
        <f t="shared" si="1"/>
        <v>0</v>
      </c>
      <c r="L28" s="514"/>
      <c r="M28" s="232">
        <f t="shared" si="11"/>
        <v>0</v>
      </c>
      <c r="N28" s="514">
        <v>0</v>
      </c>
      <c r="O28" s="232">
        <f t="shared" si="2"/>
        <v>0</v>
      </c>
      <c r="P28" s="641"/>
      <c r="Q28" s="232">
        <f t="shared" si="12"/>
        <v>0</v>
      </c>
      <c r="R28" s="514"/>
      <c r="S28" s="232">
        <f t="shared" si="4"/>
        <v>0</v>
      </c>
      <c r="T28" s="514">
        <v>0</v>
      </c>
      <c r="U28" s="232">
        <f t="shared" si="5"/>
        <v>0</v>
      </c>
      <c r="V28" s="514">
        <v>0</v>
      </c>
      <c r="W28" s="232">
        <f t="shared" si="6"/>
        <v>0</v>
      </c>
      <c r="X28" s="641"/>
      <c r="Y28" s="232">
        <f t="shared" si="7"/>
        <v>0</v>
      </c>
      <c r="Z28" s="514">
        <v>0</v>
      </c>
      <c r="AA28" s="232">
        <f t="shared" si="8"/>
        <v>0</v>
      </c>
      <c r="AB28" s="514">
        <v>0</v>
      </c>
      <c r="AC28" s="232">
        <f t="shared" si="9"/>
        <v>0</v>
      </c>
      <c r="AD28" s="514">
        <v>0</v>
      </c>
      <c r="AE28" s="232">
        <f t="shared" si="10"/>
        <v>0</v>
      </c>
      <c r="AF28" s="514">
        <f>-AE28</f>
        <v>0</v>
      </c>
    </row>
    <row r="29" spans="1:32">
      <c r="A29" s="228" t="s">
        <v>524</v>
      </c>
      <c r="B29" s="228"/>
      <c r="C29" s="1062"/>
      <c r="D29" s="1063"/>
      <c r="E29" s="336"/>
      <c r="F29" s="228"/>
      <c r="G29" s="2029">
        <v>0</v>
      </c>
      <c r="H29" s="2030">
        <v>0</v>
      </c>
      <c r="I29" s="1062">
        <f t="shared" si="0"/>
        <v>0</v>
      </c>
      <c r="J29" s="1064">
        <v>0</v>
      </c>
      <c r="K29" s="1062">
        <f t="shared" si="1"/>
        <v>0</v>
      </c>
      <c r="L29" s="1064"/>
      <c r="M29" s="1062">
        <f t="shared" si="11"/>
        <v>0</v>
      </c>
      <c r="N29" s="1064">
        <v>0</v>
      </c>
      <c r="O29" s="1062">
        <f t="shared" si="2"/>
        <v>0</v>
      </c>
      <c r="P29" s="1065"/>
      <c r="Q29" s="1062">
        <f t="shared" si="12"/>
        <v>0</v>
      </c>
      <c r="R29" s="1064">
        <f>-Q29</f>
        <v>0</v>
      </c>
      <c r="S29" s="1062">
        <f t="shared" si="4"/>
        <v>0</v>
      </c>
      <c r="T29" s="1064">
        <v>0</v>
      </c>
      <c r="U29" s="1062">
        <f t="shared" si="5"/>
        <v>0</v>
      </c>
      <c r="V29" s="1064">
        <v>0</v>
      </c>
      <c r="W29" s="1062">
        <f t="shared" si="6"/>
        <v>0</v>
      </c>
      <c r="X29" s="1065">
        <v>0</v>
      </c>
      <c r="Y29" s="1062">
        <f t="shared" si="7"/>
        <v>0</v>
      </c>
      <c r="Z29" s="1064">
        <v>0</v>
      </c>
      <c r="AA29" s="1062">
        <f t="shared" si="8"/>
        <v>0</v>
      </c>
      <c r="AB29" s="1064">
        <v>0</v>
      </c>
      <c r="AC29" s="1062">
        <f t="shared" si="9"/>
        <v>0</v>
      </c>
      <c r="AD29" s="1064">
        <v>0</v>
      </c>
      <c r="AE29" s="1062">
        <f t="shared" si="10"/>
        <v>0</v>
      </c>
      <c r="AF29" s="1064">
        <f>-AE29</f>
        <v>0</v>
      </c>
    </row>
    <row r="30" spans="1:32">
      <c r="I30" s="229"/>
    </row>
    <row r="31" spans="1:32" ht="15.9" customHeight="1" thickBot="1">
      <c r="A31" s="223" t="s">
        <v>449</v>
      </c>
      <c r="I31" s="229"/>
      <c r="K31" s="229"/>
      <c r="M31" s="229"/>
      <c r="O31" s="229"/>
    </row>
    <row r="32" spans="1:32">
      <c r="A32" s="230" t="s">
        <v>451</v>
      </c>
      <c r="B32" s="230"/>
      <c r="C32" s="230"/>
      <c r="D32" s="230"/>
      <c r="E32" s="230"/>
      <c r="F32" s="230"/>
      <c r="G32" s="2031">
        <v>-4167241.3599168351</v>
      </c>
      <c r="I32" s="1060"/>
      <c r="J32" s="257"/>
      <c r="K32" s="1061"/>
      <c r="L32" s="257"/>
      <c r="M32" s="1061"/>
      <c r="N32" s="257"/>
      <c r="O32" s="1061"/>
      <c r="P32" s="258"/>
      <c r="Q32" s="230"/>
      <c r="R32" s="230"/>
      <c r="S32" s="230"/>
      <c r="T32" s="230"/>
      <c r="U32" s="230"/>
      <c r="V32" s="230"/>
      <c r="W32" s="230"/>
      <c r="X32" s="230"/>
      <c r="Y32" s="230"/>
      <c r="Z32" s="230"/>
      <c r="AA32" s="230"/>
      <c r="AB32" s="230"/>
      <c r="AC32" s="230"/>
      <c r="AD32" s="230"/>
      <c r="AE32" s="230"/>
      <c r="AF32" s="230"/>
    </row>
    <row r="33" spans="1:32">
      <c r="A33" s="231" t="s">
        <v>183</v>
      </c>
      <c r="C33" s="232">
        <f>SUM(C4:C29)</f>
        <v>36400000</v>
      </c>
      <c r="G33" s="2032">
        <v>25387076.966665421</v>
      </c>
      <c r="H33" s="2027"/>
      <c r="I33" s="244">
        <f>SUM(I4:J29)+I32</f>
        <v>29007182.318074383</v>
      </c>
      <c r="J33" s="232"/>
      <c r="K33" s="244">
        <f>SUM(K4:L29)+K32</f>
        <v>30149897.034891989</v>
      </c>
      <c r="L33" s="232"/>
      <c r="M33" s="244">
        <f>SUM(M4:N29)+M32</f>
        <v>9136912.2028022707</v>
      </c>
      <c r="N33" s="232"/>
      <c r="O33" s="244">
        <f>SUM(O4:P29)+O32</f>
        <v>8575632.538205862</v>
      </c>
      <c r="P33" s="247"/>
      <c r="Q33" s="244">
        <f>SUM(Q4:R29)+Q32</f>
        <v>7900128.8430335149</v>
      </c>
      <c r="R33" s="232"/>
      <c r="S33" s="244">
        <f>SUM(S4:T29)+S32</f>
        <v>12239223.025316527</v>
      </c>
      <c r="T33" s="232"/>
      <c r="U33" s="244">
        <f>SUM(U4:V29)+U32</f>
        <v>12195991.877848445</v>
      </c>
      <c r="V33" s="232"/>
      <c r="W33" s="244">
        <f>SUM(W4:X29)+W32</f>
        <v>7400513.4327920657</v>
      </c>
      <c r="X33" s="232"/>
      <c r="Y33" s="244">
        <f>SUM(Y4:Z29)+Y32</f>
        <v>0</v>
      </c>
      <c r="Z33" s="232"/>
      <c r="AA33" s="244">
        <f>SUM(AA4:AB29)+AA32</f>
        <v>0</v>
      </c>
      <c r="AB33" s="232"/>
      <c r="AC33" s="244">
        <f>SUM(AC4:AD29)+AC32</f>
        <v>0</v>
      </c>
      <c r="AD33" s="232"/>
      <c r="AE33" s="244">
        <f>SUM(AE4:AF29)+AE32</f>
        <v>0</v>
      </c>
      <c r="AF33" s="232"/>
    </row>
    <row r="34" spans="1:32">
      <c r="G34" s="2024">
        <v>10</v>
      </c>
      <c r="I34" s="223">
        <f>COUNTIF(I4:I29,"&gt;0")</f>
        <v>11</v>
      </c>
      <c r="K34" s="223">
        <f>COUNTIF(K4:K29,"&gt;0")</f>
        <v>9</v>
      </c>
      <c r="M34" s="223">
        <f>COUNTIF(M4:M29,"&gt;0")</f>
        <v>6</v>
      </c>
      <c r="O34" s="223">
        <f>COUNTIF(O4:O29,"&gt;0")</f>
        <v>8</v>
      </c>
      <c r="P34" s="245"/>
      <c r="Q34" s="223">
        <f>COUNTIF(Q4:Q29,"&gt;0")</f>
        <v>4</v>
      </c>
      <c r="S34" s="223">
        <f>COUNTIF(S4:S29,"&gt;0")</f>
        <v>5</v>
      </c>
      <c r="U34" s="223">
        <f>COUNTIF(U4:U29,"&gt;0")</f>
        <v>5</v>
      </c>
      <c r="W34" s="223">
        <f>COUNTIF(W4:W29,"&gt;0")</f>
        <v>3</v>
      </c>
      <c r="Y34" s="223">
        <f>COUNTIF(Y4:Y29,"&gt;0")</f>
        <v>2</v>
      </c>
      <c r="AA34" s="223">
        <f>COUNTIF(AA4:AA29,"&gt;0")</f>
        <v>0</v>
      </c>
      <c r="AC34" s="223">
        <f>COUNTIF(AC4:AC29,"&gt;0")</f>
        <v>0</v>
      </c>
      <c r="AE34" s="223">
        <f>COUNTIF(AE4:AE29,"&gt;0")</f>
        <v>0</v>
      </c>
    </row>
    <row r="35" spans="1:32">
      <c r="I35" s="249"/>
      <c r="P35" s="245"/>
    </row>
    <row r="36" spans="1:32">
      <c r="A36" s="234" t="s">
        <v>455</v>
      </c>
      <c r="I36" s="250"/>
      <c r="P36" s="245"/>
    </row>
    <row r="37" spans="1:32">
      <c r="A37" s="223" t="s">
        <v>456</v>
      </c>
      <c r="I37" s="248"/>
      <c r="P37" s="245"/>
    </row>
    <row r="38" spans="1:32">
      <c r="A38" s="230" t="s">
        <v>451</v>
      </c>
      <c r="B38" s="230"/>
      <c r="C38" s="230"/>
      <c r="D38" s="230"/>
      <c r="E38" s="230"/>
      <c r="F38" s="230"/>
      <c r="G38" s="1451">
        <v>-4000000</v>
      </c>
      <c r="I38" s="253"/>
      <c r="J38" s="230"/>
      <c r="K38" s="230"/>
      <c r="L38" s="230"/>
      <c r="M38" s="230"/>
      <c r="N38" s="230"/>
      <c r="O38" s="230"/>
      <c r="P38" s="251"/>
      <c r="Q38" s="241"/>
      <c r="R38" s="230"/>
      <c r="S38" s="1451"/>
      <c r="T38" s="230"/>
      <c r="U38" s="1451"/>
      <c r="V38" s="241"/>
      <c r="W38" s="1451"/>
      <c r="X38" s="230"/>
      <c r="Y38" s="1451"/>
      <c r="Z38" s="230"/>
      <c r="AA38" s="230"/>
      <c r="AB38" s="230"/>
      <c r="AC38" s="230"/>
      <c r="AD38" s="230"/>
      <c r="AE38" s="230"/>
      <c r="AF38" s="230"/>
    </row>
    <row r="39" spans="1:32">
      <c r="A39" s="236" t="s">
        <v>458</v>
      </c>
      <c r="B39" s="236"/>
      <c r="C39" s="236"/>
      <c r="D39" s="236"/>
      <c r="E39" s="236"/>
      <c r="F39" s="236"/>
      <c r="G39" s="2033">
        <v>23600000</v>
      </c>
      <c r="H39" s="2034"/>
      <c r="I39" s="237">
        <f t="array" ref="I39">SUMPRODUCT((YEAR(I2)=YEAR($E$4:$E29))*(ROUNDUP(MONTH($E$4:$E29)/3,0)=I3)*$C$4:$C29)+I38</f>
        <v>500000</v>
      </c>
      <c r="J39" s="238"/>
      <c r="K39" s="237">
        <f t="array" ref="K39">SUMPRODUCT((YEAR(K2)=YEAR($E$4:$E29))*(ROUNDUP(MONTH($E$4:$E29)/3,0)=K3)*$C$4:$C29)+K38</f>
        <v>100000</v>
      </c>
      <c r="L39" s="238"/>
      <c r="M39" s="237">
        <f t="array" ref="M39">SUMPRODUCT((YEAR(M2)=YEAR($E$4:$E29))*(ROUNDUP(MONTH($E$4:$E29)/3,0)=M3)*$C$4:$C29)+M38</f>
        <v>0</v>
      </c>
      <c r="N39" s="238"/>
      <c r="O39" s="237">
        <f t="array" ref="O39">SUMPRODUCT((YEAR(O2)=YEAR($E$4:$E29))*(ROUNDUP(MONTH($E$4:$E29)/3,0)=O3)*$C$4:$C29)+O38</f>
        <v>2250000</v>
      </c>
      <c r="P39" s="252"/>
      <c r="Q39" s="237">
        <f t="array" ref="Q39">SUMPRODUCT((YEAR(Q2)=YEAR($E$4:$E29))*(ROUNDUP(MONTH($E$4:$E29)/3,0)=Q3)*$C$4:$C29)+Q38</f>
        <v>250000</v>
      </c>
      <c r="R39" s="238"/>
      <c r="S39" s="237">
        <f t="array" ref="S39">SUMPRODUCT((YEAR(S2)=YEAR($E$4:$E29))*(ROUNDUP(MONTH($E$4:$E29)/3,0)=S3)*$C$4:$C29)+S38</f>
        <v>4000000</v>
      </c>
      <c r="T39" s="238"/>
      <c r="U39" s="237">
        <f t="array" ref="U39">SUMPRODUCT((YEAR(U2)=YEAR($E$4:$E29))*(ROUNDUP(MONTH($E$4:$E29)/3,0)=U3)*$C$4:$C29)+U38</f>
        <v>0</v>
      </c>
      <c r="V39" s="238"/>
      <c r="W39" s="237">
        <f t="array" ref="W39">SUMPRODUCT((YEAR(W2)=YEAR($E$4:$E29))*(ROUNDUP(MONTH($E$4:$E29)/3,0)=W3)*$C$4:$C29)+W38</f>
        <v>0</v>
      </c>
      <c r="X39" s="238"/>
      <c r="Y39" s="237">
        <f t="array" ref="Y39">SUMPRODUCT((YEAR(Y2)=YEAR($E$4:$E29))*(ROUNDUP(MONTH($E$4:$E29)/3,0)=Y3)*$C$4:$C29)+Y38</f>
        <v>0</v>
      </c>
      <c r="Z39" s="238"/>
      <c r="AA39" s="237">
        <f t="array" ref="AA39">SUMPRODUCT((YEAR(AA2)=YEAR($E$4:$E29))*(ROUNDUP(MONTH($E$4:$E29)/3,0)=AA3)*$C$4:$C29)+AA38</f>
        <v>0</v>
      </c>
      <c r="AB39" s="318"/>
      <c r="AC39" s="237">
        <f t="array" ref="AC39">SUMPRODUCT((YEAR(AC2)=YEAR($E$4:$E29))*(ROUNDUP(MONTH($E$4:$E29)/3,0)=AC3)*$C$4:$C29)+AC38</f>
        <v>0</v>
      </c>
      <c r="AD39" s="318"/>
      <c r="AE39" s="237">
        <f t="array" ref="AE39">SUMPRODUCT((YEAR(AE2)=YEAR($E$4:$E29))*(ROUNDUP(MONTH($E$4:$E29)/3,0)=AE3)*$C$4:$C29)+AE38</f>
        <v>0</v>
      </c>
      <c r="AF39" s="318"/>
    </row>
    <row r="40" spans="1:32">
      <c r="I40" s="248"/>
      <c r="P40" s="245"/>
    </row>
    <row r="41" spans="1:32">
      <c r="A41" s="223" t="s">
        <v>525</v>
      </c>
      <c r="I41" s="248"/>
      <c r="P41" s="245"/>
    </row>
    <row r="42" spans="1:32">
      <c r="A42" s="230" t="s">
        <v>451</v>
      </c>
      <c r="B42" s="230"/>
      <c r="C42" s="230"/>
      <c r="D42" s="230"/>
      <c r="E42" s="230"/>
      <c r="F42" s="230"/>
      <c r="I42" s="253"/>
      <c r="J42" s="230"/>
      <c r="K42" s="230"/>
      <c r="L42" s="230"/>
      <c r="M42" s="230"/>
      <c r="N42" s="230"/>
      <c r="O42" s="230"/>
      <c r="P42" s="251"/>
      <c r="Q42" s="230"/>
      <c r="R42" s="230"/>
      <c r="S42" s="230"/>
      <c r="T42" s="230"/>
      <c r="U42" s="230"/>
      <c r="V42" s="230"/>
      <c r="W42" s="230"/>
      <c r="X42" s="230"/>
      <c r="Y42" s="230"/>
      <c r="Z42" s="230"/>
      <c r="AA42" s="230"/>
      <c r="AB42" s="230"/>
      <c r="AC42" s="230"/>
      <c r="AD42" s="230"/>
      <c r="AE42" s="230"/>
      <c r="AF42" s="230"/>
    </row>
    <row r="43" spans="1:32" ht="15.9" customHeight="1" thickBot="1">
      <c r="A43" s="236" t="s">
        <v>526</v>
      </c>
      <c r="B43" s="236"/>
      <c r="C43" s="236"/>
      <c r="D43" s="236"/>
      <c r="E43" s="236"/>
      <c r="F43" s="236"/>
      <c r="G43" s="2033"/>
      <c r="H43" s="2033">
        <v>0</v>
      </c>
      <c r="I43" s="254"/>
      <c r="J43" s="237">
        <f>SUMIF(J4:J29,"&lt;0")+J42</f>
        <v>-2098064.6920041367</v>
      </c>
      <c r="K43" s="255"/>
      <c r="L43" s="237">
        <f>SUMIF(L4:L29,"&lt;0")+L42</f>
        <v>0</v>
      </c>
      <c r="M43" s="255"/>
      <c r="N43" s="237">
        <f>SUMIF(N4:N29,"&lt;0")+N42</f>
        <v>0</v>
      </c>
      <c r="O43" s="255"/>
      <c r="P43" s="237">
        <f>SUMIF(P4:P29,"&lt;0")+P42</f>
        <v>-3200000</v>
      </c>
      <c r="Q43" s="240"/>
      <c r="R43" s="237">
        <f>SUMIF(R4:R29,"&lt;0")+R42</f>
        <v>0</v>
      </c>
      <c r="S43" s="240"/>
      <c r="T43" s="237">
        <f>SUMIF(T4:T29,"&lt;0")+T42</f>
        <v>0</v>
      </c>
      <c r="U43" s="240"/>
      <c r="V43" s="237">
        <f>SUMIF(V4:V29,"&lt;0")+V42</f>
        <v>-517878.33639449568</v>
      </c>
      <c r="W43" s="240"/>
      <c r="X43" s="237">
        <f>SUMIF(X4:X29,"&lt;0")+X42</f>
        <v>-5284163.4049663218</v>
      </c>
      <c r="Y43" s="240"/>
      <c r="Z43" s="237">
        <f>SUMIF(Z4:Z29,"&lt;0")+Z42</f>
        <v>-8541128.1193504781</v>
      </c>
      <c r="AA43" s="240"/>
      <c r="AB43" s="237">
        <f>SUMIF(AB4:AB29,"&lt;0")+AB42</f>
        <v>0</v>
      </c>
      <c r="AC43" s="240"/>
      <c r="AD43" s="237">
        <f>SUMIF(AD4:AD29,"&lt;0")+AD42</f>
        <v>0</v>
      </c>
      <c r="AE43" s="240"/>
      <c r="AF43" s="237">
        <f>SUMIF(AF4:AF29,"&lt;0")+AF42</f>
        <v>0</v>
      </c>
    </row>
    <row r="47" spans="1:32">
      <c r="A47" s="234"/>
    </row>
    <row r="48" spans="1:32">
      <c r="A48" s="243"/>
    </row>
    <row r="53" spans="9:10">
      <c r="J53" s="264"/>
    </row>
    <row r="55" spans="9:10">
      <c r="I55" s="26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36">
    <tabColor rgb="FFFFC000"/>
  </sheetPr>
  <dimension ref="A1:AF37"/>
  <sheetViews>
    <sheetView showGridLines="0" zoomScale="80" zoomScaleNormal="80" workbookViewId="0">
      <pane xSplit="2" ySplit="4" topLeftCell="K7" activePane="bottomRight" state="frozen"/>
      <selection activeCell="H9" activeCellId="1" sqref="P15 H9"/>
      <selection pane="topRight" activeCell="H9" activeCellId="1" sqref="P15 H9"/>
      <selection pane="bottomLeft" activeCell="H9" activeCellId="1" sqref="P15 H9"/>
      <selection pane="bottomRight" activeCell="AA17" sqref="AA17"/>
    </sheetView>
  </sheetViews>
  <sheetFormatPr defaultColWidth="9.26171875" defaultRowHeight="15.6" outlineLevelCol="1"/>
  <cols>
    <col min="1" max="1" width="20.68359375" style="223" customWidth="1"/>
    <col min="2" max="2" width="27.26171875" style="223" bestFit="1" customWidth="1"/>
    <col min="3" max="3" width="13.26171875" style="223" bestFit="1" customWidth="1"/>
    <col min="4" max="4" width="8.68359375" style="223" bestFit="1" customWidth="1"/>
    <col min="5" max="5" width="12.68359375" style="223" bestFit="1" customWidth="1"/>
    <col min="6" max="6" width="16.68359375" style="223" customWidth="1" outlineLevel="1"/>
    <col min="7" max="7" width="14.26171875" style="223" customWidth="1" outlineLevel="1"/>
    <col min="8" max="8" width="12.578125" style="223" bestFit="1" customWidth="1"/>
    <col min="9" max="9" width="14" style="223" bestFit="1" customWidth="1"/>
    <col min="10" max="10" width="13.26171875" style="223" bestFit="1" customWidth="1"/>
    <col min="11" max="11" width="14" style="223" bestFit="1" customWidth="1"/>
    <col min="12" max="12" width="12" style="223" bestFit="1" customWidth="1"/>
    <col min="13" max="13" width="14" style="223" bestFit="1" customWidth="1"/>
    <col min="14" max="14" width="12.68359375" style="223" bestFit="1" customWidth="1"/>
    <col min="15" max="15" width="14" style="223" bestFit="1" customWidth="1"/>
    <col min="16" max="16" width="13" style="223" bestFit="1" customWidth="1"/>
    <col min="17" max="17" width="14" style="223" bestFit="1" customWidth="1"/>
    <col min="18" max="18" width="13" style="223" bestFit="1" customWidth="1"/>
    <col min="19" max="19" width="14" style="223" bestFit="1" customWidth="1"/>
    <col min="20" max="20" width="16.26171875" style="223" bestFit="1" customWidth="1"/>
    <col min="21" max="21" width="14" style="223" bestFit="1" customWidth="1"/>
    <col min="22" max="22" width="16.26171875" style="223" bestFit="1" customWidth="1"/>
    <col min="23" max="23" width="14" style="223" bestFit="1" customWidth="1"/>
    <col min="24" max="24" width="12.41796875" style="223" bestFit="1" customWidth="1"/>
    <col min="25" max="25" width="14" style="223" bestFit="1" customWidth="1"/>
    <col min="26" max="26" width="12.41796875" style="223" bestFit="1" customWidth="1"/>
    <col min="27" max="27" width="14" style="223" bestFit="1" customWidth="1"/>
    <col min="28" max="28" width="12.41796875" style="223" bestFit="1" customWidth="1"/>
    <col min="29" max="29" width="14" style="223" bestFit="1" customWidth="1"/>
    <col min="30" max="30" width="12.41796875" style="223" bestFit="1" customWidth="1"/>
    <col min="31" max="31" width="14" style="223" bestFit="1" customWidth="1"/>
    <col min="32" max="32" width="21" style="223" bestFit="1" customWidth="1"/>
    <col min="33" max="33" width="9.26171875" style="223" customWidth="1"/>
    <col min="34" max="16384" width="9.26171875" style="223"/>
  </cols>
  <sheetData>
    <row r="1" spans="1:32" ht="15.9" customHeight="1" thickBot="1">
      <c r="F1" s="2024"/>
      <c r="G1" s="2024"/>
      <c r="H1" s="224"/>
    </row>
    <row r="2" spans="1:32">
      <c r="F2" s="2024"/>
      <c r="G2" s="2024" t="s">
        <v>527</v>
      </c>
      <c r="H2" s="225"/>
      <c r="I2" s="226" t="s">
        <v>527</v>
      </c>
      <c r="J2" s="226"/>
      <c r="K2" s="226" t="s">
        <v>527</v>
      </c>
      <c r="L2" s="226"/>
      <c r="M2" s="226" t="s">
        <v>527</v>
      </c>
      <c r="N2" s="226"/>
      <c r="O2" s="227" t="s">
        <v>527</v>
      </c>
      <c r="P2" s="225"/>
      <c r="Q2" s="226" t="s">
        <v>527</v>
      </c>
      <c r="R2" s="226"/>
      <c r="S2" s="226" t="s">
        <v>527</v>
      </c>
      <c r="T2" s="226"/>
      <c r="U2" s="226" t="s">
        <v>527</v>
      </c>
      <c r="V2" s="226"/>
      <c r="W2" s="227" t="s">
        <v>527</v>
      </c>
      <c r="Y2" s="223" t="s">
        <v>527</v>
      </c>
      <c r="AA2" s="223" t="s">
        <v>527</v>
      </c>
      <c r="AC2" s="223" t="s">
        <v>527</v>
      </c>
      <c r="AE2" s="223" t="s">
        <v>527</v>
      </c>
    </row>
    <row r="3" spans="1:32" s="234" customFormat="1">
      <c r="A3" s="234" t="s">
        <v>383</v>
      </c>
      <c r="F3" s="2025">
        <v>45657</v>
      </c>
      <c r="G3" s="2025">
        <v>45657</v>
      </c>
      <c r="H3" s="708">
        <f>+lgh_pref_equity!M3</f>
        <v>45747</v>
      </c>
      <c r="I3" s="640">
        <f>+H3</f>
        <v>45747</v>
      </c>
      <c r="J3" s="640">
        <f>+lgh_pref_equity!N3</f>
        <v>45838</v>
      </c>
      <c r="K3" s="640">
        <f>+J3</f>
        <v>45838</v>
      </c>
      <c r="L3" s="640">
        <f>+lgh_pref_equity!O3</f>
        <v>45930</v>
      </c>
      <c r="M3" s="640">
        <f>+L3</f>
        <v>45930</v>
      </c>
      <c r="N3" s="640">
        <f>+lgh_pref_equity!P3</f>
        <v>46022</v>
      </c>
      <c r="O3" s="640">
        <f>+N3</f>
        <v>46022</v>
      </c>
      <c r="P3" s="708">
        <f>+lgh_pref_equity!Q3</f>
        <v>46112</v>
      </c>
      <c r="Q3" s="640">
        <f>+P3</f>
        <v>46112</v>
      </c>
      <c r="R3" s="640">
        <f>+lgh_pref_equity!R3</f>
        <v>46203</v>
      </c>
      <c r="S3" s="640">
        <f>+R3</f>
        <v>46203</v>
      </c>
      <c r="T3" s="640">
        <f>+lgh_pref_equity!S3</f>
        <v>46295</v>
      </c>
      <c r="U3" s="640">
        <f>+T3</f>
        <v>46295</v>
      </c>
      <c r="V3" s="640">
        <f>+lgh_pref_equity!T3</f>
        <v>46387</v>
      </c>
      <c r="W3" s="709">
        <f>+V3</f>
        <v>46387</v>
      </c>
      <c r="X3" s="640">
        <f>+lgh_pref_equity!U3</f>
        <v>46752</v>
      </c>
      <c r="Y3" s="640">
        <f>+X3</f>
        <v>46752</v>
      </c>
      <c r="Z3" s="640">
        <f>+lgh_pref_equity!V3</f>
        <v>47118</v>
      </c>
      <c r="AA3" s="640">
        <f>+Z3</f>
        <v>47118</v>
      </c>
      <c r="AB3" s="640">
        <f>+lgh_pref_equity!W3</f>
        <v>47483</v>
      </c>
      <c r="AC3" s="640">
        <f>+AB3</f>
        <v>47483</v>
      </c>
      <c r="AD3" s="640">
        <f>+lgh_pref_equity!X3</f>
        <v>47848</v>
      </c>
      <c r="AE3" s="640">
        <f>+AD3</f>
        <v>47848</v>
      </c>
      <c r="AF3" s="234" t="s">
        <v>477</v>
      </c>
    </row>
    <row r="4" spans="1:32">
      <c r="A4" s="223" t="s">
        <v>528</v>
      </c>
      <c r="B4" s="223" t="s">
        <v>529</v>
      </c>
      <c r="C4" s="223" t="s">
        <v>386</v>
      </c>
      <c r="D4" s="223" t="s">
        <v>387</v>
      </c>
      <c r="E4" s="223" t="s">
        <v>389</v>
      </c>
      <c r="F4" s="2026">
        <v>4</v>
      </c>
      <c r="G4" s="2026">
        <v>4</v>
      </c>
      <c r="H4" s="710">
        <f>+lgh_pref_equity!M4</f>
        <v>1</v>
      </c>
      <c r="I4" s="424">
        <f>+H4</f>
        <v>1</v>
      </c>
      <c r="J4" s="424">
        <f>+lgh_pref_equity!N4</f>
        <v>2</v>
      </c>
      <c r="K4" s="424">
        <f>+J4</f>
        <v>2</v>
      </c>
      <c r="L4" s="424">
        <f>+lgh_pref_equity!O4</f>
        <v>3</v>
      </c>
      <c r="M4" s="424">
        <f>+L4</f>
        <v>3</v>
      </c>
      <c r="N4" s="424">
        <f>+lgh_pref_equity!P4</f>
        <v>4</v>
      </c>
      <c r="O4" s="424">
        <f>+N4</f>
        <v>4</v>
      </c>
      <c r="P4" s="710">
        <f>+lgh_pref_equity!Q4</f>
        <v>1</v>
      </c>
      <c r="Q4" s="424">
        <f>+P4</f>
        <v>1</v>
      </c>
      <c r="R4" s="424">
        <f>+lgh_pref_equity!R4</f>
        <v>2</v>
      </c>
      <c r="S4" s="424">
        <f>+R4</f>
        <v>2</v>
      </c>
      <c r="T4" s="424">
        <f>+lgh_pref_equity!S4</f>
        <v>3</v>
      </c>
      <c r="U4" s="424">
        <f>+T4</f>
        <v>3</v>
      </c>
      <c r="V4" s="424">
        <f>+lgh_pref_equity!T4</f>
        <v>4</v>
      </c>
      <c r="W4" s="711">
        <f>+V4</f>
        <v>4</v>
      </c>
      <c r="X4" s="424">
        <f>+lgh_pref_equity!U4</f>
        <v>4</v>
      </c>
      <c r="Y4" s="424">
        <f>+X4</f>
        <v>4</v>
      </c>
      <c r="Z4" s="424">
        <f>+lgh_pref_equity!V4</f>
        <v>4</v>
      </c>
      <c r="AA4" s="424">
        <f>+Z4</f>
        <v>4</v>
      </c>
      <c r="AB4" s="424">
        <f>+lgh_pref_equity!W4</f>
        <v>4</v>
      </c>
      <c r="AC4" s="424">
        <f>+AB4</f>
        <v>4</v>
      </c>
      <c r="AD4" s="424">
        <f>+lgh_pref_equity!X4</f>
        <v>4</v>
      </c>
      <c r="AE4" s="424">
        <f>+AD4</f>
        <v>4</v>
      </c>
      <c r="AF4" s="223" t="s">
        <v>480</v>
      </c>
    </row>
    <row r="5" spans="1:32">
      <c r="A5" s="513" t="s">
        <v>530</v>
      </c>
      <c r="B5" s="513" t="s">
        <v>531</v>
      </c>
      <c r="C5" s="514">
        <v>1500000</v>
      </c>
      <c r="D5" s="496">
        <v>0</v>
      </c>
      <c r="E5" s="516">
        <v>46023</v>
      </c>
      <c r="F5" s="2027">
        <v>0</v>
      </c>
      <c r="G5" s="2027"/>
      <c r="H5" s="246">
        <f t="shared" ref="H5:H22" si="0">IF(AND(YEAR($E5)=YEAR(H$3),ROUNDUP(MONTH($E5)/3,0)=H$4),$C5*(1+$D5/4)^((H$3-$E5)/91),IF(ROUND(SUM(F5:G5),0)=0,0,SUM(F5:G5)*(1+$D5/4)))</f>
        <v>0</v>
      </c>
      <c r="I5" s="712">
        <v>0</v>
      </c>
      <c r="J5" s="232">
        <f t="shared" ref="J5:J22" si="1">IF(AND(YEAR($E5)=YEAR(J$3),ROUNDUP(MONTH($E5)/3,0)=J$4),$C5*(1+$D5/4)^((J$3-$E5)/91),IF(ROUND(SUM(H5:I5),0)=0,0,SUM(H5:I5)*(1+$D5/4)))</f>
        <v>0</v>
      </c>
      <c r="K5" s="712"/>
      <c r="L5" s="232">
        <f t="shared" ref="L5:L22" si="2">IF(AND(YEAR($E5)=YEAR(L$3),ROUNDUP(MONTH($E5)/3,0)=L$4),$C5*(1+$D5/4)^((L$3-$E5)/91),IF(ROUND(SUM(J5:K5),0)=0,0,SUM(J5:K5)*(1+$D5/4)))</f>
        <v>0</v>
      </c>
      <c r="M5" s="712"/>
      <c r="N5" s="232">
        <f t="shared" ref="N5:N22" si="3">IF(AND(YEAR($E5)=YEAR(N$3),ROUNDUP(MONTH($E5)/3,0)=N$4),$C5*(1+$D5/4)^((N$3-$E5)/91),IF(ROUND(SUM(L5:M5),0)=0,0,SUM(L5:M5)*(1+$D5/4)))</f>
        <v>0</v>
      </c>
      <c r="O5" s="1559"/>
      <c r="P5" s="232">
        <f>IF(AND(YEAR($E5)=YEAR(P$3),ROUNDUP(MONTH($E5)/3,0)=P$4),$C5*(1+$D5/4)^((P$3-$E5)/91),IF(ROUND(SUM(N5:O5),0)=0,0,SUM(N5:O5)*(1+$D5/4)))</f>
        <v>1500000</v>
      </c>
      <c r="Q5" s="712"/>
      <c r="R5" s="232">
        <f t="shared" ref="R5:R22" si="4">IF(AND(YEAR($E5)=YEAR(R$3),ROUNDUP(MONTH($E5)/3,0)=R$4),$C5*(1+$D5/4)^((R$3-$E5)/91),IF(ROUND(SUM(P5:Q5),0)=0,0,SUM(P5:Q5)*(1+$D5/4)))</f>
        <v>1500000</v>
      </c>
      <c r="S5" s="712"/>
      <c r="T5" s="232">
        <f t="shared" ref="T5:T22" si="5">IF(AND(YEAR($E5)=YEAR(T$3),ROUNDUP(MONTH($E5)/3,0)=T$4),$C5*(1+$D5/4)^((T$3-$E5)/91),IF(ROUND(SUM(R5:S5),0)=0,0,SUM(R5:S5)*(1+$D5/4)))</f>
        <v>1500000</v>
      </c>
      <c r="U5" s="712">
        <v>0</v>
      </c>
      <c r="V5" s="232">
        <f t="shared" ref="V5:V22" si="6">IF(AND(YEAR($E5)=YEAR(V$3),ROUNDUP(MONTH($E5)/3,0)=V$4),$C5*(1+$D5/4)^((V$3-$E5)/91),IF(ROUND(SUM(T5:U5),0)=0,0,SUM(T5:U5)*(1+$D5/4)))</f>
        <v>1500000</v>
      </c>
      <c r="W5" s="722">
        <v>-1000000</v>
      </c>
      <c r="X5" s="232">
        <f t="shared" ref="X5:X22" si="7">IF(AND(YEAR($E5)=YEAR(X$3),ROUNDUP(MONTH($E5)/3,0)&lt;=X$4),$C5*(1+$D5)^((X$3-$E5)/365),IF(ROUND(SUM(V5:W5),0)=0,0,SUM(V5:W5)*(1+$D5)))</f>
        <v>500000</v>
      </c>
      <c r="Y5" s="242">
        <v>-500000</v>
      </c>
      <c r="Z5" s="232">
        <f t="shared" ref="Z5:Z22" si="8">IF(AND(YEAR($E5)=YEAR(Z$3),ROUNDUP(MONTH($E5)/3,0)&lt;=Z$4),$C5*(1+$D5)^((Z$3-$E5)/365),IF(ROUND(SUM(X5:Y5),0)=0,0,SUM(X5:Y5)*(1+$D5)))</f>
        <v>0</v>
      </c>
      <c r="AA5" s="712">
        <v>0</v>
      </c>
      <c r="AB5" s="232">
        <f t="shared" ref="AB5:AB22" si="9">IF(AND(YEAR($E5)=YEAR(AB$3),ROUNDUP(MONTH($E5)/3,0)&lt;=AB$4),$C5*(1+$D5)^((AB$3-$E5)/365),IF(ROUND(SUM(Z5:AA5),0)=0,0,SUM(Z5:AA5)*(1+$D5)))</f>
        <v>0</v>
      </c>
      <c r="AC5" s="712">
        <v>0</v>
      </c>
      <c r="AD5" s="232">
        <f t="shared" ref="AD5:AD22" si="10">IF(AND(YEAR($E5)=YEAR(AD$3),ROUNDUP(MONTH($E5)/3,0)&lt;=AD$4),$C5*(1+$D5)^((AD$3-$E5)/365),IF(ROUND(SUM(AB5:AC5),0)=0,0,SUM(AB5:AC5)*(1+$D5)))</f>
        <v>0</v>
      </c>
      <c r="AE5" s="232">
        <v>0</v>
      </c>
    </row>
    <row r="6" spans="1:32">
      <c r="A6" s="513" t="s">
        <v>532</v>
      </c>
      <c r="B6" s="513" t="s">
        <v>533</v>
      </c>
      <c r="C6" s="514">
        <v>750000</v>
      </c>
      <c r="D6" s="496">
        <v>0</v>
      </c>
      <c r="E6" s="516">
        <v>45657</v>
      </c>
      <c r="F6" s="2027">
        <v>750000</v>
      </c>
      <c r="G6" s="2027">
        <v>0</v>
      </c>
      <c r="H6" s="246">
        <f t="shared" si="0"/>
        <v>750000</v>
      </c>
      <c r="I6" s="712">
        <v>0</v>
      </c>
      <c r="J6" s="232">
        <f t="shared" si="1"/>
        <v>750000</v>
      </c>
      <c r="K6" s="712"/>
      <c r="L6" s="232">
        <f t="shared" si="2"/>
        <v>750000</v>
      </c>
      <c r="M6" s="712"/>
      <c r="N6" s="232">
        <f t="shared" si="3"/>
        <v>750000</v>
      </c>
      <c r="O6" s="1558">
        <v>-250000</v>
      </c>
      <c r="P6" s="232">
        <f>IF(AND(YEAR($E6)=YEAR(P$3),ROUNDUP(MONTH($E6)/3,0)=P$4),$C6*(1+$D6/4)^((P$3-$E6)/91),IF(ROUND(SUM(N6:O6),0)=0,0,SUM(N6:O6)*(1+$D6/4)))-150000</f>
        <v>350000</v>
      </c>
      <c r="Q6" s="703">
        <v>-350000</v>
      </c>
      <c r="R6" s="232">
        <f t="shared" si="4"/>
        <v>0</v>
      </c>
      <c r="S6" s="712">
        <v>0</v>
      </c>
      <c r="T6" s="232">
        <f t="shared" si="5"/>
        <v>0</v>
      </c>
      <c r="U6" s="712">
        <v>0</v>
      </c>
      <c r="V6" s="232">
        <f t="shared" si="6"/>
        <v>0</v>
      </c>
      <c r="W6" s="1559">
        <v>0</v>
      </c>
      <c r="X6" s="232">
        <f t="shared" si="7"/>
        <v>0</v>
      </c>
      <c r="Y6" s="712">
        <v>0</v>
      </c>
      <c r="Z6" s="232">
        <f t="shared" si="8"/>
        <v>0</v>
      </c>
      <c r="AA6" s="712">
        <v>0</v>
      </c>
      <c r="AB6" s="232">
        <f t="shared" si="9"/>
        <v>0</v>
      </c>
      <c r="AC6" s="712">
        <v>0</v>
      </c>
      <c r="AD6" s="232">
        <f t="shared" si="10"/>
        <v>0</v>
      </c>
      <c r="AE6" s="232">
        <v>0</v>
      </c>
    </row>
    <row r="7" spans="1:32">
      <c r="A7" s="513" t="s">
        <v>534</v>
      </c>
      <c r="B7" s="513" t="s">
        <v>535</v>
      </c>
      <c r="C7" s="514">
        <f>400000-86000</f>
        <v>314000</v>
      </c>
      <c r="D7" s="496">
        <v>0</v>
      </c>
      <c r="E7" s="516">
        <v>45658</v>
      </c>
      <c r="F7" s="2027">
        <v>0</v>
      </c>
      <c r="G7" s="2027">
        <v>0</v>
      </c>
      <c r="H7" s="246">
        <f t="shared" si="0"/>
        <v>314000</v>
      </c>
      <c r="I7" s="712">
        <v>0</v>
      </c>
      <c r="J7" s="232">
        <f t="shared" si="1"/>
        <v>314000</v>
      </c>
      <c r="K7" s="703">
        <v>143000</v>
      </c>
      <c r="L7" s="232">
        <f t="shared" si="2"/>
        <v>457000</v>
      </c>
      <c r="M7" s="712"/>
      <c r="N7" s="232">
        <f t="shared" si="3"/>
        <v>457000</v>
      </c>
      <c r="O7" s="1558">
        <f>-N7</f>
        <v>-457000</v>
      </c>
      <c r="P7" s="232">
        <f>IF(AND(YEAR($E7)=YEAR(P$3),ROUNDUP(MONTH($E7)/3,0)=P$4),$C7*(1+$D7/4)^((P$3-$E7)/91),IF(ROUND(SUM(N7:O7),0)=0,0,SUM(N7:O7)*(1+$D7/4)))</f>
        <v>0</v>
      </c>
      <c r="Q7" s="712">
        <v>0</v>
      </c>
      <c r="R7" s="232">
        <f t="shared" si="4"/>
        <v>0</v>
      </c>
      <c r="S7" s="712">
        <v>0</v>
      </c>
      <c r="T7" s="232">
        <f t="shared" si="5"/>
        <v>0</v>
      </c>
      <c r="U7" s="712">
        <v>0</v>
      </c>
      <c r="V7" s="232">
        <f t="shared" si="6"/>
        <v>0</v>
      </c>
      <c r="W7" s="1559">
        <v>0</v>
      </c>
      <c r="X7" s="232">
        <f t="shared" si="7"/>
        <v>0</v>
      </c>
      <c r="Y7" s="712">
        <v>0</v>
      </c>
      <c r="Z7" s="232">
        <f t="shared" si="8"/>
        <v>0</v>
      </c>
      <c r="AA7" s="712">
        <v>0</v>
      </c>
      <c r="AB7" s="232">
        <f t="shared" si="9"/>
        <v>0</v>
      </c>
      <c r="AC7" s="712">
        <v>0</v>
      </c>
      <c r="AD7" s="232">
        <f t="shared" si="10"/>
        <v>0</v>
      </c>
      <c r="AE7" s="232">
        <v>0</v>
      </c>
    </row>
    <row r="8" spans="1:32">
      <c r="A8" s="713" t="s">
        <v>536</v>
      </c>
      <c r="B8" s="713" t="s">
        <v>537</v>
      </c>
      <c r="C8" s="514"/>
      <c r="D8" s="496"/>
      <c r="E8" s="516"/>
      <c r="F8" s="2027">
        <v>0</v>
      </c>
      <c r="G8" s="2027">
        <v>0</v>
      </c>
      <c r="H8" s="246">
        <f t="shared" si="0"/>
        <v>0</v>
      </c>
      <c r="I8" s="712">
        <v>0</v>
      </c>
      <c r="J8" s="232">
        <f t="shared" si="1"/>
        <v>0</v>
      </c>
      <c r="K8" s="712"/>
      <c r="L8" s="232">
        <f t="shared" si="2"/>
        <v>0</v>
      </c>
      <c r="M8" s="712"/>
      <c r="N8" s="232">
        <f t="shared" si="3"/>
        <v>0</v>
      </c>
      <c r="O8" s="1559"/>
      <c r="P8" s="232">
        <f>IF(AND(YEAR($E8)=YEAR(P$3),ROUNDUP(MONTH($E8)/3,0)=P$4),$C8*(1+$D8/4)^((P$3-$E8)/91),IF(ROUND(SUM(N8:O8),0)=0,0,SUM(N8:O8)*(1+$D8/4)))</f>
        <v>0</v>
      </c>
      <c r="Q8" s="712"/>
      <c r="R8" s="232">
        <f t="shared" si="4"/>
        <v>0</v>
      </c>
      <c r="S8" s="712">
        <v>0</v>
      </c>
      <c r="T8" s="232">
        <f t="shared" si="5"/>
        <v>0</v>
      </c>
      <c r="U8" s="712">
        <v>0</v>
      </c>
      <c r="V8" s="232">
        <f t="shared" si="6"/>
        <v>0</v>
      </c>
      <c r="W8" s="1559">
        <v>0</v>
      </c>
      <c r="X8" s="232">
        <f t="shared" si="7"/>
        <v>0</v>
      </c>
      <c r="Y8" s="712">
        <v>0</v>
      </c>
      <c r="Z8" s="232">
        <f t="shared" si="8"/>
        <v>0</v>
      </c>
      <c r="AA8" s="712">
        <v>0</v>
      </c>
      <c r="AB8" s="232">
        <f t="shared" si="9"/>
        <v>0</v>
      </c>
      <c r="AC8" s="712">
        <v>0</v>
      </c>
      <c r="AD8" s="232">
        <f t="shared" si="10"/>
        <v>0</v>
      </c>
      <c r="AE8" s="232">
        <v>0</v>
      </c>
    </row>
    <row r="9" spans="1:32">
      <c r="A9" s="513" t="s">
        <v>538</v>
      </c>
      <c r="B9" s="713" t="s">
        <v>539</v>
      </c>
      <c r="C9" s="714"/>
      <c r="D9" s="715">
        <v>0</v>
      </c>
      <c r="E9" s="716">
        <v>45658</v>
      </c>
      <c r="F9" s="2027">
        <v>0</v>
      </c>
      <c r="G9" s="2027"/>
      <c r="H9" s="246">
        <f t="shared" si="0"/>
        <v>0</v>
      </c>
      <c r="I9" s="712">
        <v>0</v>
      </c>
      <c r="J9" s="232">
        <f t="shared" si="1"/>
        <v>0</v>
      </c>
      <c r="K9" s="712"/>
      <c r="L9" s="232">
        <f t="shared" si="2"/>
        <v>0</v>
      </c>
      <c r="M9" s="712"/>
      <c r="N9" s="232">
        <f t="shared" si="3"/>
        <v>0</v>
      </c>
      <c r="O9" s="1559"/>
      <c r="P9" s="232">
        <f>IF(AND(YEAR($E9)=YEAR(P$3),ROUNDUP(MONTH($E9)/3,0)=P$4),$C9*(1+$D9/4)^((P$3-$E9)/91),IF(ROUND(SUM(N9:O9),0)=0,0,SUM(N9:O9)*(1+$D9/4)))</f>
        <v>0</v>
      </c>
      <c r="Q9" s="712"/>
      <c r="R9" s="232">
        <f t="shared" si="4"/>
        <v>0</v>
      </c>
      <c r="S9" s="712">
        <v>0</v>
      </c>
      <c r="T9" s="232">
        <f t="shared" si="5"/>
        <v>0</v>
      </c>
      <c r="U9" s="712">
        <v>0</v>
      </c>
      <c r="V9" s="232">
        <f t="shared" si="6"/>
        <v>0</v>
      </c>
      <c r="W9" s="1559">
        <v>0</v>
      </c>
      <c r="X9" s="232">
        <f t="shared" si="7"/>
        <v>0</v>
      </c>
      <c r="Y9" s="712">
        <v>0</v>
      </c>
      <c r="Z9" s="232">
        <f t="shared" si="8"/>
        <v>0</v>
      </c>
      <c r="AA9" s="712">
        <v>0</v>
      </c>
      <c r="AB9" s="232">
        <f t="shared" si="9"/>
        <v>0</v>
      </c>
      <c r="AC9" s="712">
        <v>0</v>
      </c>
      <c r="AD9" s="232">
        <f t="shared" si="10"/>
        <v>0</v>
      </c>
      <c r="AE9" s="232">
        <v>0</v>
      </c>
    </row>
    <row r="10" spans="1:32">
      <c r="A10" s="513" t="s">
        <v>540</v>
      </c>
      <c r="B10" s="513" t="s">
        <v>541</v>
      </c>
      <c r="C10" s="514">
        <v>208000</v>
      </c>
      <c r="D10" s="496">
        <v>0.115</v>
      </c>
      <c r="E10" s="516">
        <v>45747</v>
      </c>
      <c r="F10" s="2027">
        <v>0</v>
      </c>
      <c r="G10" s="2027">
        <v>0</v>
      </c>
      <c r="H10" s="246">
        <f t="shared" si="0"/>
        <v>208000</v>
      </c>
      <c r="I10" s="712">
        <v>0</v>
      </c>
      <c r="J10" s="232">
        <f t="shared" si="1"/>
        <v>213980</v>
      </c>
      <c r="K10" s="712"/>
      <c r="L10" s="232">
        <f t="shared" si="2"/>
        <v>220131.92500000002</v>
      </c>
      <c r="M10" s="712">
        <v>0</v>
      </c>
      <c r="N10" s="232">
        <f t="shared" si="3"/>
        <v>226460.71784375003</v>
      </c>
      <c r="O10" s="1559"/>
      <c r="P10" s="232">
        <f>IF(AND(YEAR($E10)=YEAR(P$3),ROUNDUP(MONTH($E10)/3,0)=P$4),$C10*(1+$D10/4)^((P$3-$E10)/91),IF(ROUND(SUM(N10:O10),0)=0,0,SUM(N10:O10)*(1+$D10/4)))</f>
        <v>232971.46348175785</v>
      </c>
      <c r="Q10" s="712"/>
      <c r="R10" s="232">
        <f t="shared" si="4"/>
        <v>239669.39305685839</v>
      </c>
      <c r="S10" s="712">
        <v>0</v>
      </c>
      <c r="T10" s="232">
        <f t="shared" si="5"/>
        <v>246559.88810724308</v>
      </c>
      <c r="U10" s="712">
        <v>0</v>
      </c>
      <c r="V10" s="232">
        <f t="shared" si="6"/>
        <v>253648.48489032633</v>
      </c>
      <c r="W10" s="729">
        <f>-V10</f>
        <v>-253648.48489032633</v>
      </c>
      <c r="X10" s="232">
        <f t="shared" si="7"/>
        <v>0</v>
      </c>
      <c r="Y10" s="712">
        <v>0</v>
      </c>
      <c r="Z10" s="232">
        <f t="shared" si="8"/>
        <v>0</v>
      </c>
      <c r="AA10" s="712">
        <v>0</v>
      </c>
      <c r="AB10" s="232">
        <f t="shared" si="9"/>
        <v>0</v>
      </c>
      <c r="AC10" s="712">
        <v>0</v>
      </c>
      <c r="AD10" s="232">
        <f t="shared" si="10"/>
        <v>0</v>
      </c>
      <c r="AE10" s="232">
        <v>0</v>
      </c>
    </row>
    <row r="11" spans="1:32">
      <c r="A11" s="513" t="s">
        <v>542</v>
      </c>
      <c r="B11" s="513" t="s">
        <v>543</v>
      </c>
      <c r="C11" s="514">
        <v>1750000</v>
      </c>
      <c r="D11" s="496">
        <v>0</v>
      </c>
      <c r="E11" s="516">
        <v>45995</v>
      </c>
      <c r="F11" s="2027">
        <v>0</v>
      </c>
      <c r="G11" s="2027">
        <v>0</v>
      </c>
      <c r="H11" s="246">
        <f t="shared" si="0"/>
        <v>0</v>
      </c>
      <c r="I11" s="712">
        <v>0</v>
      </c>
      <c r="J11" s="232">
        <f t="shared" si="1"/>
        <v>0</v>
      </c>
      <c r="K11" s="712"/>
      <c r="L11" s="232">
        <f t="shared" si="2"/>
        <v>0</v>
      </c>
      <c r="M11" s="712"/>
      <c r="N11" s="703">
        <f t="shared" si="3"/>
        <v>1750000</v>
      </c>
      <c r="O11" s="1559"/>
      <c r="P11" s="232">
        <f>IF(AND(YEAR($E11)=YEAR(P$3),ROUNDUP(MONTH($E11)/3,0)=P$4),$C11*(1+$D11/4)^((P$3-$E11)/91),IF(ROUND(SUM(N11:O11),0)=0,0,SUM(N11:O11)*(1+$D11/4)))</f>
        <v>1750000</v>
      </c>
      <c r="Q11" s="712">
        <v>0</v>
      </c>
      <c r="R11" s="232">
        <f t="shared" si="4"/>
        <v>1750000</v>
      </c>
      <c r="S11" s="712">
        <v>0</v>
      </c>
      <c r="T11" s="232">
        <f t="shared" si="5"/>
        <v>1750000</v>
      </c>
      <c r="U11" s="712">
        <v>0</v>
      </c>
      <c r="V11" s="232">
        <f t="shared" si="6"/>
        <v>1750000</v>
      </c>
      <c r="W11" s="1559">
        <f>-V11</f>
        <v>-1750000</v>
      </c>
      <c r="X11" s="232">
        <f t="shared" si="7"/>
        <v>0</v>
      </c>
      <c r="Y11" s="712">
        <f>-X11</f>
        <v>0</v>
      </c>
      <c r="Z11" s="232">
        <f t="shared" si="8"/>
        <v>0</v>
      </c>
      <c r="AA11" s="712">
        <v>0</v>
      </c>
      <c r="AB11" s="232">
        <f t="shared" si="9"/>
        <v>0</v>
      </c>
      <c r="AC11" s="712">
        <v>0</v>
      </c>
      <c r="AD11" s="232">
        <f t="shared" si="10"/>
        <v>0</v>
      </c>
      <c r="AE11" s="232">
        <v>0</v>
      </c>
    </row>
    <row r="12" spans="1:32">
      <c r="A12" s="513" t="s">
        <v>544</v>
      </c>
      <c r="B12" s="513" t="s">
        <v>545</v>
      </c>
      <c r="C12" s="514">
        <v>1000000</v>
      </c>
      <c r="D12" s="496">
        <v>0</v>
      </c>
      <c r="E12" s="516">
        <v>45658</v>
      </c>
      <c r="F12" s="2027">
        <v>0</v>
      </c>
      <c r="G12" s="2027">
        <v>0</v>
      </c>
      <c r="H12" s="246">
        <f t="shared" si="0"/>
        <v>1000000</v>
      </c>
      <c r="I12" s="712">
        <v>0</v>
      </c>
      <c r="J12" s="232">
        <f t="shared" si="1"/>
        <v>1000000</v>
      </c>
      <c r="K12" s="712"/>
      <c r="L12" s="232">
        <f t="shared" si="2"/>
        <v>1000000</v>
      </c>
      <c r="M12" s="712"/>
      <c r="N12" s="232">
        <f t="shared" si="3"/>
        <v>1000000</v>
      </c>
      <c r="O12" s="1558">
        <v>-250000</v>
      </c>
      <c r="P12" s="704"/>
      <c r="Q12" s="712"/>
      <c r="R12" s="232">
        <f t="shared" si="4"/>
        <v>0</v>
      </c>
      <c r="S12" s="712"/>
      <c r="T12" s="232">
        <f t="shared" si="5"/>
        <v>0</v>
      </c>
      <c r="U12" s="712">
        <v>0</v>
      </c>
      <c r="V12" s="232">
        <f t="shared" si="6"/>
        <v>0</v>
      </c>
      <c r="W12" s="1559">
        <v>0</v>
      </c>
      <c r="X12" s="232">
        <f t="shared" si="7"/>
        <v>0</v>
      </c>
      <c r="Y12" s="712">
        <v>0</v>
      </c>
      <c r="Z12" s="232">
        <f t="shared" si="8"/>
        <v>0</v>
      </c>
      <c r="AA12" s="712">
        <v>0</v>
      </c>
      <c r="AB12" s="232">
        <f t="shared" si="9"/>
        <v>0</v>
      </c>
      <c r="AC12" s="712">
        <v>0</v>
      </c>
      <c r="AD12" s="232">
        <f t="shared" si="10"/>
        <v>0</v>
      </c>
      <c r="AE12" s="232">
        <v>0</v>
      </c>
    </row>
    <row r="13" spans="1:32">
      <c r="A13" s="513" t="s">
        <v>546</v>
      </c>
      <c r="B13" s="717" t="s">
        <v>547</v>
      </c>
      <c r="C13" s="514">
        <v>85000</v>
      </c>
      <c r="D13" s="496"/>
      <c r="E13" s="516">
        <v>46022</v>
      </c>
      <c r="F13" s="2027">
        <v>0</v>
      </c>
      <c r="G13" s="2027">
        <v>0</v>
      </c>
      <c r="H13" s="246">
        <f t="shared" si="0"/>
        <v>0</v>
      </c>
      <c r="I13" s="712">
        <v>0</v>
      </c>
      <c r="J13" s="232">
        <f t="shared" si="1"/>
        <v>0</v>
      </c>
      <c r="K13" s="712"/>
      <c r="L13" s="232">
        <f t="shared" si="2"/>
        <v>0</v>
      </c>
      <c r="M13" s="712"/>
      <c r="N13" s="232">
        <f t="shared" si="3"/>
        <v>85000</v>
      </c>
      <c r="O13" s="1559"/>
      <c r="P13" s="232">
        <f t="shared" ref="P13:P22" si="11">IF(AND(YEAR($E13)=YEAR(P$3),ROUNDUP(MONTH($E13)/3,0)=P$4),$C13*(1+$D13/4)^((P$3-$E13)/91),IF(ROUND(SUM(N13:O13),0)=0,0,SUM(N13:O13)*(1+$D13/4)))</f>
        <v>85000</v>
      </c>
      <c r="Q13" s="712">
        <f>-P13</f>
        <v>-85000</v>
      </c>
      <c r="R13" s="232">
        <f t="shared" si="4"/>
        <v>0</v>
      </c>
      <c r="S13" s="712"/>
      <c r="T13" s="232">
        <f t="shared" si="5"/>
        <v>0</v>
      </c>
      <c r="U13" s="712">
        <v>0</v>
      </c>
      <c r="V13" s="232">
        <f t="shared" si="6"/>
        <v>0</v>
      </c>
      <c r="W13" s="1559">
        <v>0</v>
      </c>
      <c r="X13" s="232">
        <f t="shared" si="7"/>
        <v>0</v>
      </c>
      <c r="Y13" s="712">
        <f>-X13</f>
        <v>0</v>
      </c>
      <c r="Z13" s="232">
        <f t="shared" si="8"/>
        <v>0</v>
      </c>
      <c r="AA13" s="712">
        <v>0</v>
      </c>
      <c r="AB13" s="232">
        <f t="shared" si="9"/>
        <v>0</v>
      </c>
      <c r="AC13" s="712">
        <v>0</v>
      </c>
      <c r="AD13" s="232">
        <f t="shared" si="10"/>
        <v>0</v>
      </c>
      <c r="AE13" s="232">
        <v>0</v>
      </c>
    </row>
    <row r="14" spans="1:32">
      <c r="A14" s="513" t="s">
        <v>548</v>
      </c>
      <c r="B14" s="513" t="s">
        <v>549</v>
      </c>
      <c r="C14" s="514">
        <v>340000</v>
      </c>
      <c r="D14" s="496">
        <v>0</v>
      </c>
      <c r="E14" s="516">
        <v>46023</v>
      </c>
      <c r="F14" s="2027">
        <v>0</v>
      </c>
      <c r="G14" s="2027">
        <v>0</v>
      </c>
      <c r="H14" s="246">
        <f t="shared" si="0"/>
        <v>0</v>
      </c>
      <c r="I14" s="712">
        <v>0</v>
      </c>
      <c r="J14" s="232">
        <f t="shared" si="1"/>
        <v>0</v>
      </c>
      <c r="K14" s="712"/>
      <c r="L14" s="232">
        <f t="shared" si="2"/>
        <v>0</v>
      </c>
      <c r="M14" s="712"/>
      <c r="N14" s="232">
        <f t="shared" si="3"/>
        <v>0</v>
      </c>
      <c r="O14" s="1558">
        <v>-500000</v>
      </c>
      <c r="P14" s="232">
        <f t="shared" si="11"/>
        <v>340000</v>
      </c>
      <c r="Q14" s="712"/>
      <c r="R14" s="232">
        <f t="shared" si="4"/>
        <v>340000</v>
      </c>
      <c r="S14" s="712">
        <v>0</v>
      </c>
      <c r="T14" s="232">
        <f t="shared" si="5"/>
        <v>340000</v>
      </c>
      <c r="U14" s="712">
        <v>0</v>
      </c>
      <c r="V14" s="232">
        <f t="shared" si="6"/>
        <v>340000</v>
      </c>
      <c r="W14" s="722">
        <f>-V14</f>
        <v>-340000</v>
      </c>
      <c r="X14" s="232">
        <f t="shared" si="7"/>
        <v>0</v>
      </c>
      <c r="Y14" s="712">
        <v>0</v>
      </c>
      <c r="Z14" s="232">
        <f t="shared" si="8"/>
        <v>0</v>
      </c>
      <c r="AA14" s="712">
        <v>0</v>
      </c>
      <c r="AB14" s="232">
        <f t="shared" si="9"/>
        <v>0</v>
      </c>
      <c r="AC14" s="712">
        <v>0</v>
      </c>
      <c r="AD14" s="232">
        <f t="shared" si="10"/>
        <v>0</v>
      </c>
      <c r="AE14" s="232">
        <v>0</v>
      </c>
    </row>
    <row r="15" spans="1:32">
      <c r="A15" s="513" t="s">
        <v>550</v>
      </c>
      <c r="B15" s="1452" t="s">
        <v>551</v>
      </c>
      <c r="C15" s="514">
        <v>1000000</v>
      </c>
      <c r="D15" s="496">
        <v>0.2</v>
      </c>
      <c r="E15" s="516">
        <v>45658</v>
      </c>
      <c r="F15" s="2027">
        <v>0</v>
      </c>
      <c r="G15" s="2027">
        <v>0</v>
      </c>
      <c r="H15" s="246">
        <f t="shared" si="0"/>
        <v>1048874.6765908855</v>
      </c>
      <c r="I15" s="712">
        <v>0</v>
      </c>
      <c r="J15" s="232">
        <f t="shared" si="1"/>
        <v>1101318.4104204299</v>
      </c>
      <c r="K15" s="712"/>
      <c r="L15" s="232">
        <f t="shared" si="2"/>
        <v>1156384.3309414515</v>
      </c>
      <c r="M15" s="712"/>
      <c r="N15" s="232">
        <f t="shared" si="3"/>
        <v>1214203.5474885241</v>
      </c>
      <c r="O15" s="729">
        <f>-N15</f>
        <v>-1214203.5474885241</v>
      </c>
      <c r="P15" s="232">
        <f t="shared" si="11"/>
        <v>0</v>
      </c>
      <c r="Q15" s="712">
        <v>0</v>
      </c>
      <c r="R15" s="232">
        <f t="shared" si="4"/>
        <v>0</v>
      </c>
      <c r="S15" s="712">
        <v>0</v>
      </c>
      <c r="T15" s="232">
        <f t="shared" si="5"/>
        <v>0</v>
      </c>
      <c r="U15" s="712">
        <v>0</v>
      </c>
      <c r="V15" s="232">
        <f t="shared" si="6"/>
        <v>0</v>
      </c>
      <c r="W15" s="1559">
        <v>0</v>
      </c>
      <c r="X15" s="232">
        <f t="shared" si="7"/>
        <v>0</v>
      </c>
      <c r="Y15" s="712"/>
      <c r="Z15" s="232">
        <f t="shared" si="8"/>
        <v>0</v>
      </c>
      <c r="AA15" s="712">
        <v>0</v>
      </c>
      <c r="AB15" s="232">
        <f t="shared" si="9"/>
        <v>0</v>
      </c>
      <c r="AC15" s="712">
        <v>0</v>
      </c>
      <c r="AD15" s="232">
        <f t="shared" si="10"/>
        <v>0</v>
      </c>
      <c r="AE15" s="232">
        <v>0</v>
      </c>
    </row>
    <row r="16" spans="1:32">
      <c r="A16" s="513" t="s">
        <v>552</v>
      </c>
      <c r="B16" s="513" t="s">
        <v>553</v>
      </c>
      <c r="C16" s="514">
        <v>62241.1</v>
      </c>
      <c r="D16" s="496">
        <v>0</v>
      </c>
      <c r="E16" s="516">
        <v>45657</v>
      </c>
      <c r="F16" s="2027">
        <v>62241.1</v>
      </c>
      <c r="G16" s="2027">
        <v>0</v>
      </c>
      <c r="H16" s="246">
        <f t="shared" si="0"/>
        <v>62241.1</v>
      </c>
      <c r="I16" s="712">
        <v>0</v>
      </c>
      <c r="J16" s="232">
        <f t="shared" si="1"/>
        <v>62241.1</v>
      </c>
      <c r="K16" s="712"/>
      <c r="L16" s="232">
        <f t="shared" si="2"/>
        <v>62241.1</v>
      </c>
      <c r="M16" s="712"/>
      <c r="N16" s="232">
        <f t="shared" si="3"/>
        <v>62241.1</v>
      </c>
      <c r="O16" s="1559"/>
      <c r="P16" s="232">
        <f t="shared" si="11"/>
        <v>62241.1</v>
      </c>
      <c r="Q16" s="712">
        <v>0</v>
      </c>
      <c r="R16" s="232">
        <f t="shared" si="4"/>
        <v>62241.1</v>
      </c>
      <c r="S16" s="712">
        <f>-R16</f>
        <v>-62241.1</v>
      </c>
      <c r="T16" s="232">
        <f t="shared" si="5"/>
        <v>0</v>
      </c>
      <c r="U16" s="712">
        <v>0</v>
      </c>
      <c r="V16" s="232">
        <f t="shared" si="6"/>
        <v>0</v>
      </c>
      <c r="W16" s="1559">
        <v>0</v>
      </c>
      <c r="X16" s="232">
        <f t="shared" si="7"/>
        <v>0</v>
      </c>
      <c r="Y16" s="712">
        <f>-X16</f>
        <v>0</v>
      </c>
      <c r="Z16" s="232">
        <f t="shared" si="8"/>
        <v>0</v>
      </c>
      <c r="AA16" s="712">
        <v>0</v>
      </c>
      <c r="AB16" s="232">
        <f t="shared" si="9"/>
        <v>0</v>
      </c>
      <c r="AC16" s="712">
        <v>0</v>
      </c>
      <c r="AD16" s="232">
        <f t="shared" si="10"/>
        <v>0</v>
      </c>
      <c r="AE16" s="232">
        <v>0</v>
      </c>
    </row>
    <row r="17" spans="1:31">
      <c r="A17" s="513" t="s">
        <v>554</v>
      </c>
      <c r="B17" s="513" t="s">
        <v>555</v>
      </c>
      <c r="C17" s="514">
        <v>1620000</v>
      </c>
      <c r="D17" s="496">
        <v>0</v>
      </c>
      <c r="E17" s="516">
        <v>46142</v>
      </c>
      <c r="F17" s="2027">
        <v>0</v>
      </c>
      <c r="G17" s="2027">
        <v>0</v>
      </c>
      <c r="H17" s="246">
        <f t="shared" si="0"/>
        <v>0</v>
      </c>
      <c r="I17" s="712">
        <v>0</v>
      </c>
      <c r="J17" s="232">
        <f t="shared" si="1"/>
        <v>0</v>
      </c>
      <c r="K17" s="712"/>
      <c r="L17" s="232">
        <f t="shared" si="2"/>
        <v>0</v>
      </c>
      <c r="M17" s="712"/>
      <c r="N17" s="232">
        <f t="shared" si="3"/>
        <v>0</v>
      </c>
      <c r="O17" s="1559"/>
      <c r="P17" s="232">
        <f t="shared" si="11"/>
        <v>0</v>
      </c>
      <c r="Q17" s="712">
        <v>0</v>
      </c>
      <c r="R17" s="232">
        <f t="shared" si="4"/>
        <v>1620000</v>
      </c>
      <c r="S17" s="242">
        <v>-320000</v>
      </c>
      <c r="T17" s="232">
        <f t="shared" si="5"/>
        <v>1300000</v>
      </c>
      <c r="U17" s="712">
        <v>0</v>
      </c>
      <c r="V17" s="232">
        <f t="shared" si="6"/>
        <v>1300000</v>
      </c>
      <c r="W17" s="722">
        <v>-520000</v>
      </c>
      <c r="X17" s="232">
        <f t="shared" si="7"/>
        <v>780000</v>
      </c>
      <c r="Y17" s="242">
        <v>-390000</v>
      </c>
      <c r="Z17" s="232">
        <f t="shared" si="8"/>
        <v>390000</v>
      </c>
      <c r="AA17" s="242">
        <v>-390000</v>
      </c>
      <c r="AB17" s="232">
        <f t="shared" si="9"/>
        <v>0</v>
      </c>
      <c r="AC17" s="712">
        <v>0</v>
      </c>
      <c r="AD17" s="232">
        <f t="shared" si="10"/>
        <v>0</v>
      </c>
      <c r="AE17" s="232">
        <v>0</v>
      </c>
    </row>
    <row r="18" spans="1:31">
      <c r="A18" s="513" t="s">
        <v>556</v>
      </c>
      <c r="B18" s="513" t="s">
        <v>557</v>
      </c>
      <c r="C18" s="514">
        <v>2680000</v>
      </c>
      <c r="D18" s="496"/>
      <c r="E18" s="516">
        <v>46022</v>
      </c>
      <c r="F18" s="2027">
        <v>0</v>
      </c>
      <c r="G18" s="2027">
        <v>0</v>
      </c>
      <c r="H18" s="246">
        <f t="shared" si="0"/>
        <v>0</v>
      </c>
      <c r="I18" s="712">
        <v>0</v>
      </c>
      <c r="J18" s="232">
        <f t="shared" si="1"/>
        <v>0</v>
      </c>
      <c r="K18" s="712"/>
      <c r="L18" s="232">
        <f t="shared" si="2"/>
        <v>0</v>
      </c>
      <c r="M18" s="712"/>
      <c r="N18" s="232">
        <f t="shared" si="3"/>
        <v>2680000</v>
      </c>
      <c r="O18" s="1559"/>
      <c r="P18" s="232">
        <f t="shared" si="11"/>
        <v>2680000</v>
      </c>
      <c r="Q18" s="712">
        <v>0</v>
      </c>
      <c r="R18" s="232">
        <f t="shared" si="4"/>
        <v>2680000</v>
      </c>
      <c r="S18" s="242">
        <v>-670000</v>
      </c>
      <c r="T18" s="232">
        <f t="shared" si="5"/>
        <v>2010000</v>
      </c>
      <c r="U18" s="712">
        <v>0</v>
      </c>
      <c r="V18" s="232">
        <f t="shared" si="6"/>
        <v>2010000</v>
      </c>
      <c r="W18" s="722">
        <f>-V18</f>
        <v>-2010000</v>
      </c>
      <c r="X18" s="232">
        <f t="shared" si="7"/>
        <v>0</v>
      </c>
      <c r="Y18" s="712">
        <v>0</v>
      </c>
      <c r="Z18" s="232">
        <f t="shared" si="8"/>
        <v>0</v>
      </c>
      <c r="AA18" s="712">
        <v>0</v>
      </c>
      <c r="AB18" s="232">
        <f t="shared" si="9"/>
        <v>0</v>
      </c>
      <c r="AC18" s="712">
        <v>0</v>
      </c>
      <c r="AD18" s="232">
        <f t="shared" si="10"/>
        <v>0</v>
      </c>
      <c r="AE18" s="232">
        <v>0</v>
      </c>
    </row>
    <row r="19" spans="1:31">
      <c r="A19" s="513" t="s">
        <v>558</v>
      </c>
      <c r="B19" s="513" t="s">
        <v>559</v>
      </c>
      <c r="C19" s="514">
        <f>-lgh_other_assets!E39</f>
        <v>1436131.85</v>
      </c>
      <c r="D19" s="496">
        <v>0</v>
      </c>
      <c r="E19" s="516">
        <v>45838</v>
      </c>
      <c r="F19" s="2027">
        <v>0</v>
      </c>
      <c r="G19" s="2027">
        <v>0</v>
      </c>
      <c r="H19" s="246">
        <f t="shared" si="0"/>
        <v>0</v>
      </c>
      <c r="I19" s="712">
        <v>0</v>
      </c>
      <c r="J19" s="232">
        <f t="shared" si="1"/>
        <v>1436131.85</v>
      </c>
      <c r="K19" s="712"/>
      <c r="L19" s="232">
        <f t="shared" si="2"/>
        <v>1436131.85</v>
      </c>
      <c r="M19" s="712"/>
      <c r="N19" s="232">
        <f t="shared" si="3"/>
        <v>1436131.85</v>
      </c>
      <c r="O19" s="1559"/>
      <c r="P19" s="232">
        <f t="shared" si="11"/>
        <v>1436131.85</v>
      </c>
      <c r="Q19" s="712">
        <v>0</v>
      </c>
      <c r="R19" s="232">
        <f t="shared" si="4"/>
        <v>1436131.85</v>
      </c>
      <c r="S19" s="712"/>
      <c r="T19" s="232">
        <f t="shared" si="5"/>
        <v>1436131.85</v>
      </c>
      <c r="U19" s="712">
        <v>0</v>
      </c>
      <c r="V19" s="232">
        <f t="shared" si="6"/>
        <v>1436131.85</v>
      </c>
      <c r="W19" s="722">
        <f>-V19</f>
        <v>-1436131.85</v>
      </c>
      <c r="X19" s="232">
        <f t="shared" si="7"/>
        <v>0</v>
      </c>
      <c r="Y19" s="712">
        <v>0</v>
      </c>
      <c r="Z19" s="232">
        <f t="shared" si="8"/>
        <v>0</v>
      </c>
      <c r="AA19" s="712">
        <v>0</v>
      </c>
      <c r="AB19" s="232">
        <f t="shared" si="9"/>
        <v>0</v>
      </c>
      <c r="AC19" s="712">
        <v>0</v>
      </c>
      <c r="AD19" s="232">
        <f t="shared" si="10"/>
        <v>0</v>
      </c>
      <c r="AE19" s="232">
        <v>0</v>
      </c>
    </row>
    <row r="20" spans="1:31">
      <c r="A20" s="513"/>
      <c r="B20" t="s">
        <v>560</v>
      </c>
      <c r="C20" s="514">
        <v>0</v>
      </c>
      <c r="D20" s="496">
        <v>0.15</v>
      </c>
      <c r="E20" s="516">
        <v>46203</v>
      </c>
      <c r="F20" s="2027">
        <v>0</v>
      </c>
      <c r="G20" s="2027">
        <v>0</v>
      </c>
      <c r="H20" s="246">
        <f t="shared" si="0"/>
        <v>0</v>
      </c>
      <c r="I20" s="712">
        <v>0</v>
      </c>
      <c r="J20" s="232">
        <f t="shared" si="1"/>
        <v>0</v>
      </c>
      <c r="K20" s="712"/>
      <c r="L20" s="232">
        <f t="shared" si="2"/>
        <v>0</v>
      </c>
      <c r="M20" s="712"/>
      <c r="N20" s="232">
        <f t="shared" si="3"/>
        <v>0</v>
      </c>
      <c r="O20" s="1559"/>
      <c r="P20" s="232">
        <f t="shared" si="11"/>
        <v>0</v>
      </c>
      <c r="Q20" s="712">
        <v>0</v>
      </c>
      <c r="R20" s="232">
        <f t="shared" si="4"/>
        <v>0</v>
      </c>
      <c r="S20" s="712"/>
      <c r="T20" s="232">
        <f t="shared" si="5"/>
        <v>0</v>
      </c>
      <c r="U20" s="712">
        <v>0</v>
      </c>
      <c r="V20" s="232">
        <f t="shared" si="6"/>
        <v>0</v>
      </c>
      <c r="W20" s="1559">
        <v>0</v>
      </c>
      <c r="X20" s="232">
        <f t="shared" si="7"/>
        <v>0</v>
      </c>
      <c r="Y20" s="712">
        <v>0</v>
      </c>
      <c r="Z20" s="232">
        <f t="shared" si="8"/>
        <v>0</v>
      </c>
      <c r="AA20" s="712">
        <v>0</v>
      </c>
      <c r="AB20" s="232">
        <f t="shared" si="9"/>
        <v>0</v>
      </c>
      <c r="AC20" s="712">
        <v>0</v>
      </c>
      <c r="AD20" s="232">
        <f t="shared" si="10"/>
        <v>0</v>
      </c>
      <c r="AE20" s="232">
        <v>0</v>
      </c>
    </row>
    <row r="21" spans="1:31">
      <c r="A21" s="513"/>
      <c r="B21" t="s">
        <v>560</v>
      </c>
      <c r="C21" s="514">
        <v>0</v>
      </c>
      <c r="D21" s="496">
        <v>0.15</v>
      </c>
      <c r="E21" s="516">
        <v>46295</v>
      </c>
      <c r="F21" s="2027">
        <v>0</v>
      </c>
      <c r="G21" s="2027">
        <v>0</v>
      </c>
      <c r="H21" s="246">
        <f t="shared" si="0"/>
        <v>0</v>
      </c>
      <c r="I21" s="712">
        <v>0</v>
      </c>
      <c r="J21" s="232">
        <f t="shared" si="1"/>
        <v>0</v>
      </c>
      <c r="K21" s="712"/>
      <c r="L21" s="232">
        <f t="shared" si="2"/>
        <v>0</v>
      </c>
      <c r="M21" s="712"/>
      <c r="N21" s="232">
        <f t="shared" si="3"/>
        <v>0</v>
      </c>
      <c r="O21" s="1559"/>
      <c r="P21" s="232">
        <f t="shared" si="11"/>
        <v>0</v>
      </c>
      <c r="Q21" s="712">
        <v>0</v>
      </c>
      <c r="R21" s="232">
        <f t="shared" si="4"/>
        <v>0</v>
      </c>
      <c r="S21" s="712"/>
      <c r="T21" s="232">
        <f t="shared" si="5"/>
        <v>0</v>
      </c>
      <c r="U21" s="712">
        <v>0</v>
      </c>
      <c r="V21" s="232">
        <f t="shared" si="6"/>
        <v>0</v>
      </c>
      <c r="W21" s="1559">
        <v>0</v>
      </c>
      <c r="X21" s="232">
        <f t="shared" si="7"/>
        <v>0</v>
      </c>
      <c r="Y21" s="712">
        <v>0</v>
      </c>
      <c r="Z21" s="232">
        <f t="shared" si="8"/>
        <v>0</v>
      </c>
      <c r="AA21" s="712">
        <v>0</v>
      </c>
      <c r="AB21" s="232">
        <f t="shared" si="9"/>
        <v>0</v>
      </c>
      <c r="AC21" s="712">
        <v>0</v>
      </c>
      <c r="AD21" s="232">
        <f t="shared" si="10"/>
        <v>0</v>
      </c>
      <c r="AE21" s="232">
        <v>0</v>
      </c>
    </row>
    <row r="22" spans="1:31">
      <c r="A22" s="513" t="s">
        <v>561</v>
      </c>
      <c r="B22" t="s">
        <v>560</v>
      </c>
      <c r="C22" s="514">
        <v>16000000</v>
      </c>
      <c r="D22" s="496">
        <v>0.15</v>
      </c>
      <c r="E22" s="516">
        <v>46386</v>
      </c>
      <c r="F22" s="2027">
        <v>0</v>
      </c>
      <c r="G22" s="2027">
        <v>0</v>
      </c>
      <c r="H22" s="246">
        <f t="shared" si="0"/>
        <v>0</v>
      </c>
      <c r="I22" s="712">
        <v>0</v>
      </c>
      <c r="J22" s="232">
        <f t="shared" si="1"/>
        <v>0</v>
      </c>
      <c r="K22" s="712"/>
      <c r="L22" s="232">
        <f t="shared" si="2"/>
        <v>0</v>
      </c>
      <c r="M22" s="712"/>
      <c r="N22" s="232">
        <f t="shared" si="3"/>
        <v>0</v>
      </c>
      <c r="O22" s="1559"/>
      <c r="P22" s="232">
        <f t="shared" si="11"/>
        <v>0</v>
      </c>
      <c r="Q22" s="712">
        <v>0</v>
      </c>
      <c r="R22" s="232">
        <f t="shared" si="4"/>
        <v>0</v>
      </c>
      <c r="S22" s="712"/>
      <c r="T22" s="232">
        <f t="shared" si="5"/>
        <v>0</v>
      </c>
      <c r="U22" s="712">
        <v>0</v>
      </c>
      <c r="V22" s="232">
        <f t="shared" si="6"/>
        <v>16006474.095939839</v>
      </c>
      <c r="W22" s="1559">
        <v>0</v>
      </c>
      <c r="X22" s="232">
        <f t="shared" si="7"/>
        <v>18407445.210330814</v>
      </c>
      <c r="Y22" s="712">
        <v>0</v>
      </c>
      <c r="Z22" s="232">
        <f t="shared" si="8"/>
        <v>21168561.991880435</v>
      </c>
      <c r="AA22" s="712">
        <v>0</v>
      </c>
      <c r="AB22" s="232">
        <f t="shared" si="9"/>
        <v>24343846.290662497</v>
      </c>
      <c r="AC22" s="712">
        <v>0</v>
      </c>
      <c r="AD22" s="232">
        <f t="shared" si="10"/>
        <v>27995423.23426187</v>
      </c>
      <c r="AE22" s="232">
        <v>0</v>
      </c>
    </row>
    <row r="23" spans="1:31">
      <c r="B23" s="346" t="s">
        <v>183</v>
      </c>
      <c r="F23" s="2027">
        <v>812241.1</v>
      </c>
      <c r="G23" s="2027"/>
      <c r="H23" s="232">
        <f>SUM(H5:I22)</f>
        <v>3383115.7765908856</v>
      </c>
      <c r="I23" s="232"/>
      <c r="J23" s="232">
        <f>SUM(J5:K22)</f>
        <v>5020671.3604204301</v>
      </c>
      <c r="K23" s="232"/>
      <c r="L23" s="232">
        <f>SUM(L5:M22)</f>
        <v>5081889.2059414517</v>
      </c>
      <c r="M23" s="232"/>
      <c r="N23" s="232">
        <f>SUM(N5:O22)</f>
        <v>6989833.6678437497</v>
      </c>
      <c r="O23" s="232"/>
      <c r="P23" s="232">
        <f>SUM(P5:Q22)</f>
        <v>8001344.413481757</v>
      </c>
      <c r="Q23" s="232"/>
      <c r="R23" s="232">
        <f>SUM(R5:S22)</f>
        <v>8575801.243056858</v>
      </c>
      <c r="S23" s="232"/>
      <c r="T23" s="232">
        <f>SUM(T5:U22)</f>
        <v>8582691.7381072436</v>
      </c>
      <c r="U23" s="232"/>
      <c r="V23" s="232">
        <f>SUM(V5:W22)</f>
        <v>17286474.095939837</v>
      </c>
      <c r="W23" s="232"/>
      <c r="X23" s="232">
        <f>SUM(X5:Y22)</f>
        <v>18797445.210330814</v>
      </c>
      <c r="Y23" s="232"/>
      <c r="Z23" s="232">
        <f>SUM(Z5:AA22)</f>
        <v>21168561.991880435</v>
      </c>
      <c r="AA23" s="232"/>
      <c r="AB23" s="232">
        <f>SUM(AB5:AC22)</f>
        <v>24343846.290662497</v>
      </c>
      <c r="AC23" s="232"/>
      <c r="AD23" s="232">
        <f>SUM(AD5:AE22)</f>
        <v>27995423.23426187</v>
      </c>
      <c r="AE23" s="232"/>
    </row>
    <row r="24" spans="1:31">
      <c r="B24" s="346" t="s">
        <v>452</v>
      </c>
      <c r="F24" s="2024">
        <v>2</v>
      </c>
      <c r="G24" s="2024"/>
      <c r="H24" s="223">
        <f>COUNTIF(H5:H22,"&gt;0")</f>
        <v>6</v>
      </c>
      <c r="J24" s="223">
        <f>COUNTIF(J5:J22,"&gt;0")</f>
        <v>7</v>
      </c>
      <c r="L24" s="223">
        <f>COUNTIF(L5:L22,"&gt;0")</f>
        <v>7</v>
      </c>
      <c r="N24" s="223">
        <f>COUNTIF(N5:N22,"&gt;0")</f>
        <v>10</v>
      </c>
      <c r="P24" s="223">
        <f>COUNTIF(P5:P22,"&gt;0")</f>
        <v>9</v>
      </c>
      <c r="R24" s="223">
        <f>COUNTIF(R5:R22,"&gt;0")</f>
        <v>8</v>
      </c>
      <c r="T24" s="223">
        <f>COUNTIF(T5:T22,"&gt;0")</f>
        <v>7</v>
      </c>
      <c r="V24" s="223">
        <f>COUNTIF(V5:V22,"&gt;0")</f>
        <v>8</v>
      </c>
      <c r="X24" s="223">
        <f>COUNTIF(X5:X22,"&gt;0")</f>
        <v>3</v>
      </c>
      <c r="Z24" s="223">
        <f>COUNTIF(Z5:Z22,"&gt;0")</f>
        <v>2</v>
      </c>
      <c r="AB24" s="223">
        <f>COUNTIF(AB5:AB22,"&gt;0")</f>
        <v>1</v>
      </c>
      <c r="AD24" s="223">
        <f>COUNTIF(AD5:AD22,"&gt;0")</f>
        <v>1</v>
      </c>
    </row>
    <row r="25" spans="1:31">
      <c r="F25" s="2024"/>
      <c r="G25" s="2024"/>
      <c r="H25" s="224"/>
    </row>
    <row r="26" spans="1:31">
      <c r="A26" s="234" t="s">
        <v>455</v>
      </c>
      <c r="F26" s="2024"/>
      <c r="G26" s="2024"/>
      <c r="H26" s="235"/>
    </row>
    <row r="27" spans="1:31">
      <c r="A27" s="223" t="s">
        <v>456</v>
      </c>
      <c r="F27" s="2024"/>
      <c r="G27" s="2024"/>
      <c r="H27" s="285"/>
    </row>
    <row r="28" spans="1:31">
      <c r="A28" s="230" t="s">
        <v>562</v>
      </c>
      <c r="B28" s="230"/>
      <c r="C28" s="230"/>
      <c r="D28" s="230"/>
      <c r="E28" s="230"/>
      <c r="F28" s="2027">
        <v>-750000</v>
      </c>
      <c r="G28" s="2024"/>
      <c r="H28" s="324">
        <v>-2608000</v>
      </c>
      <c r="I28" s="230"/>
      <c r="J28" s="241">
        <v>-1436132</v>
      </c>
      <c r="K28" s="230"/>
      <c r="L28" s="241"/>
      <c r="M28" s="230"/>
      <c r="N28" s="241">
        <f>-210000-2680000</f>
        <v>-2890000</v>
      </c>
      <c r="O28" s="325"/>
      <c r="P28" s="730">
        <f>-P5-P14</f>
        <v>-1840000</v>
      </c>
      <c r="Q28" s="230"/>
      <c r="R28" s="730">
        <f>-R17</f>
        <v>-1620000</v>
      </c>
      <c r="S28" s="230"/>
      <c r="T28" s="241"/>
      <c r="U28" s="241"/>
      <c r="V28" s="241"/>
      <c r="W28" s="230"/>
      <c r="X28" s="230"/>
      <c r="Y28" s="230"/>
      <c r="Z28" s="230"/>
      <c r="AA28" s="230"/>
      <c r="AB28" s="230"/>
      <c r="AC28" s="230"/>
      <c r="AD28" s="230"/>
      <c r="AE28" s="230"/>
    </row>
    <row r="29" spans="1:31">
      <c r="A29" s="236" t="s">
        <v>458</v>
      </c>
      <c r="B29" s="236"/>
      <c r="C29" s="236"/>
      <c r="D29" s="236"/>
      <c r="E29" s="236"/>
      <c r="F29" s="2033">
        <v>62241.099999999977</v>
      </c>
      <c r="G29" s="2034"/>
      <c r="H29" s="237">
        <f t="array" ref="H29">SUMPRODUCT((YEAR(H3)=YEAR($E$5:$E22))*(ROUNDUP(MONTH($E$5:$E22)/3,0)=H4)*$C$5:$C22)+SUMIF(I5:I22,"&gt;0")+H28</f>
        <v>-86000</v>
      </c>
      <c r="I29" s="238"/>
      <c r="J29" s="237">
        <f t="array" ref="J29">SUMPRODUCT((YEAR(J3)=YEAR($E$5:$E22))*(ROUNDUP(MONTH($E$5:$E22)/3,0)=J4)*$C$5:$C22)+SUMIF(K5:K22,"&gt;0")+J28</f>
        <v>142999.85000000009</v>
      </c>
      <c r="K29" s="238"/>
      <c r="L29" s="237">
        <f t="array" ref="L29">SUMPRODUCT((YEAR(L3)=YEAR($E$5:$E22))*(ROUNDUP(MONTH($E$5:$E22)/3,0)=L4)*$C$5:$C22)+SUMIF(M5:M22,"&gt;0")+L28</f>
        <v>0</v>
      </c>
      <c r="M29" s="238"/>
      <c r="N29" s="237">
        <f t="array" ref="N29">SUMPRODUCT((YEAR(N3)=YEAR($E$5:$E22))*(ROUNDUP(MONTH($E$5:$E22)/3,0)=N4)*$C$5:$C22)+SUMIF(O5:O22,"&gt;0")+N28</f>
        <v>1625000</v>
      </c>
      <c r="O29" s="238"/>
      <c r="P29" s="237">
        <f t="array" ref="P29">SUMPRODUCT((YEAR(P3)=YEAR($E$5:$E22))*(ROUNDUP(MONTH($E$5:$E22)/3,0)=P4)*$C$5:$C22)+SUMIF(Q5:Q22,"&gt;0")+P28</f>
        <v>0</v>
      </c>
      <c r="Q29" s="238"/>
      <c r="R29" s="237">
        <f t="array" ref="R29">SUMPRODUCT((YEAR(R3)=YEAR($E$5:$E22))*(ROUNDUP(MONTH($E$5:$E22)/3,0)=R4)*$C$5:$C22)+SUMIF(S5:S22,"&gt;0")+R28</f>
        <v>0</v>
      </c>
      <c r="S29" s="238"/>
      <c r="T29" s="237">
        <f t="array" ref="T29">SUMPRODUCT((YEAR(T3)=YEAR($E$5:$E22))*(ROUNDUP(MONTH($E$5:$E22)/3,0)=T4)*$C$5:$C22)+SUMIF(U5:U22,"&gt;0")+T28</f>
        <v>0</v>
      </c>
      <c r="U29" s="238"/>
      <c r="V29" s="237">
        <f t="array" ref="V29">SUMPRODUCT((YEAR(V3)=YEAR($E$5:$E22))*(ROUNDUP(MONTH($E$5:$E22)/3,0)=V4)*$C$5:$C22)+SUMIF(W5:W22,"&gt;0")+V28</f>
        <v>16000000</v>
      </c>
      <c r="W29" s="238"/>
      <c r="X29" s="237">
        <f t="array" ref="X29">SUMPRODUCT((YEAR(X3)=YEAR($E$5:$E22))*(ROUNDUP(MONTH($E$5:$E22)/3,0)&lt;=X4)*$C$5:$C22)+SUMIF(Y5:Y22,"&gt;0")+X28</f>
        <v>0</v>
      </c>
      <c r="Y29" s="238"/>
      <c r="Z29" s="237">
        <f t="array" ref="Z29">SUMPRODUCT((YEAR(Z3)=YEAR($E$5:$E22))*(ROUNDUP(MONTH($E$5:$E22)/3,0)&lt;=Z4)*$C$5:$C22)+SUMIF(AA5:AA22,"&gt;0")+Z28</f>
        <v>0</v>
      </c>
      <c r="AA29" s="238"/>
      <c r="AB29" s="237">
        <f t="array" ref="AB29">SUMPRODUCT((YEAR(AB3)=YEAR($E$5:$E22))*(ROUNDUP(MONTH($E$5:$E22)/3,0)&lt;=AB4)*$C$5:$C22)+SUMIF(AC5:AC22,"&gt;0")+AB28</f>
        <v>0</v>
      </c>
      <c r="AC29" s="238"/>
      <c r="AD29" s="237">
        <f t="array" ref="AD29">SUMPRODUCT((YEAR(AD3)=YEAR($E$5:$E22))*(ROUNDUP(MONTH($E$5:$E22)/3,0)&lt;=AD4)*$C$5:$C22)+SUMIF(AE5:AE22,"&gt;0")+AD28</f>
        <v>0</v>
      </c>
      <c r="AE29" s="238"/>
    </row>
    <row r="30" spans="1:31">
      <c r="E30" s="228"/>
      <c r="F30" s="2024"/>
      <c r="G30" s="2024"/>
      <c r="H30" s="228"/>
      <c r="O30" s="228"/>
    </row>
    <row r="31" spans="1:31">
      <c r="A31" s="223" t="s">
        <v>525</v>
      </c>
      <c r="F31" s="2024"/>
      <c r="G31" s="2024"/>
    </row>
    <row r="32" spans="1:31">
      <c r="A32" s="230" t="s">
        <v>451</v>
      </c>
      <c r="B32" s="230"/>
      <c r="C32" s="230"/>
      <c r="D32" s="230"/>
      <c r="E32" s="325"/>
      <c r="F32" s="2024"/>
      <c r="G32" s="2024"/>
      <c r="H32" s="325"/>
      <c r="I32" s="230"/>
      <c r="J32" s="230"/>
      <c r="K32" s="230"/>
      <c r="L32" s="230"/>
      <c r="M32" s="230"/>
      <c r="N32" s="230"/>
      <c r="O32" s="325"/>
      <c r="P32" s="230"/>
      <c r="Q32" s="230"/>
      <c r="R32" s="230"/>
      <c r="S32" s="230"/>
      <c r="T32" s="230"/>
      <c r="U32" s="230"/>
      <c r="V32" s="230"/>
      <c r="W32" s="230"/>
      <c r="X32" s="230"/>
      <c r="Y32" s="230"/>
      <c r="Z32" s="230"/>
      <c r="AA32" s="230"/>
      <c r="AB32" s="230"/>
      <c r="AC32" s="230"/>
      <c r="AD32" s="230"/>
      <c r="AE32" s="230"/>
    </row>
    <row r="33" spans="1:31">
      <c r="A33" s="236" t="s">
        <v>526</v>
      </c>
      <c r="B33" s="236"/>
      <c r="C33" s="236"/>
      <c r="D33" s="236"/>
      <c r="E33" s="236"/>
      <c r="F33" s="2033"/>
      <c r="G33" s="2034">
        <v>0</v>
      </c>
      <c r="H33" s="240"/>
      <c r="I33" s="239">
        <f>SUMIF(I5:I22,"&lt;0")+I32</f>
        <v>0</v>
      </c>
      <c r="J33" s="240"/>
      <c r="K33" s="239">
        <f>SUMIF(K5:K22,"&lt;0")+K32</f>
        <v>0</v>
      </c>
      <c r="L33" s="240"/>
      <c r="M33" s="239">
        <f>SUMIF(M5:M22,"&lt;0")+M32</f>
        <v>0</v>
      </c>
      <c r="N33" s="240"/>
      <c r="O33" s="239">
        <f>SUMIF(O5:O22,"&lt;0")+O32</f>
        <v>-2671203.5474885241</v>
      </c>
      <c r="P33" s="240"/>
      <c r="Q33" s="239">
        <f>SUMIF(Q5:Q22,"&lt;0")+Q32</f>
        <v>-435000</v>
      </c>
      <c r="R33" s="240"/>
      <c r="S33" s="239">
        <f>SUMIF(S5:S22,"&lt;0")+S32</f>
        <v>-1052241.1000000001</v>
      </c>
      <c r="T33" s="240"/>
      <c r="U33" s="239">
        <f>SUMIF(U5:U22,"&lt;0")+U32</f>
        <v>0</v>
      </c>
      <c r="V33" s="240"/>
      <c r="W33" s="239">
        <f>SUMIF(W5:W22,"&lt;0")+W32</f>
        <v>-7309780.3348903265</v>
      </c>
      <c r="X33" s="240"/>
      <c r="Y33" s="239">
        <f>SUMIF(Y5:Y22,"&lt;0")+Y32</f>
        <v>-890000</v>
      </c>
      <c r="Z33" s="240"/>
      <c r="AA33" s="239">
        <f>SUMIF(AA5:AA22,"&lt;0")+AA32</f>
        <v>-390000</v>
      </c>
      <c r="AB33" s="240"/>
      <c r="AC33" s="239">
        <f>SUMIF(AC5:AC22,"&lt;0")+AC32</f>
        <v>0</v>
      </c>
      <c r="AD33" s="240"/>
      <c r="AE33" s="239">
        <f>SUMIF(AE5:AE22,"&lt;0")+AE32</f>
        <v>0</v>
      </c>
    </row>
    <row r="35" spans="1:31">
      <c r="A35" s="234" t="s">
        <v>563</v>
      </c>
    </row>
    <row r="36" spans="1:31">
      <c r="A36" s="243" t="s">
        <v>564</v>
      </c>
    </row>
    <row r="37" spans="1:31">
      <c r="A37" s="243" t="s">
        <v>565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4">
    <tabColor rgb="FFD9E1F2"/>
  </sheetPr>
  <dimension ref="A1:O56"/>
  <sheetViews>
    <sheetView showGridLines="0" zoomScale="80" zoomScaleNormal="7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C26" sqref="C26:N26"/>
    </sheetView>
  </sheetViews>
  <sheetFormatPr defaultRowHeight="14.4"/>
  <cols>
    <col min="1" max="1" width="42.578125" bestFit="1" customWidth="1"/>
    <col min="2" max="2" width="15.68359375" style="649" bestFit="1" customWidth="1"/>
    <col min="3" max="4" width="14.578125" bestFit="1" customWidth="1"/>
    <col min="5" max="6" width="15" bestFit="1" customWidth="1"/>
    <col min="7" max="7" width="14.578125" bestFit="1" customWidth="1"/>
    <col min="8" max="9" width="15.68359375" bestFit="1" customWidth="1"/>
    <col min="10" max="10" width="15.41796875" bestFit="1" customWidth="1"/>
    <col min="11" max="11" width="16.68359375" bestFit="1" customWidth="1"/>
    <col min="12" max="12" width="16" bestFit="1" customWidth="1"/>
    <col min="13" max="13" width="14.68359375" bestFit="1" customWidth="1"/>
    <col min="14" max="14" width="15" bestFit="1" customWidth="1"/>
    <col min="15" max="15" width="23.578125" bestFit="1" customWidth="1"/>
    <col min="16" max="16" width="31.578125" bestFit="1" customWidth="1"/>
    <col min="17" max="17" width="14.68359375" bestFit="1" customWidth="1"/>
    <col min="18" max="18" width="16" bestFit="1" customWidth="1"/>
    <col min="19" max="19" width="6.26171875" bestFit="1" customWidth="1"/>
  </cols>
  <sheetData>
    <row r="1" spans="1:15" s="25" customFormat="1" ht="18.3" customHeight="1">
      <c r="A1" s="818" t="s">
        <v>566</v>
      </c>
      <c r="B1" s="787"/>
      <c r="C1" s="766"/>
      <c r="D1" s="766"/>
      <c r="E1" s="766"/>
      <c r="F1" s="766"/>
      <c r="G1" s="766"/>
      <c r="H1" s="766"/>
      <c r="I1" s="766"/>
    </row>
    <row r="2" spans="1:15" ht="15.6" customHeight="1">
      <c r="A2" s="819"/>
      <c r="B2" s="2103">
        <v>45657</v>
      </c>
      <c r="C2" s="1814">
        <f>+lgh_bs!E2</f>
        <v>45747</v>
      </c>
      <c r="D2" s="1828">
        <f>+lgh_bs!F2</f>
        <v>45838</v>
      </c>
      <c r="E2" s="1828">
        <f>+lgh_bs!G2</f>
        <v>45930</v>
      </c>
      <c r="F2" s="1828">
        <f>+lgh_bs!H2</f>
        <v>46022</v>
      </c>
      <c r="G2" s="1814">
        <f>+lgh_bs!I2</f>
        <v>46112</v>
      </c>
      <c r="H2" s="1828">
        <f>+lgh_bs!J2</f>
        <v>46203</v>
      </c>
      <c r="I2" s="1828">
        <f>+lgh_bs!K2</f>
        <v>46295</v>
      </c>
      <c r="J2" s="1828">
        <f>+lgh_bs!L2</f>
        <v>46387</v>
      </c>
      <c r="K2" s="1814">
        <f>+lgh_bs!M2</f>
        <v>46752</v>
      </c>
      <c r="L2" s="1814">
        <f>+lgh_bs!N2</f>
        <v>47118</v>
      </c>
      <c r="M2" s="1814">
        <f>+lgh_bs!O2</f>
        <v>47483</v>
      </c>
      <c r="N2" s="1802">
        <f>+lgh_bs!P2</f>
        <v>47848</v>
      </c>
    </row>
    <row r="3" spans="1:15">
      <c r="A3" s="766"/>
      <c r="B3" s="2104" t="s">
        <v>2</v>
      </c>
      <c r="C3" s="1815" t="str">
        <f>+lgh_bs!E3</f>
        <v>Q1</v>
      </c>
      <c r="D3" s="1829" t="str">
        <f>+lgh_bs!F3</f>
        <v>Q2</v>
      </c>
      <c r="E3" s="1829" t="str">
        <f>+lgh_bs!G3</f>
        <v>Q3</v>
      </c>
      <c r="F3" s="1829" t="str">
        <f>+lgh_bs!H3</f>
        <v>Q4</v>
      </c>
      <c r="G3" s="1815" t="str">
        <f>+lgh_bs!I3</f>
        <v>Q1</v>
      </c>
      <c r="H3" s="1829" t="str">
        <f>+lgh_bs!J3</f>
        <v>Q2</v>
      </c>
      <c r="I3" s="1829" t="str">
        <f>+lgh_bs!K3</f>
        <v>Q3</v>
      </c>
      <c r="J3" s="1829" t="str">
        <f>+lgh_bs!L3</f>
        <v>Q4</v>
      </c>
      <c r="K3" s="1712" t="str">
        <f>+lgh_bs!M3</f>
        <v>Q4</v>
      </c>
      <c r="L3" s="1712" t="str">
        <f>+lgh_bs!N3</f>
        <v>Q4</v>
      </c>
      <c r="M3" s="1712" t="str">
        <f>+lgh_bs!O3</f>
        <v>Q4</v>
      </c>
      <c r="N3" s="1710" t="str">
        <f>+lgh_bs!P3</f>
        <v>Q4</v>
      </c>
      <c r="O3" s="5" t="s">
        <v>567</v>
      </c>
    </row>
    <row r="4" spans="1:15">
      <c r="A4" s="797" t="s">
        <v>568</v>
      </c>
      <c r="B4" s="2105"/>
      <c r="C4" s="1816"/>
      <c r="D4" s="1830"/>
      <c r="E4" s="1830"/>
      <c r="F4" s="1830"/>
      <c r="G4" s="1816"/>
      <c r="H4" s="1830"/>
      <c r="I4" s="1830"/>
      <c r="J4" s="1830"/>
      <c r="K4" s="1816"/>
      <c r="L4" s="1816"/>
      <c r="M4" s="1816"/>
      <c r="N4" s="1803"/>
    </row>
    <row r="5" spans="1:15">
      <c r="A5" s="27" t="s">
        <v>569</v>
      </c>
      <c r="B5" s="2108"/>
      <c r="C5" s="1819"/>
      <c r="D5" s="1833"/>
      <c r="E5" s="1833"/>
      <c r="F5" s="1844"/>
      <c r="G5" s="1819"/>
      <c r="H5" s="1833"/>
      <c r="I5" s="1833"/>
      <c r="J5" s="1833"/>
      <c r="K5" s="1819"/>
      <c r="L5" s="1819"/>
      <c r="M5" s="1819"/>
      <c r="N5" s="1806"/>
    </row>
    <row r="6" spans="1:15">
      <c r="A6" s="511" t="s">
        <v>570</v>
      </c>
      <c r="B6" s="2108"/>
      <c r="C6" s="1820"/>
      <c r="D6" s="1834"/>
      <c r="E6" s="1834"/>
      <c r="F6" s="1845"/>
      <c r="G6" s="1820"/>
      <c r="H6" s="1834"/>
      <c r="I6" s="1834"/>
      <c r="J6" s="1834"/>
      <c r="K6" s="1820">
        <v>-12500000</v>
      </c>
      <c r="L6" s="1820"/>
      <c r="M6" s="1820"/>
      <c r="N6" s="1807"/>
    </row>
    <row r="7" spans="1:15">
      <c r="A7" s="511"/>
      <c r="B7" s="2108"/>
      <c r="C7" s="1820"/>
      <c r="D7" s="1834"/>
      <c r="E7" s="1834"/>
      <c r="F7" s="1845"/>
      <c r="G7" s="1820"/>
      <c r="H7" s="1834"/>
      <c r="I7" s="1834"/>
      <c r="J7" s="1834"/>
      <c r="K7" s="1820"/>
      <c r="L7" s="1820"/>
      <c r="M7" s="1820"/>
      <c r="N7" s="1807"/>
    </row>
    <row r="8" spans="1:15">
      <c r="A8" s="749" t="s">
        <v>32</v>
      </c>
      <c r="B8" s="2107">
        <v>0</v>
      </c>
      <c r="C8" s="1818">
        <f t="shared" ref="C8:N8" si="0">SUM(C6:C7)</f>
        <v>0</v>
      </c>
      <c r="D8" s="1832">
        <f t="shared" si="0"/>
        <v>0</v>
      </c>
      <c r="E8" s="1832">
        <f t="shared" si="0"/>
        <v>0</v>
      </c>
      <c r="F8" s="1843">
        <f t="shared" si="0"/>
        <v>0</v>
      </c>
      <c r="G8" s="1818">
        <f t="shared" si="0"/>
        <v>0</v>
      </c>
      <c r="H8" s="1832">
        <f t="shared" si="0"/>
        <v>0</v>
      </c>
      <c r="I8" s="1832">
        <f t="shared" si="0"/>
        <v>0</v>
      </c>
      <c r="J8" s="1832">
        <f t="shared" si="0"/>
        <v>0</v>
      </c>
      <c r="K8" s="1818">
        <f t="shared" si="0"/>
        <v>-12500000</v>
      </c>
      <c r="L8" s="1818">
        <f t="shared" si="0"/>
        <v>0</v>
      </c>
      <c r="M8" s="1818">
        <f t="shared" si="0"/>
        <v>0</v>
      </c>
      <c r="N8" s="1805">
        <f t="shared" si="0"/>
        <v>0</v>
      </c>
    </row>
    <row r="9" spans="1:15">
      <c r="A9" s="1557" t="s">
        <v>571</v>
      </c>
      <c r="B9" s="2109"/>
      <c r="C9" s="1821"/>
      <c r="D9" s="166"/>
      <c r="E9" s="166"/>
      <c r="F9" s="1846"/>
      <c r="G9" s="1821"/>
      <c r="H9" s="166"/>
      <c r="I9" s="166"/>
      <c r="J9" s="166"/>
      <c r="K9" s="1821"/>
      <c r="L9" s="1821"/>
      <c r="M9" s="1821"/>
      <c r="N9" s="1808"/>
    </row>
    <row r="10" spans="1:15">
      <c r="A10" s="42" t="s">
        <v>18</v>
      </c>
      <c r="B10" s="2108"/>
      <c r="C10" s="1819"/>
      <c r="D10" s="1833"/>
      <c r="E10" s="1833"/>
      <c r="F10" s="1844"/>
      <c r="G10" s="1819"/>
      <c r="H10" s="1833"/>
      <c r="I10" s="1833"/>
      <c r="J10" s="1833"/>
      <c r="K10" s="1819"/>
      <c r="L10" s="1819"/>
      <c r="M10" s="1819"/>
      <c r="N10" s="1806"/>
    </row>
    <row r="11" spans="1:15" s="183" customFormat="1">
      <c r="A11" s="1555" t="s">
        <v>572</v>
      </c>
      <c r="B11" s="2110"/>
      <c r="C11" s="1822"/>
      <c r="D11" s="1835"/>
      <c r="E11" s="1836">
        <f>500000+1200000</f>
        <v>1700000</v>
      </c>
      <c r="F11" s="1835"/>
      <c r="G11" s="1822"/>
      <c r="H11" s="1835"/>
      <c r="I11" s="1835"/>
      <c r="J11" s="1835"/>
      <c r="K11" s="1822"/>
      <c r="L11" s="1822"/>
      <c r="M11" s="1822"/>
      <c r="N11" s="1809"/>
    </row>
    <row r="12" spans="1:15" s="183" customFormat="1">
      <c r="A12" s="1555" t="s">
        <v>573</v>
      </c>
      <c r="B12" s="2110"/>
      <c r="C12" s="1822"/>
      <c r="D12" s="1835"/>
      <c r="E12" s="1835"/>
      <c r="F12" s="1835"/>
      <c r="G12" s="1822"/>
      <c r="H12" s="1835"/>
      <c r="I12" s="1835"/>
      <c r="J12" s="1835"/>
      <c r="K12" s="1822"/>
      <c r="L12" s="1822"/>
      <c r="M12" s="1822"/>
      <c r="N12" s="1809"/>
    </row>
    <row r="13" spans="1:15" s="183" customFormat="1">
      <c r="A13" s="1555" t="s">
        <v>574</v>
      </c>
      <c r="B13" s="2110"/>
      <c r="C13" s="1822"/>
      <c r="D13" s="1835"/>
      <c r="E13" s="1835"/>
      <c r="F13" s="1835"/>
      <c r="G13" s="1822"/>
      <c r="H13" s="1835"/>
      <c r="I13" s="1835"/>
      <c r="J13" s="1835"/>
      <c r="K13" s="1822"/>
      <c r="L13" s="1817">
        <f>-austin_cs2!O26</f>
        <v>0</v>
      </c>
      <c r="M13" s="1822"/>
      <c r="N13" s="1809"/>
    </row>
    <row r="14" spans="1:15" s="183" customFormat="1">
      <c r="A14" s="1555" t="s">
        <v>575</v>
      </c>
      <c r="B14" s="2110"/>
      <c r="C14" s="1822"/>
      <c r="D14" s="1835"/>
      <c r="E14" s="1835"/>
      <c r="F14" s="1835"/>
      <c r="G14" s="1822"/>
      <c r="H14" s="1835"/>
      <c r="I14" s="1835"/>
      <c r="J14" s="1835"/>
      <c r="K14" s="1822"/>
      <c r="L14" s="1822"/>
      <c r="M14" s="1822"/>
      <c r="N14" s="1809"/>
    </row>
    <row r="15" spans="1:15" s="183" customFormat="1">
      <c r="A15" s="1555" t="s">
        <v>576</v>
      </c>
      <c r="B15" s="2110"/>
      <c r="C15" s="1822"/>
      <c r="D15" s="1836">
        <v>1291832</v>
      </c>
      <c r="E15" s="1835"/>
      <c r="F15" s="1835"/>
      <c r="G15" s="1822"/>
      <c r="H15" s="1835"/>
      <c r="I15" s="1835"/>
      <c r="J15" s="1835"/>
      <c r="K15" s="1822"/>
      <c r="L15" s="1822"/>
      <c r="M15" s="1822"/>
      <c r="N15" s="1809"/>
    </row>
    <row r="16" spans="1:15" s="183" customFormat="1">
      <c r="A16" s="66" t="s">
        <v>321</v>
      </c>
      <c r="B16" s="2111">
        <v>0</v>
      </c>
      <c r="C16" s="138">
        <f t="shared" ref="C16:N16" si="1">SUM(C11:C15)</f>
        <v>0</v>
      </c>
      <c r="D16" s="1837">
        <f t="shared" si="1"/>
        <v>1291832</v>
      </c>
      <c r="E16" s="1837">
        <f t="shared" si="1"/>
        <v>1700000</v>
      </c>
      <c r="F16" s="1837">
        <f t="shared" si="1"/>
        <v>0</v>
      </c>
      <c r="G16" s="138">
        <f t="shared" si="1"/>
        <v>0</v>
      </c>
      <c r="H16" s="1837">
        <f t="shared" si="1"/>
        <v>0</v>
      </c>
      <c r="I16" s="1837">
        <f t="shared" si="1"/>
        <v>0</v>
      </c>
      <c r="J16" s="1837">
        <f t="shared" si="1"/>
        <v>0</v>
      </c>
      <c r="K16" s="138">
        <f t="shared" si="1"/>
        <v>0</v>
      </c>
      <c r="L16" s="138">
        <f t="shared" si="1"/>
        <v>0</v>
      </c>
      <c r="M16" s="138">
        <f t="shared" si="1"/>
        <v>0</v>
      </c>
      <c r="N16" s="389">
        <f t="shared" si="1"/>
        <v>0</v>
      </c>
    </row>
    <row r="17" spans="1:15">
      <c r="A17" s="42"/>
      <c r="B17" s="2088"/>
      <c r="C17" s="332"/>
      <c r="D17" s="1726"/>
      <c r="E17" s="1726"/>
      <c r="F17" s="1726"/>
      <c r="G17" s="332"/>
      <c r="H17" s="1726"/>
      <c r="I17" s="1726"/>
      <c r="J17" s="1726"/>
      <c r="K17" s="332"/>
      <c r="L17" s="332"/>
      <c r="M17" s="332"/>
      <c r="N17" s="390"/>
    </row>
    <row r="18" spans="1:15">
      <c r="A18" s="42" t="s">
        <v>24</v>
      </c>
      <c r="B18" s="2088"/>
      <c r="C18" s="332"/>
      <c r="D18" s="1726"/>
      <c r="E18" s="1726"/>
      <c r="F18" s="1726"/>
      <c r="G18" s="332"/>
      <c r="H18" s="1726"/>
      <c r="I18" s="1726"/>
      <c r="J18" s="1726"/>
      <c r="K18" s="332"/>
      <c r="L18" s="332"/>
      <c r="M18" s="332"/>
      <c r="N18" s="390"/>
    </row>
    <row r="19" spans="1:15">
      <c r="A19" s="25" t="str">
        <f>+A11</f>
        <v>7e Condo (Sardis Lone Star III LLC)</v>
      </c>
      <c r="B19" s="2110"/>
      <c r="C19" s="1822"/>
      <c r="D19" s="1835"/>
      <c r="E19" s="1835"/>
      <c r="F19" s="1835"/>
      <c r="G19" s="1822"/>
      <c r="H19" s="1835"/>
      <c r="I19" s="1835"/>
      <c r="J19" s="1835"/>
      <c r="K19" s="1822"/>
      <c r="L19" s="1822"/>
      <c r="M19" s="1822"/>
      <c r="N19" s="1809"/>
    </row>
    <row r="20" spans="1:15" s="183" customFormat="1">
      <c r="A20" s="25" t="str">
        <f>+A12</f>
        <v>7e condo escrow</v>
      </c>
      <c r="B20" s="2110"/>
      <c r="C20" s="1822"/>
      <c r="D20" s="1835"/>
      <c r="E20" s="1836">
        <v>-300000</v>
      </c>
      <c r="F20" s="1835"/>
      <c r="G20" s="1822"/>
      <c r="H20" s="1835"/>
      <c r="I20" s="1835"/>
      <c r="J20" s="1835"/>
      <c r="K20" s="1822"/>
      <c r="L20" s="1822"/>
      <c r="M20" s="1822"/>
      <c r="N20" s="1809"/>
    </row>
    <row r="21" spans="1:15" s="183" customFormat="1">
      <c r="A21" s="25" t="str">
        <f>+A14</f>
        <v>art (write down to zero against cuda)</v>
      </c>
      <c r="B21" s="2110"/>
      <c r="C21" s="1822"/>
      <c r="D21" s="1831"/>
      <c r="E21" s="1835"/>
      <c r="F21" s="1835"/>
      <c r="G21" s="1822"/>
      <c r="H21" s="1835"/>
      <c r="I21" s="1835"/>
      <c r="J21" s="1835"/>
      <c r="K21" s="1822"/>
      <c r="L21" s="1822"/>
      <c r="M21" s="1822"/>
      <c r="N21" s="1809"/>
    </row>
    <row r="22" spans="1:15" s="183" customFormat="1">
      <c r="A22" s="25" t="str">
        <f>+A15</f>
        <v>Due to Related Party (Roots GL 2021)</v>
      </c>
      <c r="B22" s="2110"/>
      <c r="C22" s="1822"/>
      <c r="D22" s="1835"/>
      <c r="E22" s="1835"/>
      <c r="F22" s="1835"/>
      <c r="G22" s="1822"/>
      <c r="H22" s="1835"/>
      <c r="I22" s="1835"/>
      <c r="J22" s="1835"/>
      <c r="K22" s="1822"/>
      <c r="L22" s="1822"/>
      <c r="M22" s="1822"/>
      <c r="N22" s="1809"/>
    </row>
    <row r="23" spans="1:15" s="183" customFormat="1">
      <c r="A23" s="25" t="s">
        <v>577</v>
      </c>
      <c r="B23" s="2109">
        <v>-1540999</v>
      </c>
      <c r="C23" s="1821">
        <f t="shared" ref="C23:N23" si="2">-(C43-B43)</f>
        <v>-240715.49750000006</v>
      </c>
      <c r="D23" s="166">
        <f t="shared" si="2"/>
        <v>-240715.49750000006</v>
      </c>
      <c r="E23" s="166">
        <f t="shared" si="2"/>
        <v>19284.502499999944</v>
      </c>
      <c r="F23" s="1860">
        <f t="shared" si="2"/>
        <v>98144.502499999944</v>
      </c>
      <c r="G23" s="1821">
        <f t="shared" si="2"/>
        <v>-755115.46625000006</v>
      </c>
      <c r="H23" s="166">
        <f t="shared" si="2"/>
        <v>11779.310000000056</v>
      </c>
      <c r="I23" s="166">
        <f t="shared" si="2"/>
        <v>-68674.990000000224</v>
      </c>
      <c r="J23" s="166">
        <f t="shared" si="2"/>
        <v>1212477.3599999996</v>
      </c>
      <c r="K23" s="1821">
        <f t="shared" si="2"/>
        <v>1504534.7762500008</v>
      </c>
      <c r="L23" s="1821">
        <f t="shared" si="2"/>
        <v>0</v>
      </c>
      <c r="M23" s="1821">
        <f t="shared" si="2"/>
        <v>0</v>
      </c>
      <c r="N23" s="1808">
        <f t="shared" si="2"/>
        <v>0</v>
      </c>
    </row>
    <row r="24" spans="1:15" s="183" customFormat="1">
      <c r="A24" s="66" t="s">
        <v>323</v>
      </c>
      <c r="B24" s="2111">
        <v>-1540999</v>
      </c>
      <c r="C24" s="138">
        <f t="shared" ref="C24:N24" si="3">SUM(C19:C23)</f>
        <v>-240715.49750000006</v>
      </c>
      <c r="D24" s="1837">
        <f t="shared" si="3"/>
        <v>-240715.49750000006</v>
      </c>
      <c r="E24" s="1837">
        <f t="shared" si="3"/>
        <v>-280715.49750000006</v>
      </c>
      <c r="F24" s="1837">
        <f t="shared" si="3"/>
        <v>98144.502499999944</v>
      </c>
      <c r="G24" s="138">
        <f t="shared" si="3"/>
        <v>-755115.46625000006</v>
      </c>
      <c r="H24" s="1837">
        <f t="shared" si="3"/>
        <v>11779.310000000056</v>
      </c>
      <c r="I24" s="1837">
        <f t="shared" si="3"/>
        <v>-68674.990000000224</v>
      </c>
      <c r="J24" s="1837">
        <f t="shared" si="3"/>
        <v>1212477.3599999996</v>
      </c>
      <c r="K24" s="138">
        <f t="shared" si="3"/>
        <v>1504534.7762500008</v>
      </c>
      <c r="L24" s="138">
        <f t="shared" si="3"/>
        <v>0</v>
      </c>
      <c r="M24" s="138">
        <f t="shared" si="3"/>
        <v>0</v>
      </c>
      <c r="N24" s="389">
        <f t="shared" si="3"/>
        <v>0</v>
      </c>
    </row>
    <row r="25" spans="1:15">
      <c r="A25" s="42"/>
      <c r="B25" s="2088"/>
      <c r="C25" s="332"/>
      <c r="D25" s="1726"/>
      <c r="E25" s="1726"/>
      <c r="F25" s="1726"/>
      <c r="G25" s="332"/>
      <c r="H25" s="1726"/>
      <c r="I25" s="1726"/>
      <c r="J25" s="1726"/>
      <c r="K25" s="332"/>
      <c r="L25" s="332"/>
      <c r="M25" s="332"/>
      <c r="N25" s="390"/>
    </row>
    <row r="26" spans="1:15">
      <c r="A26" s="201" t="s">
        <v>32</v>
      </c>
      <c r="B26" s="2112">
        <v>-1540999</v>
      </c>
      <c r="C26" s="1823">
        <f t="shared" ref="C26:N26" si="4">C24+C16+C8</f>
        <v>-240715.49750000006</v>
      </c>
      <c r="D26" s="1823">
        <f t="shared" si="4"/>
        <v>1051116.5024999999</v>
      </c>
      <c r="E26" s="1823">
        <f t="shared" si="4"/>
        <v>1419284.5024999999</v>
      </c>
      <c r="F26" s="1823">
        <f t="shared" si="4"/>
        <v>98144.502499999944</v>
      </c>
      <c r="G26" s="1823">
        <f t="shared" si="4"/>
        <v>-755115.46625000006</v>
      </c>
      <c r="H26" s="1823">
        <f t="shared" si="4"/>
        <v>11779.310000000056</v>
      </c>
      <c r="I26" s="1823">
        <f t="shared" si="4"/>
        <v>-68674.990000000224</v>
      </c>
      <c r="J26" s="1823">
        <f t="shared" si="4"/>
        <v>1212477.3599999996</v>
      </c>
      <c r="K26" s="1823">
        <f t="shared" si="4"/>
        <v>-10995465.223749999</v>
      </c>
      <c r="L26" s="1823">
        <f t="shared" si="4"/>
        <v>0</v>
      </c>
      <c r="M26" s="1823">
        <f t="shared" si="4"/>
        <v>0</v>
      </c>
      <c r="N26" s="1823">
        <f t="shared" si="4"/>
        <v>0</v>
      </c>
    </row>
    <row r="27" spans="1:15">
      <c r="A27" s="42"/>
      <c r="B27" s="2088"/>
      <c r="C27" s="332"/>
      <c r="D27" s="1726"/>
      <c r="E27" s="1726"/>
      <c r="F27" s="1726"/>
      <c r="G27" s="332"/>
      <c r="H27" s="1726"/>
      <c r="I27" s="1726"/>
      <c r="J27" s="1726"/>
      <c r="K27" s="332"/>
      <c r="L27" s="332"/>
      <c r="M27" s="332"/>
      <c r="N27" s="390"/>
    </row>
    <row r="28" spans="1:15">
      <c r="A28" s="5"/>
      <c r="B28" s="2081"/>
      <c r="C28" s="47"/>
      <c r="D28" s="1591"/>
      <c r="E28" s="1591"/>
      <c r="F28" s="1591"/>
      <c r="G28" s="47"/>
      <c r="H28" s="1591"/>
      <c r="I28" s="1591"/>
      <c r="J28" s="1591"/>
      <c r="K28" s="47"/>
      <c r="L28" s="47"/>
      <c r="M28" s="47"/>
      <c r="N28" s="319"/>
    </row>
    <row r="29" spans="1:15" s="25" customFormat="1">
      <c r="A29" s="1556" t="s">
        <v>578</v>
      </c>
      <c r="B29" s="2113"/>
      <c r="C29" s="1824"/>
      <c r="D29" s="1838"/>
      <c r="E29" s="1838"/>
      <c r="F29" s="1838"/>
      <c r="G29" s="1824"/>
      <c r="H29" s="1838"/>
      <c r="I29" s="1838"/>
      <c r="J29" s="1838"/>
      <c r="K29" s="1824"/>
      <c r="L29" s="1824"/>
      <c r="M29" s="1824"/>
      <c r="N29" s="1810"/>
      <c r="O29" s="25" t="s">
        <v>579</v>
      </c>
    </row>
    <row r="30" spans="1:15">
      <c r="A30" t="s">
        <v>232</v>
      </c>
      <c r="O30" t="s">
        <v>580</v>
      </c>
    </row>
    <row r="31" spans="1:15">
      <c r="A31" t="s">
        <v>233</v>
      </c>
      <c r="B31" s="2110"/>
      <c r="C31" s="1817"/>
      <c r="D31" s="1835"/>
      <c r="E31" s="1835"/>
      <c r="F31" s="1835"/>
      <c r="G31" s="1822"/>
      <c r="H31" s="1835"/>
      <c r="I31" s="1831"/>
      <c r="J31" s="1835"/>
      <c r="K31" s="1817">
        <v>12500000</v>
      </c>
      <c r="L31" s="1817">
        <f>+AVERAGE(M31,K31)</f>
        <v>18750000</v>
      </c>
      <c r="M31" s="1817">
        <v>25000000</v>
      </c>
      <c r="N31" s="1804">
        <v>45000000</v>
      </c>
      <c r="O31" t="s">
        <v>189</v>
      </c>
    </row>
    <row r="32" spans="1:15">
      <c r="A32" s="66" t="s">
        <v>581</v>
      </c>
      <c r="B32" s="2107">
        <v>0</v>
      </c>
      <c r="C32" s="1818">
        <f t="shared" ref="C32:N32" si="5">SUM(C31:C31)</f>
        <v>0</v>
      </c>
      <c r="D32" s="1832">
        <f t="shared" si="5"/>
        <v>0</v>
      </c>
      <c r="E32" s="1832">
        <f t="shared" si="5"/>
        <v>0</v>
      </c>
      <c r="F32" s="1832">
        <f t="shared" si="5"/>
        <v>0</v>
      </c>
      <c r="G32" s="1818">
        <f t="shared" si="5"/>
        <v>0</v>
      </c>
      <c r="H32" s="1832">
        <f t="shared" si="5"/>
        <v>0</v>
      </c>
      <c r="I32" s="1832">
        <f t="shared" si="5"/>
        <v>0</v>
      </c>
      <c r="J32" s="1832">
        <f t="shared" si="5"/>
        <v>0</v>
      </c>
      <c r="K32" s="1818">
        <f t="shared" si="5"/>
        <v>12500000</v>
      </c>
      <c r="L32" s="1818">
        <f t="shared" si="5"/>
        <v>18750000</v>
      </c>
      <c r="M32" s="1818">
        <f t="shared" si="5"/>
        <v>25000000</v>
      </c>
      <c r="N32" s="1805">
        <f t="shared" si="5"/>
        <v>45000000</v>
      </c>
    </row>
    <row r="33" spans="1:14">
      <c r="B33" s="2110"/>
      <c r="C33" s="1817"/>
      <c r="D33" s="1835"/>
      <c r="E33" s="1835"/>
      <c r="F33" s="1831"/>
      <c r="G33" s="1817"/>
      <c r="H33" s="1831"/>
      <c r="I33" s="1831"/>
      <c r="J33" s="1831"/>
      <c r="K33" s="1817"/>
      <c r="L33" s="1817"/>
      <c r="M33" s="1817"/>
      <c r="N33" s="1804"/>
    </row>
    <row r="34" spans="1:14">
      <c r="A34" t="s">
        <v>582</v>
      </c>
      <c r="B34" s="2110"/>
      <c r="C34" s="1817"/>
      <c r="D34" s="1835"/>
      <c r="E34" s="1835"/>
      <c r="F34" s="1835"/>
      <c r="G34" s="1822"/>
      <c r="H34" s="1835"/>
      <c r="I34" s="1831"/>
      <c r="J34" s="1835"/>
      <c r="K34" s="1817"/>
      <c r="L34" s="1817">
        <f>+K34*1.15</f>
        <v>0</v>
      </c>
      <c r="M34" s="1817">
        <f>+L34*1.15</f>
        <v>0</v>
      </c>
      <c r="N34" s="1804">
        <f>+M34*1.15</f>
        <v>0</v>
      </c>
    </row>
    <row r="35" spans="1:14">
      <c r="A35" s="66" t="s">
        <v>193</v>
      </c>
      <c r="B35" s="2107">
        <v>0</v>
      </c>
      <c r="C35" s="1818">
        <f t="shared" ref="C35:N35" si="6">SUM(C33:C34)</f>
        <v>0</v>
      </c>
      <c r="D35" s="1832">
        <f t="shared" si="6"/>
        <v>0</v>
      </c>
      <c r="E35" s="1832">
        <f t="shared" si="6"/>
        <v>0</v>
      </c>
      <c r="F35" s="1832">
        <f t="shared" si="6"/>
        <v>0</v>
      </c>
      <c r="G35" s="1818">
        <f t="shared" si="6"/>
        <v>0</v>
      </c>
      <c r="H35" s="1832">
        <f t="shared" si="6"/>
        <v>0</v>
      </c>
      <c r="I35" s="1832">
        <f t="shared" si="6"/>
        <v>0</v>
      </c>
      <c r="J35" s="1832">
        <f t="shared" si="6"/>
        <v>0</v>
      </c>
      <c r="K35" s="1818">
        <f t="shared" si="6"/>
        <v>0</v>
      </c>
      <c r="L35" s="1818">
        <f t="shared" si="6"/>
        <v>0</v>
      </c>
      <c r="M35" s="1818">
        <f t="shared" si="6"/>
        <v>0</v>
      </c>
      <c r="N35" s="1805">
        <f t="shared" si="6"/>
        <v>0</v>
      </c>
    </row>
    <row r="36" spans="1:14">
      <c r="A36" s="23" t="s">
        <v>583</v>
      </c>
      <c r="B36" s="2109"/>
      <c r="C36" s="1821"/>
      <c r="D36" s="166"/>
      <c r="E36" s="166"/>
      <c r="F36" s="166"/>
      <c r="G36" s="1821"/>
      <c r="H36" s="166"/>
      <c r="I36" s="166"/>
      <c r="J36" s="1847" t="e">
        <f>XIRR(CHOOSE({1,2,3},sat_cs2!$H$26,sat_cs2!$I$26,sat_cs2!J26+sat_cs2!J33),CHOOSE({1,2,3},$H$2,$I$2,J2))</f>
        <v>#NUM!</v>
      </c>
      <c r="K36" s="1849">
        <f>XIRR(CHOOSE({1,2,3,4},sat_cs2!$H$26,sat_cs2!$I$26,sat_cs2!$J$26,sat_cs2!K26+sat_cs2!K33),CHOOSE({1,2,3,4},$H$2,$I$2,$J$2,K2))</f>
        <v>2.9802322387695314E-9</v>
      </c>
      <c r="L36" s="1849">
        <f>XIRR(CHOOSE({1,2,3,4,5},sat_cs2!$H$26,sat_cs2!$I$26,sat_cs2!$J$26,sat_cs2!$K$26,sat_cs2!L26+sat_cs2!L33),CHOOSE({1,2,3,4,5},$H$2,$I$2,$J$2,$K$2,L2))</f>
        <v>2.9802322387695314E-9</v>
      </c>
      <c r="M36" s="1849">
        <f>XIRR(CHOOSE({1,2,3,4,5,6},sat_cs2!$H$26,sat_cs2!$I$26,sat_cs2!$J$26,sat_cs2!$K$26,sat_cs2!$L$26,sat_cs2!M26+sat_cs2!M33),CHOOSE({1,2,3,4,5,6},$H$2,$I$2,$J$2,$K$2,$L$2,M2))</f>
        <v>2.9802322387695314E-9</v>
      </c>
      <c r="N36" s="1848">
        <f>XIRR(CHOOSE({1,2,3,4,5,6,7},sat_cs2!$H$26,sat_cs2!$I$26,sat_cs2!$J$26,sat_cs2!$K$26,sat_cs2!$L$26,sat_cs2!$M$26,sat_cs2!N26+sat_cs2!N33),CHOOSE({1,2,3,4,5,6,7},$H$2,$I$2,$J$2,$K$2,$L$2,$M$2,N2))</f>
        <v>2.9802322387695314E-9</v>
      </c>
    </row>
    <row r="37" spans="1:14" s="183" customFormat="1">
      <c r="A37" s="23" t="s">
        <v>584</v>
      </c>
      <c r="B37" s="2109"/>
      <c r="C37" s="1821"/>
      <c r="D37" s="166"/>
      <c r="E37" s="166"/>
      <c r="F37" s="166"/>
      <c r="G37" s="1821"/>
      <c r="H37" s="166"/>
      <c r="I37" s="166"/>
      <c r="J37" s="1847"/>
      <c r="K37" s="1821"/>
      <c r="L37" s="1821">
        <f>XIRR(CHOOSE({1,2},$K$8,L8+L31),CHOOSE({1,2},$K$2,L2))</f>
        <v>0.49833918213844297</v>
      </c>
      <c r="M37" s="1821">
        <f>XIRR(CHOOSE({1,2,3},$K$8,$L$8,M8+M31),CHOOSE({1,2,3},$K$2,$L$2,M2))</f>
        <v>0.41354323029518125</v>
      </c>
      <c r="N37" s="1852">
        <f>XIRR(CHOOSE({1,2,3,4},$K$8,$L$8,$M$8,N8+N31),CHOOSE({1,2,3,4},$K$2,$L$2,$M$2,N2))</f>
        <v>0.53202190995216359</v>
      </c>
    </row>
    <row r="38" spans="1:14" s="183" customFormat="1">
      <c r="B38" s="2114"/>
      <c r="C38" s="1819"/>
      <c r="D38" s="1839"/>
      <c r="E38" s="1839"/>
      <c r="F38" s="1839"/>
      <c r="G38" s="1825"/>
      <c r="H38" s="1839"/>
      <c r="I38" s="1833"/>
      <c r="J38" s="1839"/>
      <c r="K38" s="1825"/>
      <c r="L38" s="1825"/>
      <c r="M38" s="1825"/>
      <c r="N38" s="1811"/>
    </row>
    <row r="39" spans="1:14" s="183" customFormat="1" ht="28.8" customHeight="1">
      <c r="A39" s="221" t="s">
        <v>585</v>
      </c>
      <c r="B39" s="2106">
        <v>-144299.85</v>
      </c>
      <c r="C39" s="1817">
        <f t="shared" ref="C39:N39" si="7">B39-C15</f>
        <v>-144299.85</v>
      </c>
      <c r="D39" s="1831">
        <f t="shared" si="7"/>
        <v>-1436131.85</v>
      </c>
      <c r="E39" s="1831">
        <f t="shared" si="7"/>
        <v>-1436131.85</v>
      </c>
      <c r="F39" s="1831">
        <f t="shared" si="7"/>
        <v>-1436131.85</v>
      </c>
      <c r="G39" s="1817">
        <f t="shared" si="7"/>
        <v>-1436131.85</v>
      </c>
      <c r="H39" s="1831">
        <f t="shared" si="7"/>
        <v>-1436131.85</v>
      </c>
      <c r="I39" s="1831">
        <f t="shared" si="7"/>
        <v>-1436131.85</v>
      </c>
      <c r="J39" s="1831">
        <f t="shared" si="7"/>
        <v>-1436131.85</v>
      </c>
      <c r="K39" s="1817">
        <f t="shared" si="7"/>
        <v>-1436131.85</v>
      </c>
      <c r="L39" s="1817">
        <f t="shared" si="7"/>
        <v>-1436131.85</v>
      </c>
      <c r="M39" s="1817">
        <f t="shared" si="7"/>
        <v>-1436131.85</v>
      </c>
      <c r="N39" s="1804">
        <f t="shared" si="7"/>
        <v>-1436131.85</v>
      </c>
    </row>
    <row r="40" spans="1:14" s="183" customFormat="1">
      <c r="A40" s="221"/>
      <c r="B40" s="2106"/>
      <c r="C40" s="1826"/>
      <c r="D40" s="1840"/>
      <c r="E40" s="1840"/>
      <c r="F40" s="1840"/>
      <c r="G40" s="1826"/>
      <c r="H40" s="1840"/>
      <c r="I40" s="1840"/>
      <c r="J40" s="1840"/>
      <c r="K40" s="1826"/>
      <c r="L40" s="1826"/>
      <c r="M40" s="1826"/>
      <c r="N40" s="1812"/>
    </row>
    <row r="41" spans="1:14" s="183" customFormat="1">
      <c r="A41" t="str">
        <f>+A11</f>
        <v>7e Condo (Sardis Lone Star III LLC)</v>
      </c>
      <c r="B41" s="2106">
        <v>705000</v>
      </c>
      <c r="C41" s="1817">
        <f>B41-C11</f>
        <v>705000</v>
      </c>
      <c r="D41" s="1831">
        <f>C41-D11</f>
        <v>705000</v>
      </c>
      <c r="E41" s="1831"/>
      <c r="F41" s="1831"/>
      <c r="G41" s="1817"/>
      <c r="H41" s="1831"/>
      <c r="I41" s="1831"/>
      <c r="J41" s="1831"/>
      <c r="K41" s="1817"/>
      <c r="L41" s="1817"/>
      <c r="M41" s="1817"/>
      <c r="N41" s="1804"/>
    </row>
    <row r="42" spans="1:14" s="183" customFormat="1">
      <c r="A42" t="str">
        <f>+A14</f>
        <v>art (write down to zero against cuda)</v>
      </c>
      <c r="B42" s="2106">
        <v>1324255</v>
      </c>
      <c r="C42" s="1817">
        <f>B42-C14</f>
        <v>1324255</v>
      </c>
      <c r="D42" s="1831">
        <f>C42-D14</f>
        <v>1324255</v>
      </c>
      <c r="E42" s="1831"/>
      <c r="F42" s="1831"/>
      <c r="G42" s="1817"/>
      <c r="H42" s="1831"/>
      <c r="I42" s="1831"/>
      <c r="J42" s="1831"/>
      <c r="K42" s="1817"/>
      <c r="L42" s="1817"/>
      <c r="M42" s="1817"/>
      <c r="N42" s="1804"/>
    </row>
    <row r="43" spans="1:14">
      <c r="A43" t="s">
        <v>577</v>
      </c>
      <c r="B43" s="2109">
        <v>1540999</v>
      </c>
      <c r="C43" s="1827">
        <f>-'c12_oc'!C55</f>
        <v>1781714.4975000001</v>
      </c>
      <c r="D43" s="1841">
        <f>-'c12_oc'!D55</f>
        <v>2022429.9950000001</v>
      </c>
      <c r="E43" s="1841">
        <f>-'c12_oc'!E55</f>
        <v>2003145.4925000002</v>
      </c>
      <c r="F43" s="1841">
        <f>-'c12_oc'!F55</f>
        <v>1905000.9900000002</v>
      </c>
      <c r="G43" s="1827">
        <f>-'c12_oc'!G55</f>
        <v>2660116.4562500003</v>
      </c>
      <c r="H43" s="1841">
        <f>-'c12_oc'!H55</f>
        <v>2648337.1462500002</v>
      </c>
      <c r="I43" s="1841">
        <f>-'c12_oc'!I55</f>
        <v>2717012.1362500004</v>
      </c>
      <c r="J43" s="1841">
        <f>-'c12_oc'!J55</f>
        <v>1504534.7762500008</v>
      </c>
      <c r="K43" s="1827">
        <f>-'c12_oc'!K55</f>
        <v>0</v>
      </c>
      <c r="L43" s="1827">
        <f>-'c12_oc'!L55</f>
        <v>0</v>
      </c>
      <c r="M43" s="1827">
        <f>-'c12_oc'!M55</f>
        <v>0</v>
      </c>
      <c r="N43" s="1813">
        <f>-'c12_oc'!N55</f>
        <v>0</v>
      </c>
    </row>
    <row r="44" spans="1:14">
      <c r="A44" t="s">
        <v>586</v>
      </c>
      <c r="B44" s="2109">
        <v>0</v>
      </c>
      <c r="C44" s="1827">
        <f>-austin_cs2!F64</f>
        <v>215000</v>
      </c>
      <c r="D44" s="1841">
        <f>-austin_cs2!G64</f>
        <v>289000</v>
      </c>
      <c r="E44" s="1841">
        <f>-austin_cs2!H64</f>
        <v>0</v>
      </c>
      <c r="F44" s="1841">
        <f>-austin_cs2!I64</f>
        <v>289495</v>
      </c>
      <c r="G44" s="1827">
        <f>-austin_cs2!J64</f>
        <v>1289495</v>
      </c>
      <c r="H44" s="1841">
        <f>-austin_cs2!K64</f>
        <v>1909495</v>
      </c>
      <c r="I44" s="1841">
        <f>-austin_cs2!L64</f>
        <v>1909495</v>
      </c>
      <c r="J44" s="1841">
        <f>-austin_cs2!M64</f>
        <v>2659495</v>
      </c>
      <c r="K44" s="1827">
        <f>-austin_cs2!N64</f>
        <v>3058419.2499999995</v>
      </c>
      <c r="L44" s="1827">
        <f>-austin_cs2!O64</f>
        <v>3517182.1374999993</v>
      </c>
      <c r="M44" s="1827">
        <f>-austin_cs2!P64</f>
        <v>0</v>
      </c>
      <c r="N44" s="1813">
        <f>-austin_cs2!Q64</f>
        <v>0</v>
      </c>
    </row>
    <row r="45" spans="1:14">
      <c r="A45" t="s">
        <v>587</v>
      </c>
      <c r="B45" s="2109">
        <v>0</v>
      </c>
      <c r="C45" s="1827">
        <f>+'c12_oc'!C60</f>
        <v>416032.5</v>
      </c>
      <c r="D45" s="1841">
        <f>+'c12_oc'!D60</f>
        <v>3082065</v>
      </c>
      <c r="E45" s="1841">
        <f>+'c12_oc'!E60</f>
        <v>4373097.5</v>
      </c>
      <c r="F45" s="1841">
        <f>+'c12_oc'!F60</f>
        <v>5365480</v>
      </c>
      <c r="G45" s="1827">
        <f>+'c12_oc'!G60</f>
        <v>6120868.6799999997</v>
      </c>
      <c r="H45" s="1841">
        <f>+'c12_oc'!H60</f>
        <v>5640774.7725</v>
      </c>
      <c r="I45" s="1841">
        <f>+'c12_oc'!I60</f>
        <v>5378861.8650000002</v>
      </c>
      <c r="J45" s="1841">
        <f>+'c12_oc'!J60</f>
        <v>5444967.9574999996</v>
      </c>
      <c r="K45" s="1827">
        <f>+'c12_oc'!K60</f>
        <v>5296720.3785999995</v>
      </c>
      <c r="L45" s="1827">
        <f>+'c12_oc'!L60</f>
        <v>4228148.8727329997</v>
      </c>
      <c r="M45" s="1827">
        <f>+'c12_oc'!M60</f>
        <v>6610520.2216899898</v>
      </c>
      <c r="N45" s="1813">
        <f>+'c12_oc'!N60</f>
        <v>8000000.333333334</v>
      </c>
    </row>
    <row r="46" spans="1:14">
      <c r="A46" t="s">
        <v>588</v>
      </c>
      <c r="B46" s="2109">
        <v>0</v>
      </c>
      <c r="C46" s="1827">
        <f>+'c12_oc'!C65</f>
        <v>-314102.875</v>
      </c>
      <c r="D46" s="1841">
        <f>+'c12_oc'!D65</f>
        <v>-1753205.75</v>
      </c>
      <c r="E46" s="1841">
        <f>+'c12_oc'!E65</f>
        <v>-2504808.625</v>
      </c>
      <c r="F46" s="1841">
        <f>+'c12_oc'!F65</f>
        <v>-3162761.5</v>
      </c>
      <c r="G46" s="1827">
        <f>+'c12_oc'!G65</f>
        <v>-1940394.5039999997</v>
      </c>
      <c r="H46" s="1841">
        <f>+'c12_oc'!H65</f>
        <v>-1837292.93175</v>
      </c>
      <c r="I46" s="1841">
        <f>+'c12_oc'!I65</f>
        <v>-1799645.6595000001</v>
      </c>
      <c r="J46" s="1841">
        <f>+'c12_oc'!J65</f>
        <v>-1800404.0872499999</v>
      </c>
      <c r="K46" s="1827">
        <f>+'c12_oc'!K65</f>
        <v>-1757633.7055799998</v>
      </c>
      <c r="L46" s="1827">
        <f>+'c12_oc'!L65</f>
        <v>-1442120.7815798998</v>
      </c>
      <c r="M46" s="1827">
        <f>+'c12_oc'!M65</f>
        <v>-2162042.469859797</v>
      </c>
      <c r="N46" s="1813">
        <f>+'c12_oc'!N65</f>
        <v>-2400000.1</v>
      </c>
    </row>
    <row r="47" spans="1:14">
      <c r="A47" s="66" t="s">
        <v>589</v>
      </c>
      <c r="B47" s="2111">
        <v>3570254</v>
      </c>
      <c r="C47" s="138">
        <f t="shared" ref="C47:N47" si="8">SUM(C41:C46)</f>
        <v>4127899.1225000005</v>
      </c>
      <c r="D47" s="1837">
        <f t="shared" si="8"/>
        <v>5669544.2450000001</v>
      </c>
      <c r="E47" s="1837">
        <f t="shared" si="8"/>
        <v>3871434.3674999997</v>
      </c>
      <c r="F47" s="1837">
        <f t="shared" si="8"/>
        <v>4397214.49</v>
      </c>
      <c r="G47" s="138">
        <f t="shared" si="8"/>
        <v>8130085.6322500007</v>
      </c>
      <c r="H47" s="1837">
        <f t="shared" si="8"/>
        <v>8361313.9869999997</v>
      </c>
      <c r="I47" s="1837">
        <f t="shared" si="8"/>
        <v>8205723.3417500006</v>
      </c>
      <c r="J47" s="1837">
        <f t="shared" si="8"/>
        <v>7808593.6465000007</v>
      </c>
      <c r="K47" s="138">
        <f t="shared" si="8"/>
        <v>6597505.9230199996</v>
      </c>
      <c r="L47" s="138">
        <f t="shared" si="8"/>
        <v>6303210.2286530994</v>
      </c>
      <c r="M47" s="138">
        <f t="shared" si="8"/>
        <v>4448477.7518301923</v>
      </c>
      <c r="N47" s="389">
        <f t="shared" si="8"/>
        <v>5600000.2333333343</v>
      </c>
    </row>
    <row r="48" spans="1:14">
      <c r="B48" s="2023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</row>
    <row r="49" spans="2:14">
      <c r="B49" s="2023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</row>
    <row r="50" spans="2:14">
      <c r="B50" s="2023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</row>
    <row r="51" spans="2:14">
      <c r="B51" s="2023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</row>
    <row r="52" spans="2:14">
      <c r="B52" s="2023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</row>
    <row r="53" spans="2:14">
      <c r="B53" s="2023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</row>
    <row r="54" spans="2:14">
      <c r="B54" s="2023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</row>
    <row r="55" spans="2:14">
      <c r="B55" s="2023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</row>
    <row r="56" spans="2:14">
      <c r="B56" s="2023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4" tint="-0.249977111117893"/>
  </sheetPr>
  <dimension ref="A1:AA20"/>
  <sheetViews>
    <sheetView zoomScale="85" zoomScaleNormal="85" workbookViewId="0">
      <pane xSplit="2" ySplit="10" topLeftCell="C11" activePane="bottomRight" state="frozen"/>
      <selection pane="topRight" activeCell="C1" sqref="C1"/>
      <selection pane="bottomLeft" activeCell="A11" sqref="A11"/>
      <selection pane="bottomRight" activeCell="A22" sqref="A22"/>
    </sheetView>
  </sheetViews>
  <sheetFormatPr defaultRowHeight="14.4"/>
  <cols>
    <col min="1" max="1" width="38.26171875" customWidth="1"/>
    <col min="2" max="2" width="22.68359375" customWidth="1"/>
    <col min="3" max="3" width="12.41796875" style="649" bestFit="1" customWidth="1"/>
    <col min="4" max="14" width="12.41796875" bestFit="1" customWidth="1"/>
    <col min="15" max="15" width="15" bestFit="1" customWidth="1"/>
    <col min="16" max="16" width="12.68359375" bestFit="1" customWidth="1"/>
    <col min="17" max="17" width="21.26171875" bestFit="1" customWidth="1"/>
    <col min="18" max="18" width="10.68359375" bestFit="1" customWidth="1"/>
  </cols>
  <sheetData>
    <row r="1" spans="1:27">
      <c r="A1" s="941" t="s">
        <v>590</v>
      </c>
      <c r="B1" s="968"/>
      <c r="C1" s="2142">
        <v>45657</v>
      </c>
      <c r="D1" s="969">
        <f>lgh_bs!E2</f>
        <v>45747</v>
      </c>
      <c r="E1" s="969">
        <f>lgh_bs!F2</f>
        <v>45838</v>
      </c>
      <c r="F1" s="969">
        <f>lgh_bs!G2</f>
        <v>45930</v>
      </c>
      <c r="G1" s="969">
        <f>lgh_bs!H2</f>
        <v>46022</v>
      </c>
      <c r="H1" s="969">
        <f>lgh_bs!I2</f>
        <v>46112</v>
      </c>
      <c r="I1" s="969">
        <f>lgh_bs!J2</f>
        <v>46203</v>
      </c>
      <c r="J1" s="969">
        <f>lgh_bs!K2</f>
        <v>46295</v>
      </c>
      <c r="K1" s="969">
        <f>lgh_bs!L2</f>
        <v>46387</v>
      </c>
      <c r="L1" s="969">
        <f>lgh_bs!M2</f>
        <v>46752</v>
      </c>
      <c r="M1" s="969">
        <f>lgh_bs!N2</f>
        <v>47118</v>
      </c>
      <c r="N1" s="969">
        <f>lgh_bs!O2</f>
        <v>47483</v>
      </c>
      <c r="O1" s="969">
        <f>lgh_bs!P2</f>
        <v>47848</v>
      </c>
      <c r="P1" s="68"/>
      <c r="Q1" s="825"/>
      <c r="R1" s="825"/>
      <c r="AA1" s="4"/>
    </row>
    <row r="2" spans="1:27">
      <c r="A2" s="941"/>
      <c r="B2" s="968"/>
      <c r="C2" s="2143" t="s">
        <v>2</v>
      </c>
      <c r="D2" s="970" t="str">
        <f>lgh_bs!E3</f>
        <v>Q1</v>
      </c>
      <c r="E2" s="970" t="str">
        <f>lgh_bs!F3</f>
        <v>Q2</v>
      </c>
      <c r="F2" s="970" t="str">
        <f>lgh_bs!G3</f>
        <v>Q3</v>
      </c>
      <c r="G2" s="970" t="str">
        <f>lgh_bs!H3</f>
        <v>Q4</v>
      </c>
      <c r="H2" s="970" t="str">
        <f>lgh_bs!I3</f>
        <v>Q1</v>
      </c>
      <c r="I2" s="970" t="str">
        <f>lgh_bs!J3</f>
        <v>Q2</v>
      </c>
      <c r="J2" s="970" t="str">
        <f>lgh_bs!K3</f>
        <v>Q3</v>
      </c>
      <c r="K2" s="970" t="str">
        <f>lgh_bs!L3</f>
        <v>Q4</v>
      </c>
      <c r="L2" s="970" t="str">
        <f>lgh_bs!M3</f>
        <v>Q4</v>
      </c>
      <c r="M2" s="970" t="str">
        <f>lgh_bs!N3</f>
        <v>Q4</v>
      </c>
      <c r="N2" s="970" t="str">
        <f>lgh_bs!O3</f>
        <v>Q4</v>
      </c>
      <c r="O2" s="970" t="str">
        <f>lgh_bs!P3</f>
        <v>Q4</v>
      </c>
      <c r="P2" s="68"/>
      <c r="Q2" s="825"/>
      <c r="R2" s="825"/>
      <c r="AA2" s="4"/>
    </row>
    <row r="3" spans="1:27">
      <c r="A3" s="768" t="s">
        <v>17</v>
      </c>
      <c r="B3" s="968"/>
      <c r="C3" s="2144"/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69"/>
      <c r="AA3" s="4"/>
    </row>
    <row r="4" spans="1:27">
      <c r="A4" t="s">
        <v>225</v>
      </c>
      <c r="B4" s="798"/>
      <c r="C4" s="2145">
        <v>1070193</v>
      </c>
      <c r="D4" s="656">
        <f t="array" ref="D4">SUMPRODUCT(('c12_hm'!$F$2:$R$2=D1)*'c12_hm'!$F$5:$R$6)</f>
        <v>350167</v>
      </c>
      <c r="E4" s="656">
        <f t="array" ref="E4">SUMPRODUCT(('c12_hm'!$F$2:$R$2=E1)*'c12_hm'!$F$5:$R$6)</f>
        <v>350167</v>
      </c>
      <c r="F4" s="656">
        <f t="array" ref="F4">SUMPRODUCT(('c12_hm'!$F$2:$R$2=F1)*'c12_hm'!$F$5:$R$6)</f>
        <v>350167</v>
      </c>
      <c r="G4" s="656">
        <f t="array" ref="G4">SUMPRODUCT(('c12_hm'!$F$2:$R$2=G1)*'c12_hm'!$F$5:$R$6)</f>
        <v>350167</v>
      </c>
      <c r="H4" s="656">
        <f t="array" ref="H4">SUMPRODUCT(('c12_hm'!$F$2:$R$2=H1)*'c12_hm'!$F$5:$R$6)</f>
        <v>367692.26</v>
      </c>
      <c r="I4" s="656">
        <f t="array" ref="I4">SUMPRODUCT(('c12_hm'!$F$2:$R$2=I1)*'c12_hm'!$F$5:$R$6)</f>
        <v>367692.26</v>
      </c>
      <c r="J4" s="971">
        <f t="array" ref="J4">SUMPRODUCT(('c12_hm'!$F$2:$R$2=J1)*'c12_hm'!$F$5:$R$6)</f>
        <v>367692.26</v>
      </c>
      <c r="K4" s="971">
        <f t="array" ref="K4">SUMPRODUCT(('c12_hm'!$F$2:$R$2=K1)*'c12_hm'!$F$5:$R$6)</f>
        <v>367692.26</v>
      </c>
      <c r="L4" s="656">
        <f t="array" ref="L4">SUMPRODUCT(('c12_hm'!$F$2:$R$2=L1)*'c12_hm'!$F$5:$R$6)</f>
        <v>1514892.1112000002</v>
      </c>
      <c r="M4" s="656">
        <f t="array" ref="M4">SUMPRODUCT(('c12_hm'!$F$2:$R$2=M1)*'c12_hm'!$F$5:$R$6)</f>
        <v>1560338.8745360002</v>
      </c>
      <c r="N4" s="656">
        <f t="array" ref="N4">SUMPRODUCT(('c12_hm'!$F$2:$R$2=N1)*'c12_hm'!$F$5:$R$6)</f>
        <v>1607149.0407720802</v>
      </c>
      <c r="O4" s="656">
        <f t="array" ref="O4">SUMPRODUCT(('c12_hm'!$F$2:$R$2=O1)*'c12_hm'!$F$5:$R$6)</f>
        <v>1655363.5119952427</v>
      </c>
      <c r="P4" s="71"/>
      <c r="AA4" s="4"/>
    </row>
    <row r="5" spans="1:27">
      <c r="A5" t="s">
        <v>227</v>
      </c>
      <c r="B5" s="798"/>
      <c r="C5" s="2145">
        <v>569458</v>
      </c>
      <c r="D5" s="656">
        <f t="array" ref="D5">SUMPRODUCT(('c12_hm'!$F$2:$R$2=D1)*'c12_hm'!$F$7:$R$8)</f>
        <v>231857.75</v>
      </c>
      <c r="E5" s="656">
        <f t="array" ref="E5">SUMPRODUCT(('c12_hm'!$F$2:$R$2=E1)*'c12_hm'!$F$7:$R$8)</f>
        <v>231857.75</v>
      </c>
      <c r="F5" s="656">
        <f t="array" ref="F5">SUMPRODUCT(('c12_hm'!$F$2:$R$2=F1)*'c12_hm'!$F$7:$R$8)</f>
        <v>231857.75</v>
      </c>
      <c r="G5" s="656">
        <f t="array" ref="G5">SUMPRODUCT(('c12_hm'!$F$2:$R$2=G1)*'c12_hm'!$F$7:$R$8)</f>
        <v>231857.75</v>
      </c>
      <c r="H5" s="656">
        <f t="array" ref="H5">SUMPRODUCT(('c12_hm'!$F$2:$R$2=H1)*'c12_hm'!$F$7:$R$8)</f>
        <v>281635.33250000002</v>
      </c>
      <c r="I5" s="656">
        <f t="array" ref="I5">SUMPRODUCT(('c12_hm'!$F$2:$R$2=I1)*'c12_hm'!$F$7:$R$8)</f>
        <v>281635.33250000002</v>
      </c>
      <c r="J5" s="971">
        <f t="array" ref="J5">SUMPRODUCT(('c12_hm'!$F$2:$R$2=J1)*'c12_hm'!$F$7:$R$8)</f>
        <v>281635.33250000002</v>
      </c>
      <c r="K5" s="971">
        <f t="array" ref="K5">SUMPRODUCT(('c12_hm'!$F$2:$R$2=K1)*'c12_hm'!$F$7:$R$8)</f>
        <v>281635.33250000002</v>
      </c>
      <c r="L5" s="656">
        <f t="array" ref="L5">SUMPRODUCT(('c12_hm'!$F$2:$R$2=L1)*'c12_hm'!$F$7:$R$8)</f>
        <v>1160337.5699</v>
      </c>
      <c r="M5" s="656">
        <f t="array" ref="M5">SUMPRODUCT(('c12_hm'!$F$2:$R$2=M1)*'c12_hm'!$F$7:$R$8)</f>
        <v>1195147.6969970001</v>
      </c>
      <c r="N5" s="656">
        <f t="array" ref="N5">SUMPRODUCT(('c12_hm'!$F$2:$R$2=N1)*'c12_hm'!$F$7:$R$8)</f>
        <v>1231002.1279069101</v>
      </c>
      <c r="O5" s="656">
        <f t="array" ref="O5">SUMPRODUCT(('c12_hm'!$F$2:$R$2=O1)*'c12_hm'!$F$7:$R$8)</f>
        <v>1267932.1917441175</v>
      </c>
      <c r="P5" s="71"/>
      <c r="AA5" s="4"/>
    </row>
    <row r="6" spans="1:27">
      <c r="A6" t="s">
        <v>229</v>
      </c>
      <c r="B6" s="798"/>
      <c r="C6" s="2145">
        <v>0</v>
      </c>
      <c r="D6" s="656">
        <f t="array" ref="D6">SUMPRODUCT(('c12_hm'!$F$2:$R$2=lgh_manco!D1)*'c12_hm'!$F$9:$R$10)</f>
        <v>0</v>
      </c>
      <c r="E6" s="656">
        <f t="array" ref="E6">SUMPRODUCT(('c12_hm'!$F$2:$R$2=lgh_manco!E1)*'c12_hm'!$F$9:$R$10)</f>
        <v>0</v>
      </c>
      <c r="F6" s="656">
        <f t="array" ref="F6">SUMPRODUCT(('c12_hm'!$F$2:$R$2=lgh_manco!F1)*'c12_hm'!$F$9:$R$10)</f>
        <v>0</v>
      </c>
      <c r="G6" s="656">
        <f t="array" ref="G6">SUMPRODUCT(('c12_hm'!$F$2:$R$2=lgh_manco!G1)*'c12_hm'!$F$9:$R$10)</f>
        <v>0</v>
      </c>
      <c r="H6" s="656">
        <f t="array" ref="H6">SUMPRODUCT(('c12_hm'!$F$2:$R$2=lgh_manco!H1)*'c12_hm'!$F$9:$R$10)</f>
        <v>0</v>
      </c>
      <c r="I6" s="656">
        <f t="array" ref="I6">SUMPRODUCT(('c12_hm'!$F$2:$R$2=lgh_manco!I1)*'c12_hm'!$F$9:$R$10)</f>
        <v>0</v>
      </c>
      <c r="J6" s="656">
        <f t="array" ref="J6">SUMPRODUCT(('c12_hm'!$F$2:$R$2=lgh_manco!J1)*'c12_hm'!$F$9:$R$10)</f>
        <v>0</v>
      </c>
      <c r="K6" s="656">
        <f t="array" ref="K6">SUMPRODUCT(('c12_hm'!$F$2:$R$2=lgh_manco!K1)*'c12_hm'!$F$9:$R$10)</f>
        <v>0</v>
      </c>
      <c r="L6" s="656">
        <f t="array" ref="L6">SUMPRODUCT(('c12_hm'!$F$2:$R$2=lgh_manco!L1)*'c12_hm'!$F$9:$R$10)</f>
        <v>450000</v>
      </c>
      <c r="M6" s="656">
        <f t="array" ref="M6">SUMPRODUCT(('c12_hm'!$F$2:$R$2=lgh_manco!M1)*'c12_hm'!$F$9:$R$10)</f>
        <v>1000000</v>
      </c>
      <c r="N6" s="656">
        <f t="array" ref="N6">SUMPRODUCT(('c12_hm'!$F$2:$R$2=lgh_manco!N1)*'c12_hm'!$F$9:$R$10)</f>
        <v>1910000</v>
      </c>
      <c r="O6" s="656">
        <f t="array" ref="O6">SUMPRODUCT(('c12_hm'!$F$2:$R$2=lgh_manco!O1)*'c12_hm'!$F$9:$R$10)</f>
        <v>1910000</v>
      </c>
      <c r="P6" s="71"/>
      <c r="AA6" s="4"/>
    </row>
    <row r="7" spans="1:27">
      <c r="A7" t="s">
        <v>591</v>
      </c>
      <c r="B7" s="798"/>
      <c r="C7" s="2145">
        <v>0</v>
      </c>
      <c r="D7" s="652">
        <f t="array" ref="D7">SUMPRODUCT(('c12_hm'!$F$2:$R$2=lgh_manco!D1)*'c12_hm'!$F$12:$R$12)</f>
        <v>0</v>
      </c>
      <c r="E7" s="652">
        <f t="array" ref="E7">SUMPRODUCT(('c12_hm'!$F$2:$R$2=lgh_manco!E1)*'c12_hm'!$F$12:$R$12)</f>
        <v>0</v>
      </c>
      <c r="F7" s="652">
        <f t="array" ref="F7">SUMPRODUCT(('c12_hm'!$F$2:$R$2=lgh_manco!F1)*'c12_hm'!$F$12:$R$12)</f>
        <v>0</v>
      </c>
      <c r="G7" s="652">
        <f t="array" ref="G7">SUMPRODUCT(('c12_hm'!$F$2:$R$2=lgh_manco!G1)*'c12_hm'!$F$12:$R$12)</f>
        <v>0</v>
      </c>
      <c r="H7" s="652">
        <f t="array" ref="H7">SUMPRODUCT(('c12_hm'!$F$2:$R$2=lgh_manco!H1)*'c12_hm'!$F$12:$R$12)</f>
        <v>0</v>
      </c>
      <c r="I7" s="656">
        <f t="array" ref="I7">SUMPRODUCT(('c12_hm'!$F$2:$R$2=lgh_manco!I1)*'c12_hm'!$F$12:$R$12)</f>
        <v>0</v>
      </c>
      <c r="J7" s="656">
        <f t="array" ref="J7">SUMPRODUCT(('c12_hm'!$F$2:$R$2=lgh_manco!J1)*'c12_hm'!$F$12:$R$12)</f>
        <v>0</v>
      </c>
      <c r="K7" s="656">
        <f t="array" ref="K7">SUMPRODUCT(('c12_hm'!$F$2:$R$2=lgh_manco!K1)*'c12_hm'!$F$12:$R$12)</f>
        <v>0</v>
      </c>
      <c r="L7" s="656">
        <f t="array" ref="L7">SUMPRODUCT(('c12_hm'!$F$2:$R$2=lgh_manco!L1)*'c12_hm'!$F$12:$R$12)</f>
        <v>0</v>
      </c>
      <c r="M7" s="656">
        <f t="array" ref="M7">SUMPRODUCT(('c12_hm'!$F$2:$R$2=lgh_manco!M1)*'c12_hm'!$F$12:$R$12)</f>
        <v>0</v>
      </c>
      <c r="N7" s="656">
        <f t="array" ref="N7">SUMPRODUCT(('c12_hm'!$F$2:$R$2=lgh_manco!N1)*'c12_hm'!$F$12:$R$12)</f>
        <v>767840.28</v>
      </c>
      <c r="O7" s="656">
        <f t="array" ref="O7">SUMPRODUCT(('c12_hm'!$F$2:$R$2=lgh_manco!O1)*'c12_hm'!$F$12:$R$12)</f>
        <v>790875.48840000003</v>
      </c>
      <c r="P7" s="68"/>
      <c r="AA7" s="4"/>
    </row>
    <row r="8" spans="1:27">
      <c r="A8" t="s">
        <v>232</v>
      </c>
      <c r="B8" s="798"/>
      <c r="C8" s="2146"/>
      <c r="D8" s="32">
        <f t="array" ref="D8">SUMPRODUCT(('c12_hm'!$F$2:$R$2=lgh_manco!D1)*'c12_hm'!$F$13:$R$13)</f>
        <v>0</v>
      </c>
      <c r="E8" s="32">
        <f t="array" ref="E8">SUMPRODUCT(('c12_hm'!$F$2:$R$2=lgh_manco!E1)*'c12_hm'!$F$13:$R$13)</f>
        <v>0</v>
      </c>
      <c r="F8" s="32">
        <f t="array" ref="F8">SUMPRODUCT(('c12_hm'!$F$2:$R$2=lgh_manco!F1)*'c12_hm'!$F$13:$R$13)</f>
        <v>0</v>
      </c>
      <c r="G8" s="32">
        <f t="array" ref="G8">SUMPRODUCT(('c12_hm'!$F$2:$R$2=lgh_manco!G1)*'c12_hm'!$F$13:$R$13)</f>
        <v>0</v>
      </c>
      <c r="H8" s="32">
        <f t="array" ref="H8">SUMPRODUCT(('c12_hm'!$F$2:$R$2=lgh_manco!H1)*'c12_hm'!$F$13:$R$13)</f>
        <v>0</v>
      </c>
      <c r="I8" s="1">
        <f t="array" ref="I8">SUMPRODUCT(('c12_hm'!$F$2:$R$2=lgh_manco!I1)*'c12_hm'!$F$13:$R$13)</f>
        <v>0</v>
      </c>
      <c r="J8" s="1">
        <f t="array" ref="J8">SUMPRODUCT(('c12_hm'!$F$2:$R$2=lgh_manco!J1)*'c12_hm'!$F$13:$R$13)</f>
        <v>0</v>
      </c>
      <c r="K8" s="1">
        <f t="array" ref="K8">SUMPRODUCT(('c12_hm'!$F$2:$R$2=lgh_manco!K1)*'c12_hm'!$F$13:$R$13)</f>
        <v>500000</v>
      </c>
      <c r="L8" s="1">
        <f t="array" ref="L8">SUMPRODUCT(('c12_hm'!$F$2:$R$2=lgh_manco!L1)*'c12_hm'!$F$13:$R$13)</f>
        <v>1000000</v>
      </c>
      <c r="M8" s="1">
        <f t="array" ref="M8">SUMPRODUCT(('c12_hm'!$F$2:$R$2=lgh_manco!M1)*'c12_hm'!$F$13:$R$13)</f>
        <v>1000000</v>
      </c>
      <c r="N8" s="1">
        <f t="array" ref="N8">SUMPRODUCT(('c12_hm'!$F$2:$R$2=lgh_manco!N1)*'c12_hm'!$F$13:$R$13)</f>
        <v>1000000</v>
      </c>
      <c r="O8" s="1">
        <f t="array" ref="O8">SUMPRODUCT(('c12_hm'!$F$2:$R$2=lgh_manco!O1)*'c12_hm'!$F$13:$R$13)</f>
        <v>1000000</v>
      </c>
      <c r="P8" s="68"/>
      <c r="AA8" s="4"/>
    </row>
    <row r="9" spans="1:27">
      <c r="B9" s="798"/>
      <c r="C9" s="2146"/>
      <c r="D9" s="32"/>
      <c r="E9" s="32"/>
      <c r="F9" s="32"/>
      <c r="G9" s="32"/>
      <c r="H9" s="32"/>
      <c r="I9" s="1"/>
      <c r="J9" s="1"/>
      <c r="K9" s="1"/>
      <c r="L9" s="1"/>
      <c r="M9" s="1"/>
      <c r="N9" s="1"/>
      <c r="O9" s="1"/>
      <c r="P9" s="68"/>
      <c r="AA9" s="4"/>
    </row>
    <row r="10" spans="1:27">
      <c r="B10" s="798"/>
      <c r="C10" s="2040"/>
      <c r="D10" s="32"/>
      <c r="E10" s="32"/>
      <c r="F10" s="32"/>
      <c r="G10" s="32"/>
      <c r="H10" s="32"/>
      <c r="I10" s="32"/>
      <c r="J10" s="798"/>
      <c r="K10" s="798"/>
      <c r="L10" s="1"/>
      <c r="M10" s="1"/>
      <c r="N10" s="1"/>
      <c r="O10" s="1"/>
      <c r="P10" s="68"/>
      <c r="AA10" s="4"/>
    </row>
    <row r="11" spans="1:27">
      <c r="A11" t="s">
        <v>592</v>
      </c>
      <c r="B11" s="972"/>
      <c r="C11" s="1074">
        <v>20000000</v>
      </c>
      <c r="D11" s="427">
        <f>20000000</f>
        <v>20000000</v>
      </c>
      <c r="E11" s="427">
        <f>+D11</f>
        <v>20000000</v>
      </c>
      <c r="F11" s="427">
        <f>+E11</f>
        <v>20000000</v>
      </c>
      <c r="G11" s="427">
        <f>+F11</f>
        <v>20000000</v>
      </c>
      <c r="H11" s="131">
        <f>+G11*(1+lgh_inputs!$D$14)</f>
        <v>20600000</v>
      </c>
      <c r="I11" s="131">
        <f>+H11*(1+lgh_inputs!$D$14)</f>
        <v>21218000</v>
      </c>
      <c r="J11" s="1450">
        <f>+I11*(1+lgh_inputs!$D$14)</f>
        <v>21854540</v>
      </c>
      <c r="K11" s="1450">
        <f>+J11*(1+lgh_inputs!$D$14)</f>
        <v>22510176.199999999</v>
      </c>
      <c r="L11" s="131">
        <f>+K11*(1+lgh_inputs!$D$14)</f>
        <v>23185481.486000001</v>
      </c>
      <c r="M11" s="131">
        <f>+L11*(1+lgh_inputs!$D$14)</f>
        <v>23881045.930580001</v>
      </c>
      <c r="N11" s="131">
        <f>+M11*(1+lgh_inputs!$D$14)</f>
        <v>24597477.308497403</v>
      </c>
      <c r="O11" s="131">
        <f>+N11*(1+lgh_inputs!$D$14)</f>
        <v>25335401.627752326</v>
      </c>
      <c r="P11" s="68"/>
      <c r="AA11" s="4"/>
    </row>
    <row r="12" spans="1:27">
      <c r="A12" t="s">
        <v>591</v>
      </c>
      <c r="B12" s="972"/>
      <c r="C12" s="1074"/>
      <c r="D12" s="427"/>
      <c r="E12" s="427"/>
      <c r="F12" s="427"/>
      <c r="G12" s="427"/>
      <c r="H12" s="131">
        <f>G12*(1+lgh_inputs!$D$14)</f>
        <v>0</v>
      </c>
      <c r="I12" s="131">
        <f>H12*(1+lgh_inputs!$D$14)</f>
        <v>0</v>
      </c>
      <c r="J12" s="1450">
        <f>I12*(1+lgh_inputs!$D$14)</f>
        <v>0</v>
      </c>
      <c r="K12" s="1450">
        <f>J12*(1+lgh_inputs!$D$14)</f>
        <v>0</v>
      </c>
      <c r="L12" s="131">
        <f>K12*(1+lgh_inputs!$D$14)</f>
        <v>0</v>
      </c>
      <c r="M12" s="1088">
        <v>5000000</v>
      </c>
      <c r="N12" s="131">
        <f>M12*(1+lgh_inputs!$D$14)</f>
        <v>5150000</v>
      </c>
      <c r="O12" s="131">
        <f>N12*(1+lgh_inputs!$D$14)</f>
        <v>5304500</v>
      </c>
      <c r="P12" s="68"/>
      <c r="AA12" s="4"/>
    </row>
    <row r="13" spans="1:27">
      <c r="A13" t="s">
        <v>593</v>
      </c>
      <c r="B13" s="972"/>
      <c r="C13" s="1074"/>
      <c r="D13" s="427"/>
      <c r="E13" s="427"/>
      <c r="F13" s="427"/>
      <c r="G13" s="427"/>
      <c r="H13" s="427"/>
      <c r="I13" s="427"/>
      <c r="J13" s="805">
        <v>5000000</v>
      </c>
      <c r="K13" s="1450">
        <f>+J13*(1+lgh_inputs!$D$14)</f>
        <v>5150000</v>
      </c>
      <c r="L13" s="1450">
        <f>+K13*(1+lgh_inputs!$D$14)</f>
        <v>5304500</v>
      </c>
      <c r="M13" s="1450">
        <f>+L13*(1+lgh_inputs!$D$14)</f>
        <v>5463635</v>
      </c>
      <c r="N13" s="1450">
        <f>+M13*(1+lgh_inputs!$D$14)</f>
        <v>5627544.0499999998</v>
      </c>
      <c r="O13" s="1450">
        <f>+N13*(1+lgh_inputs!$D$14)</f>
        <v>5796370.3715000004</v>
      </c>
      <c r="P13" s="68"/>
      <c r="AA13" s="4"/>
    </row>
    <row r="14" spans="1:27">
      <c r="A14" t="s">
        <v>594</v>
      </c>
      <c r="B14" s="972"/>
      <c r="C14" s="1074"/>
      <c r="D14" s="427"/>
      <c r="E14" s="427"/>
      <c r="F14" s="427"/>
      <c r="G14" s="427"/>
      <c r="H14" s="427"/>
      <c r="I14" s="427"/>
      <c r="J14" s="805"/>
      <c r="K14" s="805"/>
      <c r="L14" s="427"/>
      <c r="M14" s="1088">
        <f>+L14*(1+lgh_inputs!$D$14)</f>
        <v>0</v>
      </c>
      <c r="N14" s="1088">
        <f>+M14*(1+lgh_inputs!$D$14)</f>
        <v>0</v>
      </c>
      <c r="O14" s="1088">
        <v>5000000</v>
      </c>
      <c r="P14" s="68"/>
      <c r="AA14" s="4"/>
    </row>
    <row r="15" spans="1:27">
      <c r="A15" t="s">
        <v>595</v>
      </c>
      <c r="B15" s="972"/>
      <c r="C15" s="2147">
        <v>20000000</v>
      </c>
      <c r="D15" s="688">
        <f t="shared" ref="D15:O15" si="0">SUM(D11:D14)</f>
        <v>20000000</v>
      </c>
      <c r="E15" s="688">
        <f t="shared" si="0"/>
        <v>20000000</v>
      </c>
      <c r="F15" s="688">
        <f t="shared" si="0"/>
        <v>20000000</v>
      </c>
      <c r="G15" s="688">
        <f t="shared" si="0"/>
        <v>20000000</v>
      </c>
      <c r="H15" s="688">
        <f t="shared" si="0"/>
        <v>20600000</v>
      </c>
      <c r="I15" s="688">
        <f t="shared" si="0"/>
        <v>21218000</v>
      </c>
      <c r="J15" s="973">
        <f t="shared" si="0"/>
        <v>26854540</v>
      </c>
      <c r="K15" s="973">
        <f t="shared" si="0"/>
        <v>27660176.199999999</v>
      </c>
      <c r="L15" s="688">
        <f t="shared" si="0"/>
        <v>28489981.486000001</v>
      </c>
      <c r="M15" s="688">
        <f t="shared" si="0"/>
        <v>34344680.930580005</v>
      </c>
      <c r="N15" s="688">
        <f t="shared" si="0"/>
        <v>35375021.358497404</v>
      </c>
      <c r="O15" s="688">
        <f t="shared" si="0"/>
        <v>41436271.999252327</v>
      </c>
      <c r="P15" s="69"/>
      <c r="S15" s="9"/>
      <c r="AA15" s="4"/>
    </row>
    <row r="16" spans="1:27">
      <c r="A16" t="s">
        <v>596</v>
      </c>
      <c r="B16" s="972"/>
      <c r="C16" s="2148">
        <v>0.5</v>
      </c>
      <c r="D16" s="687">
        <v>0.5</v>
      </c>
      <c r="E16" s="687">
        <v>0.5</v>
      </c>
      <c r="F16" s="687">
        <v>0.5</v>
      </c>
      <c r="G16" s="687">
        <v>0.5</v>
      </c>
      <c r="H16" s="687">
        <v>0.5</v>
      </c>
      <c r="I16" s="687">
        <v>0.6</v>
      </c>
      <c r="J16" s="974">
        <v>0.7</v>
      </c>
      <c r="K16" s="974">
        <v>0.8</v>
      </c>
      <c r="L16" s="687">
        <v>1.1000000000000001</v>
      </c>
      <c r="M16" s="687">
        <v>1.4</v>
      </c>
      <c r="N16" s="687">
        <v>1.7</v>
      </c>
      <c r="O16" s="687">
        <v>2</v>
      </c>
      <c r="AA16" s="4"/>
    </row>
    <row r="17" spans="1:27">
      <c r="A17" t="s">
        <v>597</v>
      </c>
      <c r="B17" s="165">
        <v>0</v>
      </c>
      <c r="C17" s="1074">
        <v>10000000</v>
      </c>
      <c r="D17" s="131">
        <f t="shared" ref="D17:O17" si="1">+D15*D16</f>
        <v>10000000</v>
      </c>
      <c r="E17" s="131">
        <f t="shared" si="1"/>
        <v>10000000</v>
      </c>
      <c r="F17" s="131">
        <f t="shared" si="1"/>
        <v>10000000</v>
      </c>
      <c r="G17" s="131">
        <f t="shared" si="1"/>
        <v>10000000</v>
      </c>
      <c r="H17" s="131">
        <f t="shared" si="1"/>
        <v>10300000</v>
      </c>
      <c r="I17" s="131">
        <f t="shared" si="1"/>
        <v>12730800</v>
      </c>
      <c r="J17" s="131">
        <f t="shared" si="1"/>
        <v>18798178</v>
      </c>
      <c r="K17" s="131">
        <f t="shared" si="1"/>
        <v>22128140.960000001</v>
      </c>
      <c r="L17" s="131">
        <f t="shared" si="1"/>
        <v>31338979.634600002</v>
      </c>
      <c r="M17" s="131">
        <f t="shared" si="1"/>
        <v>48082553.302812003</v>
      </c>
      <c r="N17" s="131">
        <f t="shared" si="1"/>
        <v>60137536.309445582</v>
      </c>
      <c r="O17" s="131">
        <f t="shared" si="1"/>
        <v>82872543.998504654</v>
      </c>
      <c r="Y17" s="4"/>
    </row>
    <row r="18" spans="1:27">
      <c r="A18" s="768" t="s">
        <v>598</v>
      </c>
      <c r="B18" s="768"/>
      <c r="C18" s="2149">
        <v>0</v>
      </c>
      <c r="D18" s="805">
        <v>0</v>
      </c>
      <c r="E18" s="805">
        <v>0</v>
      </c>
      <c r="F18" s="805">
        <v>0</v>
      </c>
      <c r="G18" s="805">
        <v>0</v>
      </c>
      <c r="H18" s="805">
        <v>0</v>
      </c>
      <c r="I18" s="805">
        <v>0</v>
      </c>
      <c r="J18" s="805">
        <v>0</v>
      </c>
      <c r="K18" s="805">
        <v>0</v>
      </c>
      <c r="L18" s="427">
        <v>0</v>
      </c>
      <c r="M18" s="427">
        <v>25000000</v>
      </c>
      <c r="N18" s="427">
        <v>50000000</v>
      </c>
      <c r="O18" s="427">
        <v>100000000</v>
      </c>
      <c r="AA18" s="4"/>
    </row>
    <row r="19" spans="1:27">
      <c r="A19" s="975" t="s">
        <v>599</v>
      </c>
      <c r="B19" s="976"/>
      <c r="C19" s="2150">
        <v>30000000</v>
      </c>
      <c r="D19" s="801">
        <f t="shared" ref="D19:O19" si="2">+D15+D17+D18</f>
        <v>30000000</v>
      </c>
      <c r="E19" s="801">
        <f t="shared" si="2"/>
        <v>30000000</v>
      </c>
      <c r="F19" s="801">
        <f t="shared" si="2"/>
        <v>30000000</v>
      </c>
      <c r="G19" s="801">
        <f t="shared" si="2"/>
        <v>30000000</v>
      </c>
      <c r="H19" s="801">
        <f t="shared" si="2"/>
        <v>30900000</v>
      </c>
      <c r="I19" s="801">
        <f t="shared" si="2"/>
        <v>33948800</v>
      </c>
      <c r="J19" s="801">
        <f t="shared" si="2"/>
        <v>45652718</v>
      </c>
      <c r="K19" s="801">
        <f t="shared" si="2"/>
        <v>49788317.159999996</v>
      </c>
      <c r="L19" s="801">
        <f t="shared" si="2"/>
        <v>59828961.1206</v>
      </c>
      <c r="M19" s="801">
        <f t="shared" si="2"/>
        <v>107427234.233392</v>
      </c>
      <c r="N19" s="801">
        <f t="shared" si="2"/>
        <v>145512557.667943</v>
      </c>
      <c r="O19" s="801">
        <f t="shared" si="2"/>
        <v>224308815.99775699</v>
      </c>
    </row>
    <row r="20" spans="1:27">
      <c r="D20" s="9"/>
      <c r="E20" s="9"/>
      <c r="F20" s="9"/>
      <c r="G20" s="9"/>
      <c r="H20" s="9"/>
      <c r="I20" s="9"/>
      <c r="J20" s="72"/>
      <c r="K20" s="72"/>
      <c r="L20" s="9"/>
      <c r="M20" s="9"/>
      <c r="N20" s="9"/>
      <c r="O20" s="9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>
    <tabColor rgb="FFB4C6E7"/>
  </sheetPr>
  <dimension ref="A1:U102"/>
  <sheetViews>
    <sheetView showGridLines="0" zoomScale="70" zoomScaleNormal="70" workbookViewId="0">
      <pane xSplit="1" ySplit="2" topLeftCell="E47" activePane="bottomRight" state="frozen"/>
      <selection pane="topRight" activeCell="B1" sqref="B1"/>
      <selection pane="bottomLeft" activeCell="A3" sqref="A3"/>
      <selection pane="bottomRight" activeCell="B1" sqref="B1:D70"/>
    </sheetView>
  </sheetViews>
  <sheetFormatPr defaultRowHeight="14.4"/>
  <cols>
    <col min="1" max="1" width="29.26171875" bestFit="1" customWidth="1"/>
    <col min="2" max="2" width="25.26171875" customWidth="1"/>
    <col min="3" max="3" width="16.41796875" customWidth="1"/>
    <col min="4" max="4" width="16.578125" customWidth="1"/>
    <col min="5" max="5" width="18.41796875" customWidth="1"/>
    <col min="6" max="6" width="18.26171875" customWidth="1"/>
    <col min="7" max="7" width="27.68359375" customWidth="1"/>
    <col min="8" max="8" width="19.26171875" customWidth="1"/>
    <col min="9" max="11" width="17.68359375" bestFit="1" customWidth="1"/>
    <col min="12" max="13" width="18.41796875" bestFit="1" customWidth="1"/>
    <col min="14" max="17" width="17.26171875" bestFit="1" customWidth="1"/>
    <col min="18" max="18" width="12.68359375" bestFit="1" customWidth="1"/>
    <col min="19" max="19" width="20.26171875" bestFit="1" customWidth="1"/>
    <col min="20" max="20" width="24.26171875" customWidth="1"/>
    <col min="21" max="21" width="18.26171875" bestFit="1" customWidth="1"/>
    <col min="22" max="22" width="13.68359375" bestFit="1" customWidth="1"/>
    <col min="23" max="24" width="11.26171875" bestFit="1" customWidth="1"/>
  </cols>
  <sheetData>
    <row r="1" spans="1:21" s="25" customFormat="1" ht="18.3" customHeight="1">
      <c r="A1" s="521" t="s">
        <v>123</v>
      </c>
      <c r="B1" s="2198">
        <v>45657</v>
      </c>
      <c r="C1" s="422">
        <v>45747</v>
      </c>
      <c r="D1" s="422">
        <v>45838</v>
      </c>
      <c r="E1" s="422">
        <v>45930</v>
      </c>
      <c r="F1" s="422">
        <v>46022</v>
      </c>
      <c r="G1" s="422">
        <v>46112</v>
      </c>
      <c r="H1" s="422">
        <v>46203</v>
      </c>
      <c r="I1" s="422">
        <v>46295</v>
      </c>
      <c r="J1" s="422">
        <v>46387</v>
      </c>
      <c r="K1" s="422">
        <v>46752</v>
      </c>
      <c r="L1" s="422">
        <v>47118</v>
      </c>
      <c r="M1" s="422">
        <v>47483</v>
      </c>
      <c r="N1" s="422">
        <v>47848</v>
      </c>
      <c r="O1" s="122"/>
    </row>
    <row r="2" spans="1:21" ht="15.6" customHeight="1">
      <c r="A2" s="763" t="s">
        <v>600</v>
      </c>
      <c r="B2" s="2198" t="s">
        <v>2</v>
      </c>
      <c r="C2" s="422" t="s">
        <v>3</v>
      </c>
      <c r="D2" s="422" t="s">
        <v>4</v>
      </c>
      <c r="E2" s="422" t="s">
        <v>5</v>
      </c>
      <c r="F2" s="422" t="s">
        <v>2</v>
      </c>
      <c r="G2" s="422" t="s">
        <v>3</v>
      </c>
      <c r="H2" s="422" t="s">
        <v>4</v>
      </c>
      <c r="I2" s="422" t="s">
        <v>5</v>
      </c>
      <c r="J2" s="422" t="s">
        <v>2</v>
      </c>
      <c r="K2" s="422" t="s">
        <v>2</v>
      </c>
      <c r="L2" s="422" t="s">
        <v>2</v>
      </c>
      <c r="M2" s="422" t="s">
        <v>2</v>
      </c>
      <c r="N2" s="422" t="s">
        <v>2</v>
      </c>
      <c r="O2" s="1"/>
    </row>
    <row r="3" spans="1:21" ht="18.600000000000001" customHeight="1" thickBot="1">
      <c r="A3" s="421" t="s">
        <v>6</v>
      </c>
      <c r="B3" s="2040"/>
      <c r="C3" s="36"/>
      <c r="D3" s="36"/>
      <c r="E3" s="36"/>
      <c r="F3" s="205"/>
      <c r="G3" s="129"/>
      <c r="H3" s="129"/>
      <c r="I3" s="129"/>
      <c r="J3" s="129">
        <f>+SUM(G4:J4)/SUM(C4:F4)</f>
        <v>1.1060688300891603</v>
      </c>
      <c r="K3" s="685">
        <f>+K4/SUM(G4:J4)</f>
        <v>1.2489028043750787</v>
      </c>
      <c r="L3" s="121">
        <f>+L4/K4</f>
        <v>1.0705589761659697</v>
      </c>
      <c r="M3" s="1"/>
      <c r="N3" s="121">
        <f>+N4/SUM(C4:F4)</f>
        <v>1.7156524256088908</v>
      </c>
      <c r="O3" s="1"/>
      <c r="P3" s="3"/>
      <c r="Q3" s="3"/>
      <c r="S3" s="150"/>
    </row>
    <row r="4" spans="1:21">
      <c r="A4" s="981" t="s">
        <v>601</v>
      </c>
      <c r="B4" s="2199">
        <v>6257095</v>
      </c>
      <c r="C4" s="1945">
        <f>5621001/4</f>
        <v>1405250.25</v>
      </c>
      <c r="D4" s="1946">
        <f>5621001/4</f>
        <v>1405250.25</v>
      </c>
      <c r="E4" s="1946">
        <f>5621001/4</f>
        <v>1405250.25</v>
      </c>
      <c r="F4" s="1947">
        <f>5621001/4</f>
        <v>1405250.25</v>
      </c>
      <c r="G4" s="1945">
        <f>6217214/4</f>
        <v>1554303.5</v>
      </c>
      <c r="H4" s="1946">
        <f>6217214/4</f>
        <v>1554303.5</v>
      </c>
      <c r="I4" s="1946">
        <f>6217214/4</f>
        <v>1554303.5</v>
      </c>
      <c r="J4" s="1947">
        <f>6217214/4</f>
        <v>1554303.5</v>
      </c>
      <c r="K4" s="1947">
        <v>7764696</v>
      </c>
      <c r="L4" s="1947">
        <v>8312565</v>
      </c>
      <c r="M4" s="1947">
        <v>9362800</v>
      </c>
      <c r="N4" s="1947">
        <f>9582583*0+M4*(1+$Q$44)</f>
        <v>9643684</v>
      </c>
      <c r="O4" s="1" t="s">
        <v>602</v>
      </c>
      <c r="P4" s="982"/>
      <c r="Q4" s="983"/>
      <c r="S4" s="9"/>
    </row>
    <row r="5" spans="1:21">
      <c r="A5" s="984" t="s">
        <v>11</v>
      </c>
      <c r="B5" s="2200">
        <v>-2421922</v>
      </c>
      <c r="C5" s="1527">
        <f>-37500000*0.07/4</f>
        <v>-656250.00000000012</v>
      </c>
      <c r="D5" s="1458">
        <f>-43000000*0.085/4</f>
        <v>-913750.00000000012</v>
      </c>
      <c r="E5" s="1458">
        <f>-43000000*0.085/4</f>
        <v>-913750.00000000012</v>
      </c>
      <c r="F5" s="1528">
        <f>-52000000*0.0875/4</f>
        <v>-1137500</v>
      </c>
      <c r="G5" s="1527">
        <f>-52000000*0.0875/4</f>
        <v>-1137500</v>
      </c>
      <c r="H5" s="1929">
        <f>-52000000*0.0875/4</f>
        <v>-1137500</v>
      </c>
      <c r="I5" s="1929">
        <f>-52000000*0.0875/4</f>
        <v>-1137500</v>
      </c>
      <c r="J5" s="1930">
        <f>-52000000*0.0875/4</f>
        <v>-1137500</v>
      </c>
      <c r="K5" s="1570">
        <f>+SUM(K55:K56)*$P$55</f>
        <v>-4550000</v>
      </c>
      <c r="L5" s="1570">
        <f>+SUM(L55:L56)*$P$55</f>
        <v>-4550000</v>
      </c>
      <c r="M5" s="1570">
        <f>+SUM(M55:M56)*$P$56</f>
        <v>-5520000</v>
      </c>
      <c r="N5" s="1570">
        <f>+SUM(N55:N56)*$P$56</f>
        <v>-5520000</v>
      </c>
      <c r="O5" s="897"/>
      <c r="P5" s="1925"/>
      <c r="Q5" s="825"/>
      <c r="R5" s="29"/>
      <c r="S5" s="103"/>
      <c r="T5" s="29"/>
      <c r="U5" s="29"/>
    </row>
    <row r="6" spans="1:21">
      <c r="A6" s="988" t="s">
        <v>603</v>
      </c>
      <c r="B6" s="675"/>
      <c r="C6" s="493"/>
      <c r="D6" s="494"/>
      <c r="E6" s="494"/>
      <c r="F6" s="495"/>
      <c r="G6" s="493"/>
      <c r="H6" s="989"/>
      <c r="I6" s="989">
        <v>-1300000</v>
      </c>
      <c r="J6" s="990"/>
      <c r="K6" s="991">
        <v>-2550000</v>
      </c>
      <c r="L6" s="991"/>
      <c r="M6" s="991"/>
      <c r="N6" s="991"/>
      <c r="O6" s="897"/>
      <c r="P6" s="825"/>
      <c r="Q6" s="825"/>
      <c r="R6" s="29"/>
      <c r="S6" s="103"/>
      <c r="T6" s="29"/>
      <c r="U6" s="29"/>
    </row>
    <row r="7" spans="1:21">
      <c r="A7" s="984" t="s">
        <v>12</v>
      </c>
      <c r="B7" s="675"/>
      <c r="C7" s="428"/>
      <c r="D7" s="427"/>
      <c r="E7" s="427"/>
      <c r="F7" s="429"/>
      <c r="G7" s="428"/>
      <c r="H7" s="985"/>
      <c r="I7" s="985"/>
      <c r="J7" s="986"/>
      <c r="K7" s="987"/>
      <c r="L7" s="987"/>
      <c r="M7" s="987"/>
      <c r="N7" s="987"/>
      <c r="O7" s="897"/>
      <c r="P7" s="825"/>
      <c r="Q7" s="825"/>
      <c r="R7" s="29"/>
      <c r="S7" s="29"/>
      <c r="T7" s="29"/>
      <c r="U7" s="29"/>
    </row>
    <row r="8" spans="1:21" s="5" customFormat="1">
      <c r="A8" s="178" t="s">
        <v>604</v>
      </c>
      <c r="B8" s="2201">
        <v>3835173</v>
      </c>
      <c r="C8" s="63">
        <f t="shared" ref="C8:N8" si="0">SUM(C4:C7)</f>
        <v>749000.24999999988</v>
      </c>
      <c r="D8" s="46">
        <f t="shared" si="0"/>
        <v>491500.24999999988</v>
      </c>
      <c r="E8" s="46">
        <f t="shared" si="0"/>
        <v>491500.24999999988</v>
      </c>
      <c r="F8" s="64">
        <f t="shared" si="0"/>
        <v>267750.25</v>
      </c>
      <c r="G8" s="63">
        <f t="shared" si="0"/>
        <v>416803.5</v>
      </c>
      <c r="H8" s="46">
        <f t="shared" si="0"/>
        <v>416803.5</v>
      </c>
      <c r="I8" s="46">
        <f t="shared" si="0"/>
        <v>-883196.5</v>
      </c>
      <c r="J8" s="64">
        <f t="shared" si="0"/>
        <v>416803.5</v>
      </c>
      <c r="K8" s="374">
        <f t="shared" si="0"/>
        <v>664696</v>
      </c>
      <c r="L8" s="374">
        <f t="shared" si="0"/>
        <v>3762565</v>
      </c>
      <c r="M8" s="374">
        <f t="shared" si="0"/>
        <v>3842800</v>
      </c>
      <c r="N8" s="374">
        <f t="shared" si="0"/>
        <v>4123684</v>
      </c>
      <c r="O8" s="1"/>
      <c r="P8" s="825"/>
      <c r="Q8" s="825"/>
      <c r="R8" s="29"/>
      <c r="S8" s="29"/>
      <c r="T8" s="30"/>
      <c r="U8" s="30"/>
    </row>
    <row r="9" spans="1:21">
      <c r="A9" s="56" t="s">
        <v>605</v>
      </c>
      <c r="B9" s="675">
        <v>-1562074</v>
      </c>
      <c r="C9" s="428"/>
      <c r="D9" s="427"/>
      <c r="E9" s="427">
        <v>-1000000</v>
      </c>
      <c r="F9" s="429"/>
      <c r="G9" s="428">
        <v>0</v>
      </c>
      <c r="H9" s="427">
        <v>0</v>
      </c>
      <c r="I9" s="427"/>
      <c r="J9" s="429"/>
      <c r="K9" s="447">
        <f>-K8</f>
        <v>-664696</v>
      </c>
      <c r="L9" s="447">
        <f>-L8</f>
        <v>-3762565</v>
      </c>
      <c r="M9" s="447">
        <f>-M8</f>
        <v>-3842800</v>
      </c>
      <c r="N9" s="447">
        <f>-N8</f>
        <v>-4123684</v>
      </c>
      <c r="O9" s="1"/>
      <c r="P9" s="825"/>
      <c r="Q9" s="825"/>
      <c r="R9" s="29"/>
      <c r="S9" s="72"/>
      <c r="T9" s="30"/>
      <c r="U9" s="30"/>
    </row>
    <row r="10" spans="1:21" s="5" customFormat="1">
      <c r="A10" t="s">
        <v>15</v>
      </c>
      <c r="B10" s="2040">
        <v>2273099</v>
      </c>
      <c r="C10" s="1">
        <f t="shared" ref="C10:N10" si="1">SUM(C8:C9)</f>
        <v>749000.24999999988</v>
      </c>
      <c r="D10" s="1">
        <f t="shared" si="1"/>
        <v>491500.24999999988</v>
      </c>
      <c r="E10" s="1">
        <f t="shared" si="1"/>
        <v>-508499.75000000012</v>
      </c>
      <c r="F10" s="1">
        <f t="shared" si="1"/>
        <v>267750.25</v>
      </c>
      <c r="G10" s="1">
        <f t="shared" si="1"/>
        <v>416803.5</v>
      </c>
      <c r="H10" s="1">
        <f t="shared" si="1"/>
        <v>416803.5</v>
      </c>
      <c r="I10" s="1">
        <f t="shared" si="1"/>
        <v>-883196.5</v>
      </c>
      <c r="J10" s="1">
        <f t="shared" si="1"/>
        <v>416803.5</v>
      </c>
      <c r="K10" s="1">
        <f t="shared" si="1"/>
        <v>0</v>
      </c>
      <c r="L10" s="1">
        <f t="shared" si="1"/>
        <v>0</v>
      </c>
      <c r="M10" s="1">
        <f t="shared" si="1"/>
        <v>0</v>
      </c>
      <c r="N10" s="1">
        <f t="shared" si="1"/>
        <v>0</v>
      </c>
      <c r="O10" s="1"/>
      <c r="P10" s="825"/>
      <c r="Q10" s="825"/>
      <c r="R10" s="29"/>
      <c r="S10" s="103"/>
      <c r="T10" s="30"/>
      <c r="U10" s="30"/>
    </row>
    <row r="11" spans="1:21">
      <c r="A11" s="5" t="s">
        <v>606</v>
      </c>
      <c r="B11" s="2040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825"/>
    </row>
    <row r="12" spans="1:21">
      <c r="A12" t="s">
        <v>19</v>
      </c>
      <c r="B12" s="2202">
        <v>1562074</v>
      </c>
      <c r="C12" s="63">
        <f t="shared" ref="C12:N12" si="2">+C67*-C9</f>
        <v>0</v>
      </c>
      <c r="D12" s="46">
        <f t="shared" si="2"/>
        <v>0</v>
      </c>
      <c r="E12" s="726">
        <f t="shared" si="2"/>
        <v>1000000</v>
      </c>
      <c r="F12" s="64">
        <f t="shared" si="2"/>
        <v>0</v>
      </c>
      <c r="G12" s="63">
        <f t="shared" si="2"/>
        <v>0</v>
      </c>
      <c r="H12" s="46">
        <f t="shared" si="2"/>
        <v>0</v>
      </c>
      <c r="I12" s="46">
        <f t="shared" si="2"/>
        <v>0</v>
      </c>
      <c r="J12" s="64">
        <f t="shared" si="2"/>
        <v>0</v>
      </c>
      <c r="K12" s="374">
        <f t="shared" si="2"/>
        <v>664696</v>
      </c>
      <c r="L12" s="374">
        <f t="shared" si="2"/>
        <v>3762565</v>
      </c>
      <c r="M12" s="374">
        <f t="shared" si="2"/>
        <v>3842800</v>
      </c>
      <c r="N12" s="374">
        <f t="shared" si="2"/>
        <v>4123684</v>
      </c>
      <c r="O12" s="1"/>
      <c r="P12" s="825"/>
    </row>
    <row r="13" spans="1:21">
      <c r="A13" t="s">
        <v>607</v>
      </c>
      <c r="B13" s="2200"/>
      <c r="C13" s="1948">
        <v>750000</v>
      </c>
      <c r="D13" s="1458"/>
      <c r="E13" s="1458"/>
      <c r="F13" s="1528"/>
      <c r="G13" s="1527"/>
      <c r="H13" s="1458"/>
      <c r="I13" s="1458"/>
      <c r="J13" s="1528"/>
      <c r="K13" s="1932"/>
      <c r="L13" s="1932"/>
      <c r="M13" s="1932"/>
      <c r="N13" s="1932"/>
      <c r="O13" s="1"/>
      <c r="P13" s="825"/>
    </row>
    <row r="14" spans="1:21">
      <c r="A14" t="s">
        <v>608</v>
      </c>
      <c r="B14" s="2200"/>
      <c r="C14" s="1948">
        <v>2500000</v>
      </c>
      <c r="D14" s="1458"/>
      <c r="E14" s="1458"/>
      <c r="F14" s="1528"/>
      <c r="G14" s="1527"/>
      <c r="H14" s="1458"/>
      <c r="I14" s="1458"/>
      <c r="J14" s="1528"/>
      <c r="K14" s="1932"/>
      <c r="L14" s="1932"/>
      <c r="M14" s="1932"/>
      <c r="N14" s="1932"/>
      <c r="O14" s="1"/>
      <c r="P14" s="825"/>
    </row>
    <row r="15" spans="1:21">
      <c r="A15" t="s">
        <v>609</v>
      </c>
      <c r="B15" s="2200"/>
      <c r="C15" s="1527"/>
      <c r="D15" s="1458"/>
      <c r="E15" s="1458"/>
      <c r="F15" s="1528"/>
      <c r="G15" s="1527"/>
      <c r="H15" s="1458"/>
      <c r="I15" s="1458"/>
      <c r="J15" s="1528"/>
      <c r="K15" s="1932"/>
      <c r="L15" s="1932"/>
      <c r="M15" s="1932"/>
      <c r="N15" s="1932"/>
      <c r="O15" s="1"/>
      <c r="P15" s="825"/>
    </row>
    <row r="16" spans="1:21">
      <c r="A16" s="988" t="s">
        <v>610</v>
      </c>
      <c r="B16" s="2200">
        <v>0</v>
      </c>
      <c r="C16" s="1527">
        <f>+-C65*C67</f>
        <v>0</v>
      </c>
      <c r="D16" s="1526">
        <v>3388588</v>
      </c>
      <c r="E16" s="1526">
        <v>475962</v>
      </c>
      <c r="F16" s="1949">
        <f>8935822-599089</f>
        <v>8336733</v>
      </c>
      <c r="G16" s="1527">
        <f t="shared" ref="G16:L16" si="3">+-G65*G67</f>
        <v>0</v>
      </c>
      <c r="H16" s="1929">
        <f t="shared" si="3"/>
        <v>0</v>
      </c>
      <c r="I16" s="1929">
        <f t="shared" si="3"/>
        <v>0</v>
      </c>
      <c r="J16" s="1930">
        <f t="shared" si="3"/>
        <v>0</v>
      </c>
      <c r="K16" s="1950">
        <f t="shared" si="3"/>
        <v>0</v>
      </c>
      <c r="L16" s="1950">
        <f t="shared" si="3"/>
        <v>0</v>
      </c>
      <c r="M16" s="1950">
        <f>-M64</f>
        <v>17000000</v>
      </c>
      <c r="N16" s="1950">
        <f>+-N65*N67</f>
        <v>0</v>
      </c>
      <c r="O16" s="897"/>
      <c r="P16" s="825"/>
    </row>
    <row r="17" spans="1:20">
      <c r="A17" s="144" t="s">
        <v>23</v>
      </c>
      <c r="B17" s="2201">
        <v>1562074</v>
      </c>
      <c r="C17" s="63">
        <f t="shared" ref="C17:N17" si="4">SUM(C12:C16)</f>
        <v>3250000</v>
      </c>
      <c r="D17" s="46">
        <f t="shared" si="4"/>
        <v>3388588</v>
      </c>
      <c r="E17" s="46">
        <f t="shared" si="4"/>
        <v>1475962</v>
      </c>
      <c r="F17" s="64">
        <f t="shared" si="4"/>
        <v>8336733</v>
      </c>
      <c r="G17" s="63">
        <f t="shared" si="4"/>
        <v>0</v>
      </c>
      <c r="H17" s="46">
        <f t="shared" si="4"/>
        <v>0</v>
      </c>
      <c r="I17" s="46">
        <f t="shared" si="4"/>
        <v>0</v>
      </c>
      <c r="J17" s="64">
        <f t="shared" si="4"/>
        <v>0</v>
      </c>
      <c r="K17" s="320">
        <f t="shared" si="4"/>
        <v>664696</v>
      </c>
      <c r="L17" s="320">
        <f t="shared" si="4"/>
        <v>3762565</v>
      </c>
      <c r="M17" s="320">
        <f t="shared" si="4"/>
        <v>20842800</v>
      </c>
      <c r="N17" s="320">
        <f t="shared" si="4"/>
        <v>4123684</v>
      </c>
      <c r="O17" s="897"/>
      <c r="P17" s="825"/>
    </row>
    <row r="18" spans="1:20">
      <c r="A18" s="5" t="s">
        <v>611</v>
      </c>
      <c r="B18" s="2202"/>
      <c r="C18" s="47"/>
      <c r="D18" s="1"/>
      <c r="E18" s="1"/>
      <c r="F18" s="50"/>
      <c r="G18" s="47"/>
      <c r="H18" s="1"/>
      <c r="I18" s="1"/>
      <c r="J18" s="50"/>
      <c r="K18" s="319"/>
      <c r="L18" s="319"/>
      <c r="M18" s="319"/>
      <c r="N18" s="319"/>
      <c r="P18" s="825"/>
      <c r="Q18" s="825"/>
    </row>
    <row r="19" spans="1:20">
      <c r="A19" t="s">
        <v>612</v>
      </c>
      <c r="B19" s="1942">
        <v>0</v>
      </c>
      <c r="C19" s="1526">
        <v>-125000</v>
      </c>
      <c r="D19" s="1526">
        <v>-3717883</v>
      </c>
      <c r="E19" s="1458"/>
      <c r="F19" s="1458"/>
      <c r="G19" s="1458"/>
      <c r="H19" s="1458"/>
      <c r="I19" s="1458">
        <f>-I17</f>
        <v>0</v>
      </c>
      <c r="J19" s="1458">
        <v>0</v>
      </c>
      <c r="K19" s="1458"/>
      <c r="L19" s="1458"/>
      <c r="M19" s="1458">
        <v>0</v>
      </c>
      <c r="N19" s="1458">
        <v>0</v>
      </c>
      <c r="O19" s="1"/>
      <c r="P19" s="825"/>
      <c r="Q19" s="825"/>
    </row>
    <row r="20" spans="1:20">
      <c r="A20" t="s">
        <v>613</v>
      </c>
      <c r="B20" s="1942"/>
      <c r="C20" s="1458"/>
      <c r="D20" s="1458"/>
      <c r="E20" s="1526">
        <f>+E61</f>
        <v>-1081671.2675276021</v>
      </c>
      <c r="F20" s="1458"/>
      <c r="G20" s="1458"/>
      <c r="H20" s="1458"/>
      <c r="I20" s="1458"/>
      <c r="J20" s="1458"/>
      <c r="K20" s="1458"/>
      <c r="L20" s="1458"/>
      <c r="M20" s="1458"/>
      <c r="N20" s="1458"/>
      <c r="O20" s="1"/>
      <c r="P20" s="825"/>
      <c r="Q20" s="825"/>
    </row>
    <row r="21" spans="1:20">
      <c r="A21" t="s">
        <v>614</v>
      </c>
      <c r="B21" s="1942"/>
      <c r="C21" s="1458"/>
      <c r="D21" s="1458"/>
      <c r="E21" s="1526"/>
      <c r="F21" s="1458"/>
      <c r="G21" s="1458"/>
      <c r="H21" s="1458"/>
      <c r="I21" s="1458"/>
      <c r="J21" s="1526">
        <f>+I62</f>
        <v>-4604401.1674821461</v>
      </c>
      <c r="K21" s="1458"/>
      <c r="L21" s="1458"/>
      <c r="M21" s="1458"/>
      <c r="N21" s="1458"/>
      <c r="O21" s="1"/>
      <c r="P21" s="825"/>
      <c r="Q21" s="825"/>
    </row>
    <row r="22" spans="1:20">
      <c r="A22" t="s">
        <v>615</v>
      </c>
      <c r="B22" s="1942"/>
      <c r="C22" s="1458"/>
      <c r="D22" s="1458"/>
      <c r="E22" s="1458"/>
      <c r="F22" s="1458"/>
      <c r="G22" s="1458"/>
      <c r="H22" s="1458"/>
      <c r="I22" s="1458"/>
      <c r="J22" s="1458"/>
      <c r="K22" s="1458"/>
      <c r="L22" s="1458"/>
      <c r="M22" s="1458"/>
      <c r="N22" s="1458"/>
      <c r="O22" s="1"/>
      <c r="P22" s="825"/>
      <c r="Q22" s="825"/>
    </row>
    <row r="23" spans="1:20">
      <c r="A23" t="s">
        <v>616</v>
      </c>
      <c r="B23" s="1942"/>
      <c r="C23" s="1458"/>
      <c r="D23" s="1458"/>
      <c r="E23" s="1458"/>
      <c r="F23" s="1458"/>
      <c r="G23" s="1458"/>
      <c r="H23" s="1458"/>
      <c r="I23" s="1458"/>
      <c r="J23" s="1458"/>
      <c r="K23" s="1458"/>
      <c r="L23" s="1458"/>
      <c r="M23" s="1458">
        <v>-2000000</v>
      </c>
      <c r="N23" s="1458"/>
      <c r="O23" s="1"/>
      <c r="P23" s="825"/>
      <c r="Q23" s="825"/>
    </row>
    <row r="24" spans="1:20">
      <c r="A24" t="s">
        <v>617</v>
      </c>
      <c r="B24" s="1942"/>
      <c r="C24" s="1458"/>
      <c r="D24" s="1458"/>
      <c r="E24" s="1526">
        <v>-2390342</v>
      </c>
      <c r="F24" s="1458"/>
      <c r="G24" s="1458"/>
      <c r="H24" s="1458"/>
      <c r="I24" s="1458"/>
      <c r="J24" s="1458"/>
      <c r="K24" s="1458"/>
      <c r="L24" s="1458"/>
      <c r="M24" s="1458"/>
      <c r="N24" s="1458"/>
      <c r="O24" s="1"/>
      <c r="P24" s="825"/>
      <c r="Q24" s="825"/>
    </row>
    <row r="25" spans="1:20">
      <c r="A25" s="66" t="s">
        <v>23</v>
      </c>
      <c r="B25" s="2203">
        <v>0</v>
      </c>
      <c r="C25" s="696">
        <f t="shared" ref="C25:N25" si="5">SUM(C19:C24)</f>
        <v>-125000</v>
      </c>
      <c r="D25" s="696">
        <f t="shared" si="5"/>
        <v>-3717883</v>
      </c>
      <c r="E25" s="696">
        <f t="shared" si="5"/>
        <v>-3472013.2675276021</v>
      </c>
      <c r="F25" s="696">
        <f t="shared" si="5"/>
        <v>0</v>
      </c>
      <c r="G25" s="696">
        <f t="shared" si="5"/>
        <v>0</v>
      </c>
      <c r="H25" s="696">
        <f t="shared" si="5"/>
        <v>0</v>
      </c>
      <c r="I25" s="696">
        <f t="shared" si="5"/>
        <v>0</v>
      </c>
      <c r="J25" s="696">
        <f t="shared" si="5"/>
        <v>-4604401.1674821461</v>
      </c>
      <c r="K25" s="696">
        <f t="shared" si="5"/>
        <v>0</v>
      </c>
      <c r="L25" s="696">
        <f t="shared" si="5"/>
        <v>0</v>
      </c>
      <c r="M25" s="696">
        <f t="shared" si="5"/>
        <v>-2000000</v>
      </c>
      <c r="N25" s="696">
        <f t="shared" si="5"/>
        <v>0</v>
      </c>
      <c r="O25" s="1"/>
      <c r="P25" s="825"/>
      <c r="Q25" s="825"/>
    </row>
    <row r="26" spans="1:20">
      <c r="B26" s="1074"/>
      <c r="C26" s="165"/>
      <c r="D26" s="165"/>
      <c r="E26" s="165"/>
      <c r="F26" s="165"/>
      <c r="G26" s="165"/>
      <c r="H26" s="165"/>
      <c r="I26" s="165"/>
      <c r="J26" s="165"/>
      <c r="K26" s="165"/>
      <c r="L26" s="165"/>
      <c r="M26" s="165"/>
      <c r="N26" s="165"/>
      <c r="O26" s="1"/>
      <c r="P26" s="825"/>
      <c r="Q26" s="825"/>
    </row>
    <row r="27" spans="1:20" s="5" customFormat="1">
      <c r="A27" s="23" t="s">
        <v>32</v>
      </c>
      <c r="B27" s="2041">
        <v>1562074</v>
      </c>
      <c r="C27" s="146">
        <f t="shared" ref="C27:N27" si="6">+C17+C25</f>
        <v>3125000</v>
      </c>
      <c r="D27" s="146">
        <f t="shared" si="6"/>
        <v>-329295</v>
      </c>
      <c r="E27" s="146">
        <f t="shared" si="6"/>
        <v>-1996051.2675276021</v>
      </c>
      <c r="F27" s="146">
        <f t="shared" si="6"/>
        <v>8336733</v>
      </c>
      <c r="G27" s="146">
        <f t="shared" si="6"/>
        <v>0</v>
      </c>
      <c r="H27" s="146">
        <f t="shared" si="6"/>
        <v>0</v>
      </c>
      <c r="I27" s="146">
        <f t="shared" si="6"/>
        <v>0</v>
      </c>
      <c r="J27" s="146">
        <f t="shared" si="6"/>
        <v>-4604401.1674821461</v>
      </c>
      <c r="K27" s="146">
        <f t="shared" si="6"/>
        <v>664696</v>
      </c>
      <c r="L27" s="146">
        <f t="shared" si="6"/>
        <v>3762565</v>
      </c>
      <c r="M27" s="146">
        <f t="shared" si="6"/>
        <v>18842800</v>
      </c>
      <c r="N27" s="146">
        <f t="shared" si="6"/>
        <v>4123684</v>
      </c>
      <c r="O27" s="6"/>
      <c r="P27" s="821"/>
      <c r="Q27" s="821"/>
    </row>
    <row r="28" spans="1:20">
      <c r="A28" t="s">
        <v>618</v>
      </c>
      <c r="B28" s="2040">
        <v>5956886</v>
      </c>
      <c r="C28" s="1">
        <f t="shared" ref="C28:N28" si="7">+C10+B28</f>
        <v>6705886.25</v>
      </c>
      <c r="D28" s="1">
        <f t="shared" si="7"/>
        <v>7197386.5</v>
      </c>
      <c r="E28" s="1">
        <f t="shared" si="7"/>
        <v>6688886.75</v>
      </c>
      <c r="F28" s="1">
        <f t="shared" si="7"/>
        <v>6956637</v>
      </c>
      <c r="G28" s="1">
        <f t="shared" si="7"/>
        <v>7373440.5</v>
      </c>
      <c r="H28" s="1">
        <f t="shared" si="7"/>
        <v>7790244</v>
      </c>
      <c r="I28" s="1">
        <f t="shared" si="7"/>
        <v>6907047.5</v>
      </c>
      <c r="J28" s="1">
        <f t="shared" si="7"/>
        <v>7323851</v>
      </c>
      <c r="K28" s="1">
        <f t="shared" si="7"/>
        <v>7323851</v>
      </c>
      <c r="L28" s="1">
        <f t="shared" si="7"/>
        <v>7323851</v>
      </c>
      <c r="M28" s="1">
        <f t="shared" si="7"/>
        <v>7323851</v>
      </c>
      <c r="N28" s="1">
        <f t="shared" si="7"/>
        <v>7323851</v>
      </c>
      <c r="O28" s="1"/>
      <c r="P28" s="825"/>
      <c r="Q28" s="825"/>
    </row>
    <row r="29" spans="1:20">
      <c r="B29" s="2040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825"/>
      <c r="Q29" s="825"/>
    </row>
    <row r="30" spans="1:20">
      <c r="A30" s="23" t="s">
        <v>33</v>
      </c>
      <c r="B30" s="1074">
        <v>0</v>
      </c>
      <c r="C30" s="1458">
        <v>250000</v>
      </c>
      <c r="D30" s="1458">
        <v>250000</v>
      </c>
      <c r="E30" s="1458">
        <v>250000</v>
      </c>
      <c r="F30" s="1458">
        <v>250000</v>
      </c>
      <c r="G30" s="1458">
        <v>250000</v>
      </c>
      <c r="H30" s="1458">
        <v>250000</v>
      </c>
      <c r="I30" s="1458">
        <v>250000</v>
      </c>
      <c r="J30" s="1458">
        <v>250000</v>
      </c>
      <c r="K30" s="1458">
        <v>1000000</v>
      </c>
      <c r="L30" s="1458">
        <v>1000000</v>
      </c>
      <c r="M30" s="1458">
        <v>1000000</v>
      </c>
      <c r="N30" s="1458">
        <v>1000000</v>
      </c>
      <c r="O30" s="1"/>
      <c r="P30" s="825"/>
    </row>
    <row r="31" spans="1:20">
      <c r="A31" s="23" t="s">
        <v>34</v>
      </c>
      <c r="B31" s="1074"/>
      <c r="C31" s="1458"/>
      <c r="D31" s="1458"/>
      <c r="E31" s="1458"/>
      <c r="F31" s="1458"/>
      <c r="G31" s="1458"/>
      <c r="H31" s="1458"/>
      <c r="I31" s="1458"/>
      <c r="J31" s="1458"/>
      <c r="K31" s="1458"/>
      <c r="L31" s="1458"/>
      <c r="M31" s="1458"/>
      <c r="N31" s="1458"/>
      <c r="O31" s="1"/>
      <c r="P31" s="825"/>
    </row>
    <row r="32" spans="1:20">
      <c r="A32" t="s">
        <v>35</v>
      </c>
      <c r="B32" s="2040"/>
      <c r="C32" s="6">
        <f t="shared" ref="C32:N32" si="8">B32+C30+C31</f>
        <v>250000</v>
      </c>
      <c r="D32" s="8">
        <f t="shared" si="8"/>
        <v>500000</v>
      </c>
      <c r="E32" s="8">
        <f t="shared" si="8"/>
        <v>750000</v>
      </c>
      <c r="F32" s="8">
        <f t="shared" si="8"/>
        <v>1000000</v>
      </c>
      <c r="G32" s="8">
        <f t="shared" si="8"/>
        <v>1250000</v>
      </c>
      <c r="H32" s="8">
        <f t="shared" si="8"/>
        <v>1500000</v>
      </c>
      <c r="I32" s="8">
        <f t="shared" si="8"/>
        <v>1750000</v>
      </c>
      <c r="J32" s="8">
        <f t="shared" si="8"/>
        <v>2000000</v>
      </c>
      <c r="K32" s="8">
        <f t="shared" si="8"/>
        <v>3000000</v>
      </c>
      <c r="L32" s="8">
        <f t="shared" si="8"/>
        <v>4000000</v>
      </c>
      <c r="M32" s="8">
        <f t="shared" si="8"/>
        <v>5000000</v>
      </c>
      <c r="N32" s="8">
        <f t="shared" si="8"/>
        <v>6000000</v>
      </c>
      <c r="O32" s="1473"/>
      <c r="P32" s="1473"/>
      <c r="Q32" s="1473"/>
      <c r="R32" s="1473"/>
      <c r="S32" s="1473"/>
      <c r="T32" s="1473"/>
    </row>
    <row r="33" spans="1:21">
      <c r="B33" s="2040"/>
      <c r="C33" s="6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1473"/>
      <c r="P33" s="1473"/>
      <c r="Q33" s="1473"/>
      <c r="R33" s="1473"/>
      <c r="S33" s="1473"/>
      <c r="T33" s="1473"/>
    </row>
    <row r="34" spans="1:21" ht="18.3" customHeight="1">
      <c r="A34" s="130" t="s">
        <v>619</v>
      </c>
      <c r="B34" s="2040"/>
      <c r="C34" s="1"/>
      <c r="E34" s="1"/>
      <c r="F34" s="1"/>
      <c r="G34" s="1"/>
      <c r="H34" s="1"/>
      <c r="I34" s="6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30"/>
    </row>
    <row r="35" spans="1:21" ht="14.7" customHeight="1" thickBot="1">
      <c r="A35" s="992" t="s">
        <v>37</v>
      </c>
      <c r="B35" s="2040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825"/>
      <c r="Q35" s="825"/>
      <c r="S35" s="150"/>
      <c r="T35" s="30"/>
      <c r="U35" s="30"/>
    </row>
    <row r="36" spans="1:21">
      <c r="A36" t="s">
        <v>39</v>
      </c>
      <c r="B36" s="2204">
        <v>7.4999999999999997E-2</v>
      </c>
      <c r="C36" s="662">
        <v>0.08</v>
      </c>
      <c r="D36" s="662">
        <v>0.08</v>
      </c>
      <c r="E36" s="662">
        <v>0.08</v>
      </c>
      <c r="F36" s="662">
        <v>7.4999999999999997E-2</v>
      </c>
      <c r="G36" s="664">
        <v>7.4999999999999997E-2</v>
      </c>
      <c r="H36" s="662">
        <v>0.08</v>
      </c>
      <c r="I36" s="662">
        <v>0.08</v>
      </c>
      <c r="J36" s="663">
        <v>0.08</v>
      </c>
      <c r="K36" s="665">
        <v>0.08</v>
      </c>
      <c r="L36" s="665">
        <v>0.08</v>
      </c>
      <c r="M36" s="665">
        <v>0.08</v>
      </c>
      <c r="N36" s="665">
        <v>0.08</v>
      </c>
      <c r="O36" s="163"/>
      <c r="P36" s="825"/>
      <c r="Q36" s="825"/>
      <c r="S36" s="9"/>
      <c r="T36" s="30"/>
      <c r="U36" s="30"/>
    </row>
    <row r="37" spans="1:21" s="5" customFormat="1">
      <c r="A37" s="981" t="s">
        <v>620</v>
      </c>
      <c r="B37" s="2205">
        <v>50000</v>
      </c>
      <c r="C37" s="652">
        <f>50000</f>
        <v>50000</v>
      </c>
      <c r="D37" s="652">
        <f>50000</f>
        <v>50000</v>
      </c>
      <c r="E37" s="652">
        <f>50000</f>
        <v>50000</v>
      </c>
      <c r="F37" s="652">
        <f>50000</f>
        <v>50000</v>
      </c>
      <c r="G37" s="653">
        <v>50000</v>
      </c>
      <c r="H37" s="652">
        <v>50000</v>
      </c>
      <c r="I37" s="652">
        <v>51500</v>
      </c>
      <c r="J37" s="654">
        <v>53045</v>
      </c>
      <c r="K37" s="655">
        <v>54636.35</v>
      </c>
      <c r="L37" s="655">
        <v>54636.35</v>
      </c>
      <c r="M37" s="655">
        <v>54636.35</v>
      </c>
      <c r="N37" s="655">
        <v>54636.35</v>
      </c>
      <c r="O37" s="1"/>
      <c r="P37" s="825"/>
      <c r="Q37" s="825"/>
      <c r="R37" s="29"/>
      <c r="S37" s="29"/>
      <c r="T37" s="30"/>
      <c r="U37" s="30"/>
    </row>
    <row r="38" spans="1:21">
      <c r="A38" s="981" t="s">
        <v>621</v>
      </c>
      <c r="B38" s="2205">
        <v>1000000</v>
      </c>
      <c r="C38" s="652">
        <f>1000000</f>
        <v>1000000</v>
      </c>
      <c r="D38" s="652">
        <f>1000000</f>
        <v>1000000</v>
      </c>
      <c r="E38" s="652">
        <f>1000000</f>
        <v>1000000</v>
      </c>
      <c r="F38" s="652">
        <f>1000000</f>
        <v>1000000</v>
      </c>
      <c r="G38" s="653">
        <f>1653000*(1-0.43)</f>
        <v>942210.00000000012</v>
      </c>
      <c r="H38" s="652">
        <f>1653000*(1-0.43)</f>
        <v>942210.00000000012</v>
      </c>
      <c r="I38" s="652">
        <f>1653000*(1-0.43)</f>
        <v>942210.00000000012</v>
      </c>
      <c r="J38" s="654">
        <f>1653000*(1-0.43)</f>
        <v>942210.00000000012</v>
      </c>
      <c r="K38" s="655">
        <v>1406886.0125</v>
      </c>
      <c r="L38" s="655">
        <v>1406886.0125</v>
      </c>
      <c r="M38" s="655">
        <v>1406886.0125</v>
      </c>
      <c r="N38" s="655">
        <v>1406886.0125</v>
      </c>
      <c r="O38" s="1"/>
      <c r="P38" s="825"/>
      <c r="Q38" s="825"/>
      <c r="R38" s="29"/>
      <c r="S38" s="29"/>
    </row>
    <row r="39" spans="1:21">
      <c r="A39" s="981" t="s">
        <v>622</v>
      </c>
      <c r="B39" s="2205">
        <v>912130</v>
      </c>
      <c r="C39" s="652">
        <f>912130</f>
        <v>912130</v>
      </c>
      <c r="D39" s="652">
        <f>912130</f>
        <v>912130</v>
      </c>
      <c r="E39" s="652">
        <f>912130</f>
        <v>912130</v>
      </c>
      <c r="F39" s="652">
        <f>912130</f>
        <v>912130</v>
      </c>
      <c r="G39" s="653">
        <v>1011331</v>
      </c>
      <c r="H39" s="652">
        <v>1011331</v>
      </c>
      <c r="I39" s="652">
        <v>1011331</v>
      </c>
      <c r="J39" s="654">
        <v>1011331</v>
      </c>
      <c r="K39" s="655">
        <v>1027058.870449556</v>
      </c>
      <c r="L39" s="655">
        <v>1027058.870449556</v>
      </c>
      <c r="M39" s="655">
        <v>1027058.870449556</v>
      </c>
      <c r="N39" s="655">
        <v>1027058.870449556</v>
      </c>
      <c r="O39" s="1"/>
      <c r="P39" s="825"/>
      <c r="Q39" s="825"/>
      <c r="R39" s="29"/>
      <c r="S39" s="72"/>
      <c r="T39" s="30"/>
      <c r="U39" s="30"/>
    </row>
    <row r="40" spans="1:21">
      <c r="A40" s="993" t="s">
        <v>41</v>
      </c>
      <c r="B40" s="2206">
        <v>4294965</v>
      </c>
      <c r="C40" s="667">
        <f t="shared" ref="C40:J40" si="9">C4*4-C37-C38-C39</f>
        <v>3658871</v>
      </c>
      <c r="D40" s="667">
        <f t="shared" si="9"/>
        <v>3658871</v>
      </c>
      <c r="E40" s="667">
        <f t="shared" si="9"/>
        <v>3658871</v>
      </c>
      <c r="F40" s="667">
        <f t="shared" si="9"/>
        <v>3658871</v>
      </c>
      <c r="G40" s="666">
        <f t="shared" si="9"/>
        <v>4213673</v>
      </c>
      <c r="H40" s="667">
        <f t="shared" si="9"/>
        <v>4213673</v>
      </c>
      <c r="I40" s="667">
        <f t="shared" si="9"/>
        <v>4212173</v>
      </c>
      <c r="J40" s="668">
        <f t="shared" si="9"/>
        <v>4210628</v>
      </c>
      <c r="K40" s="669">
        <f>K4-K37-K38-K39</f>
        <v>5276114.7670504441</v>
      </c>
      <c r="L40" s="669">
        <f>L4-L37-L38-L39</f>
        <v>5823983.7670504441</v>
      </c>
      <c r="M40" s="669">
        <f>M4-M37-M38-M39</f>
        <v>6874218.7670504441</v>
      </c>
      <c r="N40" s="669">
        <f>N4-N37-N38-N39</f>
        <v>7155102.7670504441</v>
      </c>
      <c r="O40" s="6"/>
      <c r="P40" s="825"/>
      <c r="Q40" s="825"/>
      <c r="R40" s="29"/>
      <c r="S40" s="103"/>
      <c r="T40" s="30"/>
      <c r="U40" s="30"/>
    </row>
    <row r="41" spans="1:21">
      <c r="A41" s="994" t="s">
        <v>623</v>
      </c>
      <c r="B41" s="2207">
        <v>57266200</v>
      </c>
      <c r="C41" s="671">
        <f t="shared" ref="C41:N41" si="10">+C40/C36</f>
        <v>45735887.5</v>
      </c>
      <c r="D41" s="671">
        <f t="shared" si="10"/>
        <v>45735887.5</v>
      </c>
      <c r="E41" s="671">
        <f t="shared" si="10"/>
        <v>45735887.5</v>
      </c>
      <c r="F41" s="671">
        <f t="shared" si="10"/>
        <v>48784946.666666672</v>
      </c>
      <c r="G41" s="670">
        <f t="shared" si="10"/>
        <v>56182306.666666672</v>
      </c>
      <c r="H41" s="671">
        <f t="shared" si="10"/>
        <v>52670912.5</v>
      </c>
      <c r="I41" s="671">
        <f t="shared" si="10"/>
        <v>52652162.5</v>
      </c>
      <c r="J41" s="672">
        <f t="shared" si="10"/>
        <v>52632850</v>
      </c>
      <c r="K41" s="673">
        <f t="shared" si="10"/>
        <v>65951434.588130549</v>
      </c>
      <c r="L41" s="673">
        <f t="shared" si="10"/>
        <v>72799797.088130549</v>
      </c>
      <c r="M41" s="673">
        <f t="shared" si="10"/>
        <v>85927734.588130549</v>
      </c>
      <c r="N41" s="673">
        <f t="shared" si="10"/>
        <v>89438784.588130549</v>
      </c>
      <c r="O41" s="147"/>
      <c r="P41" s="825"/>
      <c r="Q41" s="825"/>
      <c r="R41" s="29"/>
      <c r="S41" s="103"/>
      <c r="T41" s="30"/>
      <c r="U41" s="30"/>
    </row>
    <row r="42" spans="1:21">
      <c r="A42" s="995"/>
      <c r="B42" s="2208"/>
      <c r="C42" s="147"/>
      <c r="D42" s="147"/>
      <c r="E42" s="147"/>
      <c r="F42" s="147"/>
      <c r="G42" s="332"/>
      <c r="H42" s="147"/>
      <c r="I42" s="147"/>
      <c r="J42" s="333"/>
      <c r="K42" s="390"/>
      <c r="L42" s="390"/>
      <c r="M42" s="390"/>
      <c r="N42" s="390"/>
      <c r="O42" s="147"/>
      <c r="P42" s="825"/>
      <c r="Q42" s="825"/>
    </row>
    <row r="43" spans="1:21" ht="14.7" customHeight="1" thickBot="1">
      <c r="A43" s="992" t="s">
        <v>624</v>
      </c>
      <c r="B43" s="2209">
        <v>4575000</v>
      </c>
      <c r="C43" s="131"/>
      <c r="D43" s="131"/>
      <c r="E43" s="131">
        <f>65000000*0.08</f>
        <v>5200000</v>
      </c>
      <c r="F43" s="131" t="e">
        <f>(B43/#REF!)*SUM(C4:F4)</f>
        <v>#REF!</v>
      </c>
      <c r="G43" s="132" t="e">
        <f>((B43/#REF!)*G4*4)/G36</f>
        <v>#REF!</v>
      </c>
      <c r="H43" s="131"/>
      <c r="I43" s="131"/>
      <c r="J43" s="133"/>
      <c r="K43" s="321"/>
      <c r="L43" s="321"/>
      <c r="M43" s="321"/>
      <c r="N43" s="321"/>
      <c r="O43" s="147" t="s">
        <v>625</v>
      </c>
      <c r="P43" s="825"/>
      <c r="Q43" s="825"/>
      <c r="S43" s="5"/>
    </row>
    <row r="44" spans="1:21" ht="14.7" customHeight="1" thickBot="1">
      <c r="A44" s="996" t="s">
        <v>626</v>
      </c>
      <c r="B44" s="2200">
        <v>61000000</v>
      </c>
      <c r="C44" s="1458">
        <v>61000000</v>
      </c>
      <c r="D44" s="1458">
        <f>+C44+C44*0.03*0.5</f>
        <v>61915000</v>
      </c>
      <c r="E44" s="1458">
        <f>+C44+C44*0.03*0.75</f>
        <v>62372500</v>
      </c>
      <c r="F44" s="1942">
        <v>65000000</v>
      </c>
      <c r="G44" s="1527">
        <f t="shared" ref="G44:I46" si="11">+F44</f>
        <v>65000000</v>
      </c>
      <c r="H44" s="1458">
        <f t="shared" si="11"/>
        <v>65000000</v>
      </c>
      <c r="I44" s="1458">
        <f t="shared" si="11"/>
        <v>65000000</v>
      </c>
      <c r="J44" s="1528">
        <f>+F44*(1+$O$45)</f>
        <v>72410111.856816709</v>
      </c>
      <c r="K44" s="1932">
        <f>+J44*(1+$O$45)</f>
        <v>80664989.217180133</v>
      </c>
      <c r="L44" s="1932">
        <f>+K44*(1+$O$45)</f>
        <v>89860936.802229658</v>
      </c>
      <c r="M44" s="1932">
        <f>+L44*(1+$O$45)</f>
        <v>100105238.23704289</v>
      </c>
      <c r="N44" s="1932">
        <f>+M44*(1+$O$45)</f>
        <v>111517407.66457787</v>
      </c>
      <c r="O44" s="131">
        <f>+N3*F44</f>
        <v>111517407.6645779</v>
      </c>
      <c r="P44" s="912" t="s">
        <v>45</v>
      </c>
      <c r="Q44" s="1944">
        <v>0.03</v>
      </c>
    </row>
    <row r="45" spans="1:21">
      <c r="A45" s="996" t="s">
        <v>627</v>
      </c>
      <c r="B45" s="2200">
        <v>22500000</v>
      </c>
      <c r="C45" s="1458">
        <v>22500000</v>
      </c>
      <c r="D45" s="1458">
        <v>22500000</v>
      </c>
      <c r="E45" s="1458">
        <v>22500000</v>
      </c>
      <c r="F45" s="1458">
        <v>23500000</v>
      </c>
      <c r="G45" s="1527">
        <f t="shared" si="11"/>
        <v>23500000</v>
      </c>
      <c r="H45" s="1458">
        <f t="shared" si="11"/>
        <v>23500000</v>
      </c>
      <c r="I45" s="1458">
        <f t="shared" si="11"/>
        <v>23500000</v>
      </c>
      <c r="J45" s="1528">
        <f>+I45+1000000</f>
        <v>24500000</v>
      </c>
      <c r="K45" s="1932">
        <f>+J45+1000000</f>
        <v>25500000</v>
      </c>
      <c r="L45" s="1932">
        <f>+K45+1000000</f>
        <v>26500000</v>
      </c>
      <c r="M45" s="1932">
        <f>+L45+1000000</f>
        <v>27500000</v>
      </c>
      <c r="N45" s="1932">
        <f>+M45+1000000</f>
        <v>28500000</v>
      </c>
      <c r="O45" s="686">
        <f>(O44/F44)^(1/5)-1</f>
        <v>0.11400172087410332</v>
      </c>
      <c r="P45" s="912"/>
      <c r="Q45" s="982"/>
      <c r="R45" s="29"/>
      <c r="S45" s="53"/>
      <c r="T45" s="30"/>
      <c r="U45" s="30"/>
    </row>
    <row r="46" spans="1:21">
      <c r="A46" s="996" t="s">
        <v>628</v>
      </c>
      <c r="B46" s="2200">
        <v>775000</v>
      </c>
      <c r="C46" s="1458">
        <v>775000</v>
      </c>
      <c r="D46" s="1458">
        <v>775000</v>
      </c>
      <c r="E46" s="1458">
        <v>775000</v>
      </c>
      <c r="F46" s="1458">
        <f>775000*(1+$Q$44)</f>
        <v>798250</v>
      </c>
      <c r="G46" s="1527">
        <f t="shared" si="11"/>
        <v>798250</v>
      </c>
      <c r="H46" s="1458">
        <f t="shared" si="11"/>
        <v>798250</v>
      </c>
      <c r="I46" s="1458">
        <f t="shared" si="11"/>
        <v>798250</v>
      </c>
      <c r="J46" s="1528">
        <f>F46*(1+$Q$44)</f>
        <v>822197.5</v>
      </c>
      <c r="K46" s="1932">
        <f>J46*(1+$Q$44)</f>
        <v>846863.42500000005</v>
      </c>
      <c r="L46" s="1932">
        <f>K46*(1+$Q$44)</f>
        <v>872269.32775000005</v>
      </c>
      <c r="M46" s="1932">
        <f>L46*(1+$Q$44)</f>
        <v>898437.40758250013</v>
      </c>
      <c r="N46" s="1932">
        <f>M46*(1+$Q$44)</f>
        <v>925390.52980997518</v>
      </c>
      <c r="O46" s="131"/>
      <c r="P46" s="912"/>
      <c r="Q46" s="982"/>
      <c r="R46" s="29"/>
      <c r="S46" s="53"/>
      <c r="T46" s="30"/>
      <c r="U46" s="30"/>
    </row>
    <row r="47" spans="1:21">
      <c r="A47" s="996" t="s">
        <v>629</v>
      </c>
      <c r="B47" s="2200"/>
      <c r="C47" s="1458"/>
      <c r="D47" s="1458"/>
      <c r="E47" s="1458"/>
      <c r="F47" s="1458"/>
      <c r="G47" s="1527"/>
      <c r="H47" s="1458"/>
      <c r="I47" s="1458"/>
      <c r="J47" s="1528"/>
      <c r="K47" s="1932"/>
      <c r="L47" s="1932"/>
      <c r="M47" s="1932"/>
      <c r="N47" s="1932"/>
      <c r="O47" s="131"/>
      <c r="P47" s="825"/>
      <c r="Q47" s="825"/>
      <c r="R47" s="29"/>
      <c r="S47" s="53"/>
      <c r="T47" s="30"/>
      <c r="U47" s="30"/>
    </row>
    <row r="48" spans="1:21">
      <c r="A48" s="996" t="s">
        <v>630</v>
      </c>
      <c r="B48" s="2200"/>
      <c r="C48" s="1458"/>
      <c r="D48" s="1458"/>
      <c r="E48" s="1458"/>
      <c r="F48" s="1458"/>
      <c r="G48" s="1527"/>
      <c r="H48" s="1458"/>
      <c r="I48" s="1458"/>
      <c r="J48" s="1528"/>
      <c r="K48" s="1932"/>
      <c r="L48" s="1932"/>
      <c r="M48" s="1932"/>
      <c r="N48" s="1932"/>
      <c r="O48" s="131"/>
      <c r="P48" s="825"/>
      <c r="Q48" s="825"/>
      <c r="R48" s="29"/>
      <c r="S48" s="53"/>
      <c r="T48" s="30"/>
      <c r="U48" s="30"/>
    </row>
    <row r="49" spans="1:21">
      <c r="A49" s="996" t="s">
        <v>631</v>
      </c>
      <c r="B49" s="2200">
        <v>2582434</v>
      </c>
      <c r="C49" s="1458">
        <v>2582434</v>
      </c>
      <c r="D49" s="1458">
        <f>835152+925811</f>
        <v>1760963</v>
      </c>
      <c r="E49" s="1458">
        <f>835152+925811</f>
        <v>1760963</v>
      </c>
      <c r="F49" s="1458">
        <f>835152+925811</f>
        <v>1760963</v>
      </c>
      <c r="G49" s="1527">
        <v>925812</v>
      </c>
      <c r="H49" s="1458">
        <v>0</v>
      </c>
      <c r="I49" s="1458">
        <v>0</v>
      </c>
      <c r="J49" s="1528">
        <v>0</v>
      </c>
      <c r="K49" s="1932">
        <v>0</v>
      </c>
      <c r="L49" s="1932">
        <v>0</v>
      </c>
      <c r="M49" s="1932">
        <v>0</v>
      </c>
      <c r="N49" s="1932">
        <v>0</v>
      </c>
      <c r="O49" s="131"/>
      <c r="P49" s="825"/>
      <c r="Q49" s="825"/>
      <c r="R49" s="29"/>
      <c r="T49" s="30"/>
      <c r="U49" s="30"/>
    </row>
    <row r="50" spans="1:21" s="5" customFormat="1">
      <c r="A50" s="996" t="s">
        <v>632</v>
      </c>
      <c r="B50" s="2200">
        <v>8017566</v>
      </c>
      <c r="C50" s="1458">
        <f>9600000-C49</f>
        <v>7017566</v>
      </c>
      <c r="D50" s="1458">
        <f>9600000-D49</f>
        <v>7839037</v>
      </c>
      <c r="E50" s="1458">
        <f>9600000-E49</f>
        <v>7839037</v>
      </c>
      <c r="F50" s="1458">
        <f>9600000-F49</f>
        <v>7839037</v>
      </c>
      <c r="G50" s="1527">
        <f>9600000-G49</f>
        <v>8674188</v>
      </c>
      <c r="H50" s="1458">
        <v>9600000</v>
      </c>
      <c r="I50" s="1458">
        <v>9600000</v>
      </c>
      <c r="J50" s="1528">
        <v>9600000</v>
      </c>
      <c r="K50" s="1943">
        <f>+J50-1000000</f>
        <v>8600000</v>
      </c>
      <c r="L50" s="1943">
        <f>+K50-1000000</f>
        <v>7600000</v>
      </c>
      <c r="M50" s="1943">
        <f>+L50-1000000</f>
        <v>6600000</v>
      </c>
      <c r="N50" s="1943">
        <f>+M50-1000000</f>
        <v>5600000</v>
      </c>
      <c r="O50" s="131"/>
      <c r="P50" s="825"/>
      <c r="Q50" s="825"/>
      <c r="T50" s="30"/>
      <c r="U50" s="30"/>
    </row>
    <row r="51" spans="1:21">
      <c r="A51" s="996" t="s">
        <v>633</v>
      </c>
      <c r="B51" s="2200">
        <v>3900000</v>
      </c>
      <c r="C51" s="1458">
        <v>4900000</v>
      </c>
      <c r="D51" s="1458">
        <v>4900000</v>
      </c>
      <c r="E51" s="1458">
        <v>4900000</v>
      </c>
      <c r="F51" s="1458">
        <v>4900000</v>
      </c>
      <c r="G51" s="1527">
        <v>4900000</v>
      </c>
      <c r="H51" s="1458">
        <v>4900000</v>
      </c>
      <c r="I51" s="1458">
        <f>4900000</f>
        <v>4900000</v>
      </c>
      <c r="J51" s="1528">
        <f>4900000</f>
        <v>4900000</v>
      </c>
      <c r="K51" s="1932">
        <f>J51*(1.03)</f>
        <v>5047000</v>
      </c>
      <c r="L51" s="1932">
        <f>K51*(1.03)</f>
        <v>5198410</v>
      </c>
      <c r="M51" s="1943">
        <f>L51*(1.03)*10/7</f>
        <v>7649089</v>
      </c>
      <c r="N51" s="1932">
        <f>M51*(1.03)</f>
        <v>7878561.6699999999</v>
      </c>
      <c r="O51" s="1"/>
      <c r="P51" s="825"/>
      <c r="Q51" s="825"/>
      <c r="R51" s="5"/>
    </row>
    <row r="52" spans="1:21">
      <c r="A52" s="998" t="s">
        <v>634</v>
      </c>
      <c r="B52" s="2210">
        <v>98775000</v>
      </c>
      <c r="C52" s="137">
        <f t="shared" ref="C52:N52" si="12">SUM(C44:C51)</f>
        <v>98775000</v>
      </c>
      <c r="D52" s="137">
        <f t="shared" si="12"/>
        <v>99690000</v>
      </c>
      <c r="E52" s="137">
        <f t="shared" si="12"/>
        <v>100147500</v>
      </c>
      <c r="F52" s="137">
        <f t="shared" si="12"/>
        <v>103798250</v>
      </c>
      <c r="G52" s="138">
        <f t="shared" si="12"/>
        <v>103798250</v>
      </c>
      <c r="H52" s="137">
        <f t="shared" si="12"/>
        <v>103798250</v>
      </c>
      <c r="I52" s="137">
        <f t="shared" si="12"/>
        <v>103798250</v>
      </c>
      <c r="J52" s="139">
        <f t="shared" si="12"/>
        <v>112232309.35681671</v>
      </c>
      <c r="K52" s="389">
        <f t="shared" si="12"/>
        <v>120658852.64218013</v>
      </c>
      <c r="L52" s="389">
        <f t="shared" si="12"/>
        <v>130031616.12997966</v>
      </c>
      <c r="M52" s="389">
        <f t="shared" si="12"/>
        <v>142752764.6446254</v>
      </c>
      <c r="N52" s="389">
        <f t="shared" si="12"/>
        <v>154421359.86438784</v>
      </c>
      <c r="O52" s="147"/>
      <c r="P52" s="825"/>
      <c r="Q52" s="825"/>
    </row>
    <row r="53" spans="1:21">
      <c r="A53" s="981"/>
      <c r="B53" s="2202"/>
      <c r="C53" s="1"/>
      <c r="D53" s="1"/>
      <c r="E53" s="1"/>
      <c r="F53" s="1"/>
      <c r="G53" s="47"/>
      <c r="H53" s="1"/>
      <c r="I53" s="1"/>
      <c r="J53" s="50"/>
      <c r="K53" s="319"/>
      <c r="L53" s="319"/>
      <c r="M53" s="319"/>
      <c r="N53" s="319"/>
      <c r="O53" s="1"/>
      <c r="P53" s="825"/>
      <c r="Q53" s="825"/>
    </row>
    <row r="54" spans="1:21">
      <c r="A54" s="999" t="s">
        <v>55</v>
      </c>
      <c r="B54" s="2211">
        <v>0.61879432786885247</v>
      </c>
      <c r="C54" s="121">
        <f t="shared" ref="C54:N54" si="13">IFERROR(-SUM(C55:C56)/C44,0)</f>
        <v>0.70491803278688525</v>
      </c>
      <c r="D54" s="121">
        <f t="shared" si="13"/>
        <v>0.69450052491318748</v>
      </c>
      <c r="E54" s="121">
        <f t="shared" si="13"/>
        <v>0.68940638903362861</v>
      </c>
      <c r="F54" s="121">
        <f t="shared" si="13"/>
        <v>0.8</v>
      </c>
      <c r="G54" s="694">
        <f t="shared" si="13"/>
        <v>0.8</v>
      </c>
      <c r="H54" s="121">
        <f t="shared" si="13"/>
        <v>0.8</v>
      </c>
      <c r="I54" s="121">
        <f t="shared" si="13"/>
        <v>0.8</v>
      </c>
      <c r="J54" s="679">
        <f t="shared" si="13"/>
        <v>0.71813174522951251</v>
      </c>
      <c r="K54" s="678">
        <f t="shared" si="13"/>
        <v>0.64464150438298173</v>
      </c>
      <c r="L54" s="678">
        <f t="shared" si="13"/>
        <v>0.57867191073741131</v>
      </c>
      <c r="M54" s="678">
        <f t="shared" si="13"/>
        <v>0.68927461954200986</v>
      </c>
      <c r="N54" s="678">
        <f t="shared" si="13"/>
        <v>0.61873748184263966</v>
      </c>
      <c r="O54" s="1"/>
      <c r="P54" s="825"/>
      <c r="Q54" s="825"/>
    </row>
    <row r="55" spans="1:21">
      <c r="A55" s="988" t="s">
        <v>57</v>
      </c>
      <c r="B55" s="2200">
        <v>-37746454</v>
      </c>
      <c r="C55" s="1929">
        <v>-43000000</v>
      </c>
      <c r="D55" s="1458">
        <f>+C55</f>
        <v>-43000000</v>
      </c>
      <c r="E55" s="1929">
        <f>+D55</f>
        <v>-43000000</v>
      </c>
      <c r="F55" s="1929">
        <f>+E55-9000000</f>
        <v>-52000000</v>
      </c>
      <c r="G55" s="1928">
        <v>-52000000</v>
      </c>
      <c r="H55" s="1929">
        <v>-52000000</v>
      </c>
      <c r="I55" s="1929">
        <v>-52000000</v>
      </c>
      <c r="J55" s="1930">
        <v>-52000000</v>
      </c>
      <c r="K55" s="1931">
        <v>-52000000</v>
      </c>
      <c r="L55" s="1931">
        <v>-52000000</v>
      </c>
      <c r="M55" s="1931"/>
      <c r="N55" s="1931"/>
      <c r="O55" s="897" t="s">
        <v>635</v>
      </c>
      <c r="P55" s="1926">
        <v>8.7499999999999994E-2</v>
      </c>
      <c r="Q55" s="825"/>
      <c r="S55" s="5"/>
    </row>
    <row r="56" spans="1:21">
      <c r="A56" s="988" t="s">
        <v>636</v>
      </c>
      <c r="B56" s="2212"/>
      <c r="C56" s="1929"/>
      <c r="D56" s="1458"/>
      <c r="E56" s="1929"/>
      <c r="F56" s="1929"/>
      <c r="G56" s="1928"/>
      <c r="H56" s="1929"/>
      <c r="I56" s="1929"/>
      <c r="J56" s="1930"/>
      <c r="K56" s="1931"/>
      <c r="L56" s="1931"/>
      <c r="M56" s="1931">
        <v>-69000000</v>
      </c>
      <c r="N56" s="1931">
        <f>+M56</f>
        <v>-69000000</v>
      </c>
      <c r="O56" s="897" t="s">
        <v>637</v>
      </c>
      <c r="P56" s="1927">
        <v>0.08</v>
      </c>
      <c r="Q56" s="825"/>
      <c r="S56" s="5"/>
    </row>
    <row r="57" spans="1:21">
      <c r="A57" s="988" t="s">
        <v>638</v>
      </c>
      <c r="B57" s="2212"/>
      <c r="C57" s="1526">
        <v>-2500000</v>
      </c>
      <c r="D57" s="1526">
        <v>-2390342</v>
      </c>
      <c r="E57" s="1458"/>
      <c r="F57" s="1929"/>
      <c r="G57" s="1928"/>
      <c r="H57" s="1929"/>
      <c r="I57" s="1929"/>
      <c r="J57" s="1930"/>
      <c r="K57" s="1931"/>
      <c r="L57" s="1931"/>
      <c r="M57" s="1931"/>
      <c r="N57" s="1931"/>
      <c r="O57" s="897"/>
      <c r="P57" s="825"/>
      <c r="Q57" s="825"/>
      <c r="S57" s="5"/>
    </row>
    <row r="58" spans="1:21">
      <c r="A58" s="988" t="s">
        <v>639</v>
      </c>
      <c r="B58" s="2200">
        <v>-580000</v>
      </c>
      <c r="C58" s="1458"/>
      <c r="D58" s="1458">
        <f t="shared" ref="D58:N58" si="14">+IF(D55&gt;0,$S$4*$S$10,$S$36*$S$40)</f>
        <v>0</v>
      </c>
      <c r="E58" s="1458">
        <f t="shared" si="14"/>
        <v>0</v>
      </c>
      <c r="F58" s="1458">
        <f t="shared" si="14"/>
        <v>0</v>
      </c>
      <c r="G58" s="1527">
        <f t="shared" si="14"/>
        <v>0</v>
      </c>
      <c r="H58" s="1458">
        <f t="shared" si="14"/>
        <v>0</v>
      </c>
      <c r="I58" s="1458">
        <f t="shared" si="14"/>
        <v>0</v>
      </c>
      <c r="J58" s="1528">
        <f t="shared" si="14"/>
        <v>0</v>
      </c>
      <c r="K58" s="1932">
        <f t="shared" si="14"/>
        <v>0</v>
      </c>
      <c r="L58" s="1932">
        <f t="shared" si="14"/>
        <v>0</v>
      </c>
      <c r="M58" s="1932">
        <f t="shared" si="14"/>
        <v>0</v>
      </c>
      <c r="N58" s="1932">
        <f t="shared" si="14"/>
        <v>0</v>
      </c>
      <c r="O58" s="1"/>
      <c r="P58" s="825"/>
      <c r="Q58" s="825"/>
      <c r="S58" s="5"/>
    </row>
    <row r="59" spans="1:21">
      <c r="A59" s="988" t="s">
        <v>640</v>
      </c>
      <c r="B59" s="2200"/>
      <c r="C59" s="1458"/>
      <c r="D59" s="1458"/>
      <c r="E59" s="1458"/>
      <c r="F59" s="1458">
        <v>-750000</v>
      </c>
      <c r="G59" s="1527">
        <f>+F59</f>
        <v>-750000</v>
      </c>
      <c r="H59" s="1933"/>
      <c r="I59" s="1458"/>
      <c r="J59" s="1528"/>
      <c r="K59" s="1932"/>
      <c r="L59" s="1932"/>
      <c r="M59" s="1932"/>
      <c r="N59" s="1932"/>
      <c r="O59" s="1"/>
      <c r="P59" s="825"/>
      <c r="Q59" s="825"/>
      <c r="S59" s="5"/>
    </row>
    <row r="60" spans="1:21">
      <c r="A60" s="988" t="s">
        <v>63</v>
      </c>
      <c r="B60" s="2200"/>
      <c r="C60" s="1458"/>
      <c r="D60" s="1458"/>
      <c r="E60" s="1458"/>
      <c r="F60" s="1458"/>
      <c r="G60" s="1527">
        <f>+F60</f>
        <v>0</v>
      </c>
      <c r="H60" s="1458"/>
      <c r="I60" s="1458"/>
      <c r="J60" s="1528"/>
      <c r="K60" s="1932"/>
      <c r="L60" s="1932"/>
      <c r="M60" s="1932"/>
      <c r="N60" s="1932"/>
      <c r="O60" s="1"/>
      <c r="P60" s="825"/>
      <c r="Q60" s="825"/>
      <c r="S60" s="5"/>
    </row>
    <row r="61" spans="1:21">
      <c r="A61" s="988" t="s">
        <v>641</v>
      </c>
      <c r="B61" s="2200">
        <v>-993763.19824657543</v>
      </c>
      <c r="C61" s="1458">
        <f>-C99</f>
        <v>-1021924.6157290075</v>
      </c>
      <c r="D61" s="1458">
        <f>-C100</f>
        <v>-1051210.4150623516</v>
      </c>
      <c r="E61" s="1458">
        <f>-C101</f>
        <v>-1081671.2675276021</v>
      </c>
      <c r="F61" s="1458">
        <f>-D101</f>
        <v>0</v>
      </c>
      <c r="G61" s="1527"/>
      <c r="H61" s="1458"/>
      <c r="I61" s="1458"/>
      <c r="J61" s="1528"/>
      <c r="K61" s="1932"/>
      <c r="L61" s="1932"/>
      <c r="M61" s="1932"/>
      <c r="N61" s="1932"/>
      <c r="O61" s="1"/>
      <c r="P61" s="825"/>
      <c r="Q61" s="825"/>
      <c r="S61" s="5"/>
    </row>
    <row r="62" spans="1:21">
      <c r="A62" s="988" t="s">
        <v>642</v>
      </c>
      <c r="B62" s="2200">
        <v>-3062884</v>
      </c>
      <c r="C62" s="1458">
        <f>-H81-H88</f>
        <v>-3910200.2495896984</v>
      </c>
      <c r="D62" s="1458">
        <f>-H82-H89</f>
        <v>-4017767.9821009254</v>
      </c>
      <c r="E62" s="1458">
        <f>-H83-H90</f>
        <v>-4129526.1710378006</v>
      </c>
      <c r="F62" s="1458">
        <f>-H93</f>
        <v>-4244393.0244993791</v>
      </c>
      <c r="G62" s="1527">
        <f>-J93</f>
        <v>-4359853.8545586038</v>
      </c>
      <c r="H62" s="1458">
        <f>-K93</f>
        <v>-4479791.3419710239</v>
      </c>
      <c r="I62" s="1458">
        <f>-L93</f>
        <v>-4604401.1674821461</v>
      </c>
      <c r="J62" s="1528"/>
      <c r="K62" s="1932"/>
      <c r="L62" s="1932"/>
      <c r="M62" s="1932"/>
      <c r="N62" s="1932"/>
      <c r="O62" s="1"/>
      <c r="P62" s="825"/>
      <c r="Q62" s="825"/>
      <c r="S62" s="5"/>
    </row>
    <row r="63" spans="1:21" s="5" customFormat="1">
      <c r="A63" s="144" t="s">
        <v>66</v>
      </c>
      <c r="B63" s="2213">
        <v>-42383101.198246583</v>
      </c>
      <c r="C63" s="102">
        <f t="shared" ref="C63:N63" si="15">SUM(C55:C62)</f>
        <v>-50432124.865318701</v>
      </c>
      <c r="D63" s="102">
        <f t="shared" si="15"/>
        <v>-50459320.397163279</v>
      </c>
      <c r="E63" s="102">
        <f t="shared" si="15"/>
        <v>-48211197.438565403</v>
      </c>
      <c r="F63" s="102">
        <f t="shared" si="15"/>
        <v>-56994393.024499379</v>
      </c>
      <c r="G63" s="135">
        <f t="shared" si="15"/>
        <v>-57109853.854558602</v>
      </c>
      <c r="H63" s="102">
        <f t="shared" si="15"/>
        <v>-56479791.341971025</v>
      </c>
      <c r="I63" s="102">
        <f t="shared" si="15"/>
        <v>-56604401.167482145</v>
      </c>
      <c r="J63" s="136">
        <f t="shared" si="15"/>
        <v>-52000000</v>
      </c>
      <c r="K63" s="378">
        <f t="shared" si="15"/>
        <v>-52000000</v>
      </c>
      <c r="L63" s="378">
        <f t="shared" si="15"/>
        <v>-52000000</v>
      </c>
      <c r="M63" s="378">
        <f t="shared" si="15"/>
        <v>-69000000</v>
      </c>
      <c r="N63" s="378">
        <f t="shared" si="15"/>
        <v>-69000000</v>
      </c>
      <c r="O63" s="6"/>
      <c r="P63" s="825"/>
      <c r="Q63" s="825"/>
    </row>
    <row r="64" spans="1:21">
      <c r="A64" s="988" t="s">
        <v>643</v>
      </c>
      <c r="B64" s="2214">
        <v>2963789</v>
      </c>
      <c r="C64" s="985">
        <v>6899</v>
      </c>
      <c r="D64" s="985"/>
      <c r="E64" s="445"/>
      <c r="F64" s="985"/>
      <c r="G64" s="1000"/>
      <c r="H64" s="985"/>
      <c r="I64" s="985"/>
      <c r="J64" s="986"/>
      <c r="K64" s="987"/>
      <c r="L64" s="987"/>
      <c r="M64" s="987">
        <f>+M63-L63</f>
        <v>-17000000</v>
      </c>
      <c r="N64" s="987"/>
      <c r="O64" s="897"/>
      <c r="P64" s="825"/>
      <c r="Q64" s="825"/>
      <c r="S64" s="5"/>
    </row>
    <row r="65" spans="1:20">
      <c r="A65" s="143"/>
      <c r="B65" s="2215"/>
      <c r="C65" s="6"/>
      <c r="D65" s="6"/>
      <c r="E65" s="6"/>
      <c r="F65" s="6"/>
      <c r="G65" s="51"/>
      <c r="H65" s="6"/>
      <c r="I65" s="6"/>
      <c r="J65" s="52"/>
      <c r="K65" s="322"/>
      <c r="L65" s="322"/>
      <c r="M65" s="322"/>
      <c r="N65" s="322"/>
      <c r="O65" s="6"/>
      <c r="P65" s="825"/>
      <c r="Q65" s="825"/>
    </row>
    <row r="66" spans="1:20">
      <c r="A66" s="134"/>
      <c r="B66" s="2215"/>
      <c r="C66" s="6"/>
      <c r="D66" s="6"/>
      <c r="E66" s="6"/>
      <c r="F66" s="6"/>
      <c r="G66" s="51"/>
      <c r="H66" s="6"/>
      <c r="I66" s="6"/>
      <c r="J66" s="52"/>
      <c r="K66" s="322"/>
      <c r="L66" s="322"/>
      <c r="M66" s="322"/>
      <c r="N66" s="322"/>
      <c r="O66" s="6"/>
      <c r="P66" s="825"/>
      <c r="Q66" s="825"/>
    </row>
    <row r="67" spans="1:20" ht="14.7" customHeight="1" thickBot="1">
      <c r="A67" s="56" t="s">
        <v>644</v>
      </c>
      <c r="B67" s="2216">
        <v>1</v>
      </c>
      <c r="C67" s="1935">
        <v>1</v>
      </c>
      <c r="D67" s="1935">
        <v>1</v>
      </c>
      <c r="E67" s="1935">
        <v>1</v>
      </c>
      <c r="F67" s="1935">
        <v>1</v>
      </c>
      <c r="G67" s="1934">
        <v>1</v>
      </c>
      <c r="H67" s="1935">
        <v>1</v>
      </c>
      <c r="I67" s="1935">
        <v>1</v>
      </c>
      <c r="J67" s="1936">
        <v>1</v>
      </c>
      <c r="K67" s="1937">
        <v>1</v>
      </c>
      <c r="L67" s="1937">
        <v>1</v>
      </c>
      <c r="M67" s="1937">
        <v>1</v>
      </c>
      <c r="N67" s="1937">
        <v>1</v>
      </c>
      <c r="O67" s="121"/>
      <c r="P67" s="825"/>
      <c r="Q67" s="825"/>
    </row>
    <row r="68" spans="1:20" ht="14.7" customHeight="1" thickBot="1">
      <c r="A68" s="144" t="s">
        <v>645</v>
      </c>
      <c r="B68" s="2217">
        <v>56391898.801753417</v>
      </c>
      <c r="C68" s="761">
        <f t="shared" ref="C68:N68" si="16">(C52+C$63)*C$67</f>
        <v>48342875.134681299</v>
      </c>
      <c r="D68" s="761">
        <f t="shared" si="16"/>
        <v>49230679.602836721</v>
      </c>
      <c r="E68" s="761">
        <f t="shared" si="16"/>
        <v>51936302.561434597</v>
      </c>
      <c r="F68" s="761">
        <f t="shared" si="16"/>
        <v>46803856.975500621</v>
      </c>
      <c r="G68" s="760">
        <f t="shared" si="16"/>
        <v>46688396.145441398</v>
      </c>
      <c r="H68" s="761">
        <f t="shared" si="16"/>
        <v>47318458.658028975</v>
      </c>
      <c r="I68" s="761">
        <f t="shared" si="16"/>
        <v>47193848.832517855</v>
      </c>
      <c r="J68" s="762">
        <f t="shared" si="16"/>
        <v>60232309.356816709</v>
      </c>
      <c r="K68" s="735">
        <f t="shared" si="16"/>
        <v>68658852.64218013</v>
      </c>
      <c r="L68" s="735">
        <f t="shared" si="16"/>
        <v>78031616.129979655</v>
      </c>
      <c r="M68" s="735">
        <f t="shared" si="16"/>
        <v>73752764.644625396</v>
      </c>
      <c r="N68" s="735">
        <f t="shared" si="16"/>
        <v>85421359.86438784</v>
      </c>
      <c r="O68" s="1"/>
      <c r="P68" s="825"/>
      <c r="Q68" s="825"/>
    </row>
    <row r="69" spans="1:20">
      <c r="A69" s="134" t="s">
        <v>86</v>
      </c>
      <c r="B69" s="6"/>
      <c r="C69" s="6"/>
      <c r="D69" s="6"/>
      <c r="E69" s="6"/>
      <c r="F69" s="6"/>
      <c r="G69" s="6"/>
      <c r="H69" s="6"/>
      <c r="I69" s="6"/>
      <c r="J69" s="695">
        <f>((J68+SUM($G$27:J27))/$G$68)^(365/(J1-$G$1))-1</f>
        <v>0.26178081054397029</v>
      </c>
      <c r="K69" s="1078">
        <f>((K68+K27)/J68)^(365/(K1-J1))-1</f>
        <v>0.15093625634552454</v>
      </c>
      <c r="L69" s="1078">
        <f>((L68+L27)/K68)^(365/(L1-K1))-1</f>
        <v>0.19074329933068168</v>
      </c>
      <c r="M69" s="1078">
        <f>((M68+M27)/L68)^(365/(M1-L1))-1</f>
        <v>0.18664163626171892</v>
      </c>
      <c r="N69" s="1078">
        <f>((N68+N27)/M68)^(365/(N1-M1))-1</f>
        <v>0.21412457276492458</v>
      </c>
      <c r="O69" s="6"/>
    </row>
    <row r="70" spans="1:20">
      <c r="A70" s="5" t="s">
        <v>87</v>
      </c>
      <c r="B70" s="6"/>
      <c r="C70" s="6"/>
      <c r="D70" s="6"/>
      <c r="E70" s="6"/>
      <c r="F70" s="6"/>
      <c r="G70" s="6"/>
      <c r="H70" s="6"/>
      <c r="I70" s="6"/>
      <c r="J70" s="695">
        <f>XIRR(CHOOSE({1,2,3,4,5},-$G$68,$G$27,$H$27,$I$27,J27+J68),CHOOSE({1,2,3,4,5},$G$1,$G$1,$H$1,$I$1,J1))</f>
        <v>0.26178081631660455</v>
      </c>
      <c r="K70" s="1078">
        <f>XIRR(CHOOSE({1,2,3,4,5,6},-$G$68,$G$27,$H$27,$I$27,$J$27,$K$27+K68),CHOOSE({1,2,3,4,5,6},$G$1,$G$1,$H$1,$I$1,$J$1,K1))</f>
        <v>0.19514632821083069</v>
      </c>
      <c r="L70" s="1078">
        <f>XIRR(CHOOSE({1,2,3,4,5,6,7},-$G$68,$G$27,$H$27,$I$27,$J$27,$K$27,L27+L68),CHOOSE({1,2,3,4,5,6,7},$G$1,$G$1,$H$1,$I$1,$J$1,$K$1,L1))</f>
        <v>0.19351689219474788</v>
      </c>
      <c r="M70" s="1078">
        <f>XIRR(CHOOSE({1,2,3,4,5,6,7,8},-$G$68,$G$27,$H$27,$I$27,$J$27,$K$27,$L$27,M27+M68),CHOOSE({1,2,3,4,5,6,7,8},$G$1,$G$1,$H$1,$I$1,$J$1,$K$1,$L$1,M1))</f>
        <v>0.19172441363334658</v>
      </c>
      <c r="N70" s="1078">
        <f>XIRR(CHOOSE({1,2,3,4,5,6,7,8,9},-$G$68,$G$27,$H$27,$I$27,$J$27,$K$27,$L$27,$M$27,N27+N68),CHOOSE({1,2,3,4,5,6,7,8,9},$G$1,$G$1,$H$1,$I$1,$J$1,$K$1,$L$1,$M$1,N1))</f>
        <v>0.19554497599601744</v>
      </c>
      <c r="O70" s="6"/>
    </row>
    <row r="71" spans="1:20">
      <c r="A71" s="5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825"/>
      <c r="T71" s="825"/>
    </row>
    <row r="72" spans="1:20">
      <c r="A72" s="5" t="s">
        <v>646</v>
      </c>
      <c r="J72" s="2"/>
      <c r="K72" s="161">
        <f>IRR(L72:Q72)</f>
        <v>0.18461055405679505</v>
      </c>
      <c r="L72" s="2">
        <f>-F68</f>
        <v>-46803856.975500621</v>
      </c>
      <c r="M72" s="2">
        <f>+J27</f>
        <v>-4604401.1674821461</v>
      </c>
      <c r="N72" s="2">
        <f>+K27</f>
        <v>664696</v>
      </c>
      <c r="O72" s="2">
        <f>+L27</f>
        <v>3762565</v>
      </c>
      <c r="P72" s="2">
        <f>+M27</f>
        <v>18842800</v>
      </c>
      <c r="Q72" s="2">
        <f>+N27+N68</f>
        <v>89545043.86438784</v>
      </c>
      <c r="S72" s="825"/>
      <c r="T72" s="825"/>
    </row>
    <row r="73" spans="1:20" ht="15.6" customHeight="1">
      <c r="A73" s="223"/>
      <c r="B73" s="334" t="s">
        <v>647</v>
      </c>
      <c r="C73" s="223"/>
      <c r="D73" s="335"/>
      <c r="E73" s="335"/>
      <c r="G73" s="334" t="s">
        <v>648</v>
      </c>
      <c r="H73" s="223"/>
      <c r="S73" s="825"/>
      <c r="T73" s="825"/>
    </row>
    <row r="74" spans="1:20" ht="15.6" customHeight="1">
      <c r="A74" s="223"/>
      <c r="B74" s="223" t="s">
        <v>109</v>
      </c>
      <c r="C74" s="1938">
        <v>0.12</v>
      </c>
      <c r="D74" s="223"/>
      <c r="E74" s="223"/>
      <c r="G74" s="223" t="s">
        <v>109</v>
      </c>
      <c r="H74" s="1940">
        <v>0.11333370770815999</v>
      </c>
      <c r="S74" s="825"/>
      <c r="T74" s="825"/>
    </row>
    <row r="75" spans="1:20" ht="15.6" customHeight="1">
      <c r="A75" s="223"/>
      <c r="B75" s="223"/>
      <c r="C75" s="264"/>
      <c r="D75" s="343"/>
      <c r="E75" s="344"/>
      <c r="G75" s="223" t="s">
        <v>649</v>
      </c>
      <c r="H75" s="1941">
        <v>3062884</v>
      </c>
      <c r="S75" s="825"/>
      <c r="T75" s="825"/>
    </row>
    <row r="76" spans="1:20" ht="15.6" customHeight="1">
      <c r="A76" s="223"/>
      <c r="B76" s="223" t="s">
        <v>650</v>
      </c>
      <c r="C76" s="1939">
        <v>1000000</v>
      </c>
      <c r="D76" s="335">
        <f>C76</f>
        <v>1000000</v>
      </c>
      <c r="E76" s="223"/>
      <c r="G76" s="223" t="s">
        <v>651</v>
      </c>
      <c r="H76" s="314">
        <f>+H75*H74</f>
        <v>347127.99999999994</v>
      </c>
      <c r="S76" s="825"/>
      <c r="T76" s="825"/>
    </row>
    <row r="77" spans="1:20" ht="15.6" customHeight="1">
      <c r="A77" s="223"/>
      <c r="B77" s="223" t="s">
        <v>104</v>
      </c>
      <c r="C77" s="335">
        <f>+C76*12%</f>
        <v>120000</v>
      </c>
      <c r="D77" s="223"/>
      <c r="E77" s="223"/>
      <c r="G77" s="223" t="s">
        <v>652</v>
      </c>
      <c r="H77" s="314">
        <f>-H76</f>
        <v>-347127.99999999994</v>
      </c>
      <c r="S77" s="825"/>
      <c r="T77" s="825"/>
    </row>
    <row r="78" spans="1:20" ht="15.6" customHeight="1">
      <c r="A78" s="223"/>
      <c r="B78" s="223" t="s">
        <v>653</v>
      </c>
      <c r="C78" s="335">
        <v>-240000</v>
      </c>
      <c r="D78" s="335">
        <f>C78</f>
        <v>-240000</v>
      </c>
      <c r="E78" s="223"/>
      <c r="G78" s="336">
        <v>45657</v>
      </c>
      <c r="H78" s="326">
        <f>SUM(H75:H77)</f>
        <v>3062884</v>
      </c>
      <c r="S78" s="825"/>
    </row>
    <row r="79" spans="1:20" ht="15.6" customHeight="1">
      <c r="A79" s="223"/>
      <c r="B79" s="336">
        <v>44652</v>
      </c>
      <c r="C79" s="337">
        <f>SUM(C76:C78)</f>
        <v>880000</v>
      </c>
      <c r="D79" s="223"/>
      <c r="E79" s="223"/>
      <c r="G79" s="302"/>
      <c r="H79" s="285"/>
    </row>
    <row r="80" spans="1:20" ht="15.6" customHeight="1">
      <c r="A80" s="223"/>
      <c r="B80" s="302" t="s">
        <v>653</v>
      </c>
      <c r="C80" s="335">
        <f>-20000*B83*12</f>
        <v>-180164.38356164383</v>
      </c>
      <c r="D80" s="335">
        <f>C80</f>
        <v>-180164.38356164383</v>
      </c>
      <c r="E80" s="223"/>
      <c r="G80" s="334" t="s">
        <v>654</v>
      </c>
      <c r="H80" s="3" t="s">
        <v>655</v>
      </c>
      <c r="J80" s="3" t="s">
        <v>655</v>
      </c>
    </row>
    <row r="81" spans="1:13" ht="15.6" customHeight="1">
      <c r="A81" s="223"/>
      <c r="B81" s="302" t="s">
        <v>104</v>
      </c>
      <c r="C81" s="335">
        <f>C79*B83*12%</f>
        <v>79272.328767123297</v>
      </c>
      <c r="D81" s="338"/>
      <c r="E81" s="339" t="s">
        <v>656</v>
      </c>
      <c r="G81" s="150">
        <v>45747</v>
      </c>
      <c r="H81" s="43">
        <f>+$H$78*(1+$H$74)^((G81-$G$78)/360)</f>
        <v>3146204.071203074</v>
      </c>
      <c r="I81" s="150"/>
      <c r="J81" s="491">
        <v>46112</v>
      </c>
      <c r="K81" s="308">
        <v>46203</v>
      </c>
      <c r="L81" s="308">
        <v>46295</v>
      </c>
      <c r="M81" s="308">
        <v>46387</v>
      </c>
    </row>
    <row r="82" spans="1:13" ht="15.6" customHeight="1">
      <c r="A82" s="223"/>
      <c r="B82" s="336">
        <v>44926</v>
      </c>
      <c r="C82" s="337">
        <f>SUM(C79:C81)</f>
        <v>779107.94520547951</v>
      </c>
      <c r="D82" s="335">
        <f>SUM(D76:D81)</f>
        <v>579835.61643835623</v>
      </c>
      <c r="E82" s="340">
        <v>580000</v>
      </c>
      <c r="G82" s="150">
        <v>45838</v>
      </c>
      <c r="H82" s="43">
        <f>+$H$78*(1+$H$74)^((G82-$G$78)/360)</f>
        <v>3232754.6354593211</v>
      </c>
      <c r="I82" s="1"/>
      <c r="J82" s="1">
        <f>+$H$78*(1+$H$74)^((J81-$G$78)/360)</f>
        <v>3508001.9107722258</v>
      </c>
      <c r="K82" s="1">
        <f>+$H$78*(1+$H$74)^((K81-$G$78)/360)</f>
        <v>3604505.3599821269</v>
      </c>
      <c r="L82" s="1">
        <f>+$H$78*(1+$H$74)^((L81-$G$78)/360)</f>
        <v>3704768.2404768369</v>
      </c>
      <c r="M82" s="1">
        <f>+$H$78*(1+$H$74)^((M81-$G$78)/360)</f>
        <v>3807820.0321260993</v>
      </c>
    </row>
    <row r="83" spans="1:13" ht="15.6" customHeight="1">
      <c r="A83" s="223"/>
      <c r="B83" s="314">
        <f>(B82-B79)/365</f>
        <v>0.75068493150684934</v>
      </c>
      <c r="C83" s="335"/>
      <c r="D83" s="223"/>
      <c r="E83" s="235">
        <f>E82-D82</f>
        <v>164.38356164377183</v>
      </c>
      <c r="G83" s="150">
        <v>45930</v>
      </c>
      <c r="H83" s="43">
        <f>+$H$78*(1+$H$74)^((G83-$G$78)/360)</f>
        <v>3322676.9019878381</v>
      </c>
      <c r="I83" s="150"/>
      <c r="J83" s="43"/>
    </row>
    <row r="84" spans="1:13" ht="15.6" customHeight="1">
      <c r="A84" s="223"/>
      <c r="B84" s="223"/>
      <c r="C84" s="223"/>
      <c r="D84" s="223"/>
      <c r="E84" s="223"/>
      <c r="G84" s="150">
        <v>46022</v>
      </c>
      <c r="H84" s="43">
        <f>+$H$78*(1+$H$74)^((G84-$G$78)/360)</f>
        <v>3415100.4452692918</v>
      </c>
      <c r="I84" s="345"/>
      <c r="J84" s="43"/>
    </row>
    <row r="85" spans="1:13" ht="15.6" customHeight="1">
      <c r="A85" s="223"/>
      <c r="B85" s="341">
        <v>2023</v>
      </c>
      <c r="C85" s="223"/>
      <c r="D85" s="223"/>
      <c r="E85" s="223"/>
    </row>
    <row r="86" spans="1:13" ht="15.6" customHeight="1">
      <c r="A86" s="223"/>
      <c r="B86" s="223" t="s">
        <v>657</v>
      </c>
      <c r="C86" s="335">
        <f>+C82</f>
        <v>779107.94520547951</v>
      </c>
      <c r="D86" s="342">
        <f>D82</f>
        <v>579835.61643835623</v>
      </c>
      <c r="E86" s="342"/>
      <c r="G86" s="10" t="s">
        <v>658</v>
      </c>
      <c r="H86" s="3" t="s">
        <v>655</v>
      </c>
      <c r="J86" s="3" t="s">
        <v>655</v>
      </c>
    </row>
    <row r="87" spans="1:13" ht="15.6" customHeight="1">
      <c r="A87" s="223"/>
      <c r="B87" s="223" t="s">
        <v>104</v>
      </c>
      <c r="C87" s="335">
        <f>+C86*12%</f>
        <v>93492.953424657535</v>
      </c>
      <c r="D87" s="223"/>
      <c r="E87" s="223"/>
      <c r="G87" s="308">
        <v>45685</v>
      </c>
      <c r="H87" s="6">
        <v>750000</v>
      </c>
      <c r="J87" s="308">
        <v>46112</v>
      </c>
      <c r="K87" s="308">
        <v>46203</v>
      </c>
      <c r="L87" s="308">
        <v>46295</v>
      </c>
      <c r="M87" s="308">
        <v>46387</v>
      </c>
    </row>
    <row r="88" spans="1:13" ht="15.6" customHeight="1">
      <c r="A88" s="223"/>
      <c r="B88" s="223" t="s">
        <v>653</v>
      </c>
      <c r="C88" s="335">
        <f>-12*20000</f>
        <v>-240000</v>
      </c>
      <c r="D88" s="335">
        <f>C88</f>
        <v>-240000</v>
      </c>
      <c r="E88" s="223"/>
      <c r="G88" s="150">
        <v>45747</v>
      </c>
      <c r="H88" s="1">
        <f>+$H$87*(1+$H$74)^((G88-$G$87)/360)</f>
        <v>763996.1783866242</v>
      </c>
      <c r="J88" s="1">
        <f>+$H$87*(1+$H$74)^((J87-$G$87)/360)</f>
        <v>851851.94378637848</v>
      </c>
      <c r="K88" s="1">
        <f>+$H$87*(1+$H$74)^((K87-$G$87)/360)</f>
        <v>875285.98198889697</v>
      </c>
      <c r="L88" s="1">
        <f>+$H$87*(1+$H$74)^((L87-$G$87)/360)</f>
        <v>899632.92700530915</v>
      </c>
      <c r="M88" s="1">
        <f>+$H$87*(1+$H$74)^((M87-$G$87)/360)</f>
        <v>924657.10637007153</v>
      </c>
    </row>
    <row r="89" spans="1:13" ht="15.6" customHeight="1">
      <c r="A89" s="302">
        <v>45033</v>
      </c>
      <c r="B89" s="223" t="s">
        <v>659</v>
      </c>
      <c r="C89" s="335">
        <v>350000</v>
      </c>
      <c r="D89" s="335">
        <f>C89</f>
        <v>350000</v>
      </c>
      <c r="E89" s="314"/>
      <c r="G89" s="150">
        <v>45838</v>
      </c>
      <c r="H89" s="1">
        <f>+$H$87*(1+$H$74)^((G89-$G$87)/360)</f>
        <v>785013.34664160456</v>
      </c>
      <c r="I89" s="150"/>
      <c r="J89" s="1"/>
    </row>
    <row r="90" spans="1:13" ht="15.6" customHeight="1">
      <c r="A90" s="223"/>
      <c r="B90" s="223"/>
      <c r="C90" s="335">
        <f>+C89*C74*B92</f>
        <v>29687.67123287671</v>
      </c>
      <c r="D90" s="223"/>
      <c r="E90" s="339" t="s">
        <v>660</v>
      </c>
      <c r="G90" s="150">
        <v>45930</v>
      </c>
      <c r="H90" s="1">
        <f>+$H$87*(1+$H$74)^((G90-$G$87)/360)</f>
        <v>806849.2690499624</v>
      </c>
      <c r="I90" s="150"/>
      <c r="J90" s="1"/>
    </row>
    <row r="91" spans="1:13" ht="15.6" customHeight="1">
      <c r="A91" s="223"/>
      <c r="B91" s="336">
        <v>45291</v>
      </c>
      <c r="C91" s="337">
        <f>SUM(C86:C90)</f>
        <v>1012288.5698630138</v>
      </c>
      <c r="D91" s="337">
        <f>SUM(D86:D90)</f>
        <v>689835.61643835623</v>
      </c>
      <c r="E91" s="340">
        <v>690000</v>
      </c>
      <c r="G91" s="150">
        <v>46022</v>
      </c>
      <c r="H91" s="1">
        <f>+$H$87*(1+$H$74)^((G91-$G$87)/360)</f>
        <v>829292.57923008699</v>
      </c>
      <c r="I91" s="150"/>
      <c r="J91" s="1"/>
    </row>
    <row r="92" spans="1:13" ht="15.6" customHeight="1">
      <c r="A92" s="223"/>
      <c r="B92" s="314">
        <f>(B91-A89)/365</f>
        <v>0.70684931506849313</v>
      </c>
      <c r="C92" s="314"/>
      <c r="D92" s="223"/>
      <c r="E92" s="235">
        <f>E91-D91</f>
        <v>164.38356164377183</v>
      </c>
    </row>
    <row r="93" spans="1:13" ht="15.6" customHeight="1">
      <c r="A93" s="223"/>
      <c r="B93" s="341">
        <v>2024</v>
      </c>
      <c r="C93" s="223"/>
      <c r="D93" s="223"/>
      <c r="E93" s="223"/>
      <c r="G93" s="201" t="s">
        <v>661</v>
      </c>
      <c r="H93" s="492">
        <f>+H91+H84</f>
        <v>4244393.0244993791</v>
      </c>
      <c r="I93" s="104"/>
      <c r="J93" s="492">
        <f>+J82+J88</f>
        <v>4359853.8545586038</v>
      </c>
      <c r="K93" s="492">
        <f>+K82+K88</f>
        <v>4479791.3419710239</v>
      </c>
      <c r="L93" s="492">
        <f>+L82+L88</f>
        <v>4604401.1674821461</v>
      </c>
      <c r="M93" s="492">
        <f>+M82+M88</f>
        <v>4732477.1384961708</v>
      </c>
    </row>
    <row r="94" spans="1:13" ht="15.6" customHeight="1">
      <c r="A94" s="223"/>
      <c r="B94" s="223" t="s">
        <v>183</v>
      </c>
      <c r="C94" s="335">
        <v>1012288.569863014</v>
      </c>
      <c r="D94" s="335">
        <f>D91</f>
        <v>689835.61643835623</v>
      </c>
      <c r="E94" s="223"/>
    </row>
    <row r="95" spans="1:13" ht="15.6" customHeight="1">
      <c r="A95" s="223"/>
      <c r="B95" s="223" t="s">
        <v>653</v>
      </c>
      <c r="C95" s="335">
        <v>-140000</v>
      </c>
      <c r="D95" s="335">
        <f>C95</f>
        <v>-140000</v>
      </c>
      <c r="E95" s="223"/>
      <c r="G95" s="18" t="s">
        <v>662</v>
      </c>
      <c r="J95" s="187">
        <f>-J88-J82</f>
        <v>-4359853.8545586038</v>
      </c>
      <c r="K95" s="187">
        <f>-K88-K82</f>
        <v>-4479791.3419710239</v>
      </c>
      <c r="L95" s="187">
        <f>-L88-L82</f>
        <v>-4604401.1674821461</v>
      </c>
      <c r="M95" s="187">
        <f>-M88-M82</f>
        <v>-4732477.1384961708</v>
      </c>
    </row>
    <row r="96" spans="1:13" ht="15.6" customHeight="1">
      <c r="A96" s="223"/>
      <c r="B96" s="302" t="s">
        <v>104</v>
      </c>
      <c r="C96" s="335">
        <v>121474.62838356161</v>
      </c>
      <c r="D96" s="338"/>
      <c r="E96" s="339" t="s">
        <v>663</v>
      </c>
    </row>
    <row r="97" spans="1:5" ht="15.6" customHeight="1">
      <c r="A97" s="302">
        <v>45657</v>
      </c>
      <c r="B97" s="228" t="s">
        <v>664</v>
      </c>
      <c r="C97" s="337">
        <v>993763.19824657543</v>
      </c>
      <c r="D97" s="335">
        <f>SUM(D94:D96)</f>
        <v>549835.61643835623</v>
      </c>
      <c r="E97" s="342">
        <v>550000</v>
      </c>
    </row>
    <row r="98" spans="1:5" ht="15.6" customHeight="1">
      <c r="A98" s="223"/>
      <c r="B98" s="223"/>
      <c r="C98" s="335"/>
      <c r="D98" s="223"/>
      <c r="E98" s="235">
        <f>E97-D97</f>
        <v>164.38356164377183</v>
      </c>
    </row>
    <row r="99" spans="1:5">
      <c r="B99" s="150">
        <v>45747</v>
      </c>
      <c r="C99" s="1">
        <f>+$C$97*(1+$C$74)^((B99-$A$97)/365)</f>
        <v>1021924.6157290075</v>
      </c>
    </row>
    <row r="100" spans="1:5" ht="15.6" customHeight="1">
      <c r="B100" s="302">
        <v>45838</v>
      </c>
      <c r="C100" s="1">
        <f>+$C$97*(1+$C$74)^((B100-$A$97)/365)</f>
        <v>1051210.4150623516</v>
      </c>
    </row>
    <row r="101" spans="1:5" ht="15.6" customHeight="1">
      <c r="B101" s="302">
        <v>45930</v>
      </c>
      <c r="C101" s="1">
        <f>+$C$97*(1+$C$74)^((B101-$A$97)/365)</f>
        <v>1081671.2675276021</v>
      </c>
    </row>
    <row r="102" spans="1:5" ht="15.6" customHeight="1">
      <c r="A102" s="346" t="s">
        <v>665</v>
      </c>
      <c r="B102" s="150">
        <v>46009</v>
      </c>
      <c r="C102" s="1">
        <f>+C97*(1+$C$74)^((B102-A97)/365)</f>
        <v>1108531.3036519235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2">
    <tabColor rgb="FFB4C6E7"/>
  </sheetPr>
  <dimension ref="A1:W78"/>
  <sheetViews>
    <sheetView showGridLines="0" zoomScale="70" zoomScaleNormal="70" workbookViewId="0">
      <pane xSplit="1" ySplit="2" topLeftCell="B3" activePane="bottomRight" state="frozen"/>
      <selection activeCell="I20" sqref="I20"/>
      <selection pane="topRight" activeCell="I20" sqref="I20"/>
      <selection pane="bottomLeft" activeCell="I20" sqref="I20"/>
      <selection pane="bottomRight" activeCell="B1" sqref="B1:B1048576"/>
    </sheetView>
  </sheetViews>
  <sheetFormatPr defaultRowHeight="14.4"/>
  <cols>
    <col min="1" max="1" width="31.578125" bestFit="1" customWidth="1"/>
    <col min="2" max="2" width="16" style="649" bestFit="1" customWidth="1"/>
    <col min="3" max="6" width="16.578125" bestFit="1" customWidth="1"/>
    <col min="7" max="8" width="16.68359375" bestFit="1" customWidth="1"/>
    <col min="9" max="9" width="16.578125" bestFit="1" customWidth="1"/>
    <col min="10" max="13" width="17.41796875" bestFit="1" customWidth="1"/>
    <col min="14" max="14" width="17.68359375" bestFit="1" customWidth="1"/>
    <col min="15" max="15" width="19" bestFit="1" customWidth="1"/>
    <col min="16" max="16" width="19.578125" bestFit="1" customWidth="1"/>
    <col min="17" max="17" width="10.68359375" bestFit="1" customWidth="1"/>
    <col min="18" max="20" width="12.578125" bestFit="1" customWidth="1"/>
    <col min="21" max="21" width="17" bestFit="1" customWidth="1"/>
    <col min="22" max="23" width="16.68359375" bestFit="1" customWidth="1"/>
  </cols>
  <sheetData>
    <row r="1" spans="1:21" s="25" customFormat="1" ht="18.3" customHeight="1">
      <c r="A1" s="526" t="s">
        <v>666</v>
      </c>
      <c r="B1" s="2198">
        <v>45657</v>
      </c>
      <c r="C1" s="422">
        <v>45747</v>
      </c>
      <c r="D1" s="422">
        <v>45838</v>
      </c>
      <c r="E1" s="422">
        <v>45930</v>
      </c>
      <c r="F1" s="422">
        <v>46022</v>
      </c>
      <c r="G1" s="422">
        <v>46112</v>
      </c>
      <c r="H1" s="422">
        <v>46203</v>
      </c>
      <c r="I1" s="422">
        <v>46295</v>
      </c>
      <c r="J1" s="422">
        <v>46387</v>
      </c>
      <c r="K1" s="422">
        <v>46752</v>
      </c>
      <c r="L1" s="422">
        <v>47118</v>
      </c>
      <c r="M1" s="422">
        <v>47483</v>
      </c>
      <c r="N1" s="422">
        <v>47848</v>
      </c>
      <c r="O1" s="122"/>
    </row>
    <row r="2" spans="1:21" ht="15.6" customHeight="1">
      <c r="A2" s="764" t="s">
        <v>667</v>
      </c>
      <c r="B2" s="2198" t="s">
        <v>2</v>
      </c>
      <c r="C2" s="422" t="s">
        <v>3</v>
      </c>
      <c r="D2" s="422" t="s">
        <v>4</v>
      </c>
      <c r="E2" s="422" t="s">
        <v>5</v>
      </c>
      <c r="F2" s="422" t="s">
        <v>2</v>
      </c>
      <c r="G2" s="422" t="s">
        <v>3</v>
      </c>
      <c r="H2" s="422" t="s">
        <v>4</v>
      </c>
      <c r="I2" s="422" t="s">
        <v>5</v>
      </c>
      <c r="J2" s="422" t="s">
        <v>2</v>
      </c>
      <c r="K2" s="422" t="s">
        <v>2</v>
      </c>
      <c r="L2" s="422" t="s">
        <v>2</v>
      </c>
      <c r="M2" s="422" t="s">
        <v>2</v>
      </c>
      <c r="N2" s="422" t="s">
        <v>2</v>
      </c>
      <c r="O2" s="1"/>
    </row>
    <row r="3" spans="1:21" ht="15.6" customHeight="1">
      <c r="A3" s="506"/>
      <c r="B3" s="2218"/>
      <c r="C3" s="507"/>
      <c r="D3" s="217"/>
      <c r="E3" s="217"/>
      <c r="F3" s="508"/>
      <c r="G3" s="507"/>
      <c r="H3" s="217"/>
      <c r="I3" s="217"/>
      <c r="J3" s="508"/>
      <c r="K3" s="509"/>
      <c r="L3" s="509"/>
      <c r="M3" s="509"/>
      <c r="N3" s="509"/>
      <c r="O3" s="1"/>
    </row>
    <row r="4" spans="1:21">
      <c r="A4" s="162" t="s">
        <v>668</v>
      </c>
      <c r="B4" s="2040"/>
      <c r="C4" s="58"/>
      <c r="D4" s="36"/>
      <c r="E4" s="36"/>
      <c r="F4" s="59"/>
      <c r="G4" s="47"/>
      <c r="H4" s="1"/>
      <c r="I4" s="1"/>
      <c r="J4" s="50"/>
      <c r="K4" s="319"/>
      <c r="L4" s="319"/>
      <c r="M4" s="319"/>
      <c r="N4" s="319"/>
      <c r="O4" s="1"/>
    </row>
    <row r="5" spans="1:21">
      <c r="A5" s="896" t="s">
        <v>8</v>
      </c>
      <c r="B5" s="1074">
        <v>0</v>
      </c>
      <c r="C5" s="478">
        <v>0</v>
      </c>
      <c r="D5" s="479">
        <v>0</v>
      </c>
      <c r="E5" s="479">
        <v>0</v>
      </c>
      <c r="F5" s="480">
        <v>0</v>
      </c>
      <c r="G5" s="428">
        <v>0</v>
      </c>
      <c r="H5" s="427"/>
      <c r="I5" s="427"/>
      <c r="J5" s="429"/>
      <c r="K5" s="447"/>
      <c r="L5" s="447">
        <v>0</v>
      </c>
      <c r="M5" s="447">
        <v>0</v>
      </c>
      <c r="N5" s="447">
        <v>0</v>
      </c>
      <c r="O5" s="1"/>
      <c r="P5" s="5"/>
      <c r="Q5" s="156"/>
    </row>
    <row r="6" spans="1:21">
      <c r="A6" s="13" t="s">
        <v>11</v>
      </c>
      <c r="B6" s="1074"/>
      <c r="C6" s="478"/>
      <c r="D6" s="479"/>
      <c r="E6" s="479"/>
      <c r="F6" s="480"/>
      <c r="G6" s="428"/>
      <c r="H6" s="427"/>
      <c r="I6" s="427"/>
      <c r="J6" s="429"/>
      <c r="K6" s="447"/>
      <c r="L6" s="447"/>
      <c r="M6" s="447"/>
      <c r="N6" s="447"/>
      <c r="O6" s="1"/>
      <c r="Q6" s="157"/>
    </row>
    <row r="7" spans="1:21">
      <c r="A7" s="65" t="s">
        <v>12</v>
      </c>
      <c r="B7" s="1074"/>
      <c r="C7" s="478"/>
      <c r="D7" s="479"/>
      <c r="E7" s="479"/>
      <c r="F7" s="480"/>
      <c r="G7" s="428"/>
      <c r="H7" s="427"/>
      <c r="I7" s="427"/>
      <c r="J7" s="429"/>
      <c r="K7" s="447"/>
      <c r="L7" s="447"/>
      <c r="M7" s="447"/>
      <c r="N7" s="447"/>
      <c r="O7" s="1"/>
      <c r="P7" s="5"/>
      <c r="Q7" s="158"/>
    </row>
    <row r="8" spans="1:21">
      <c r="A8" s="65" t="s">
        <v>13</v>
      </c>
      <c r="B8" s="2219">
        <v>0</v>
      </c>
      <c r="C8" s="168">
        <f t="shared" ref="C8:N8" si="0">SUM(C5:C7)</f>
        <v>0</v>
      </c>
      <c r="D8" s="169">
        <f t="shared" si="0"/>
        <v>0</v>
      </c>
      <c r="E8" s="169">
        <f t="shared" si="0"/>
        <v>0</v>
      </c>
      <c r="F8" s="170">
        <f t="shared" si="0"/>
        <v>0</v>
      </c>
      <c r="G8" s="63">
        <f t="shared" si="0"/>
        <v>0</v>
      </c>
      <c r="H8" s="46">
        <f t="shared" si="0"/>
        <v>0</v>
      </c>
      <c r="I8" s="46">
        <f t="shared" si="0"/>
        <v>0</v>
      </c>
      <c r="J8" s="64">
        <f t="shared" si="0"/>
        <v>0</v>
      </c>
      <c r="K8" s="374">
        <f t="shared" si="0"/>
        <v>0</v>
      </c>
      <c r="L8" s="374">
        <f t="shared" si="0"/>
        <v>0</v>
      </c>
      <c r="M8" s="374">
        <f t="shared" si="0"/>
        <v>0</v>
      </c>
      <c r="N8" s="374">
        <f t="shared" si="0"/>
        <v>0</v>
      </c>
      <c r="O8" s="1"/>
      <c r="P8" s="33"/>
      <c r="Q8" s="33"/>
      <c r="R8" s="33"/>
      <c r="S8" s="33"/>
    </row>
    <row r="9" spans="1:21">
      <c r="A9" s="65" t="s">
        <v>14</v>
      </c>
      <c r="B9" s="1074"/>
      <c r="C9" s="478"/>
      <c r="D9" s="479"/>
      <c r="E9" s="479"/>
      <c r="F9" s="480"/>
      <c r="G9" s="428"/>
      <c r="H9" s="427">
        <v>0</v>
      </c>
      <c r="I9" s="427">
        <v>0</v>
      </c>
      <c r="J9" s="429"/>
      <c r="K9" s="447"/>
      <c r="L9" s="447"/>
      <c r="M9" s="447"/>
      <c r="N9" s="447"/>
      <c r="O9" s="1"/>
    </row>
    <row r="10" spans="1:21">
      <c r="A10" s="65" t="s">
        <v>15</v>
      </c>
      <c r="B10" s="2040">
        <v>0</v>
      </c>
      <c r="C10" s="58">
        <f t="shared" ref="C10:N10" si="1">SUM(C8:C9)</f>
        <v>0</v>
      </c>
      <c r="D10" s="36">
        <f t="shared" si="1"/>
        <v>0</v>
      </c>
      <c r="E10" s="36">
        <f t="shared" si="1"/>
        <v>0</v>
      </c>
      <c r="F10" s="59">
        <f t="shared" si="1"/>
        <v>0</v>
      </c>
      <c r="G10" s="47">
        <f t="shared" si="1"/>
        <v>0</v>
      </c>
      <c r="H10" s="1">
        <f t="shared" si="1"/>
        <v>0</v>
      </c>
      <c r="I10" s="1">
        <f t="shared" si="1"/>
        <v>0</v>
      </c>
      <c r="J10" s="50">
        <f t="shared" si="1"/>
        <v>0</v>
      </c>
      <c r="K10" s="319">
        <f t="shared" si="1"/>
        <v>0</v>
      </c>
      <c r="L10" s="319">
        <f t="shared" si="1"/>
        <v>0</v>
      </c>
      <c r="M10" s="319">
        <f t="shared" si="1"/>
        <v>0</v>
      </c>
      <c r="N10" s="319">
        <f t="shared" si="1"/>
        <v>0</v>
      </c>
      <c r="O10" s="1"/>
      <c r="P10" s="1"/>
      <c r="Q10" s="1"/>
      <c r="R10" s="1"/>
      <c r="S10" s="1"/>
      <c r="T10" s="1"/>
      <c r="U10" s="54"/>
    </row>
    <row r="11" spans="1:21">
      <c r="A11" s="97" t="s">
        <v>16</v>
      </c>
      <c r="B11" s="2098">
        <v>0</v>
      </c>
      <c r="C11" s="171">
        <f t="shared" ref="C11:N11" si="2">+B11+C10</f>
        <v>0</v>
      </c>
      <c r="D11" s="172">
        <f t="shared" si="2"/>
        <v>0</v>
      </c>
      <c r="E11" s="172">
        <f t="shared" si="2"/>
        <v>0</v>
      </c>
      <c r="F11" s="173">
        <f t="shared" si="2"/>
        <v>0</v>
      </c>
      <c r="G11" s="119">
        <f t="shared" si="2"/>
        <v>0</v>
      </c>
      <c r="H11" s="84">
        <f t="shared" si="2"/>
        <v>0</v>
      </c>
      <c r="I11" s="84">
        <f t="shared" si="2"/>
        <v>0</v>
      </c>
      <c r="J11" s="120">
        <f t="shared" si="2"/>
        <v>0</v>
      </c>
      <c r="K11" s="376">
        <f t="shared" si="2"/>
        <v>0</v>
      </c>
      <c r="L11" s="376">
        <f t="shared" si="2"/>
        <v>0</v>
      </c>
      <c r="M11" s="376">
        <f t="shared" si="2"/>
        <v>0</v>
      </c>
      <c r="N11" s="376">
        <f t="shared" si="2"/>
        <v>0</v>
      </c>
      <c r="O11" s="1"/>
      <c r="P11" s="1"/>
      <c r="Q11" s="1"/>
      <c r="R11" s="1"/>
      <c r="S11" s="1"/>
      <c r="T11" s="1"/>
      <c r="U11" s="1"/>
    </row>
    <row r="12" spans="1:21" s="5" customFormat="1">
      <c r="A12" s="95"/>
      <c r="B12" s="2219"/>
      <c r="C12" s="36"/>
      <c r="D12" s="36"/>
      <c r="E12" s="36"/>
      <c r="F12" s="169"/>
      <c r="G12" s="1"/>
      <c r="H12" s="1"/>
      <c r="I12" s="1"/>
      <c r="J12" s="46"/>
      <c r="K12" s="46"/>
      <c r="L12" s="46"/>
      <c r="M12" s="46"/>
      <c r="N12" s="46"/>
      <c r="O12" s="1"/>
      <c r="P12" s="1"/>
      <c r="Q12" s="1"/>
      <c r="R12" s="1"/>
      <c r="S12" s="1"/>
      <c r="T12" s="1"/>
      <c r="U12" s="1"/>
    </row>
    <row r="13" spans="1:21">
      <c r="A13" s="10" t="s">
        <v>17</v>
      </c>
      <c r="B13" s="2040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21" ht="14.7" customHeight="1" thickBot="1">
      <c r="A14" s="5" t="s">
        <v>669</v>
      </c>
      <c r="B14" s="2040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21">
      <c r="A15" s="56" t="s">
        <v>670</v>
      </c>
      <c r="B15" s="2220"/>
      <c r="C15" s="456"/>
      <c r="D15" s="719">
        <v>2500000</v>
      </c>
      <c r="E15" s="719">
        <v>2500000</v>
      </c>
      <c r="F15" s="721">
        <f>1500000+937500+3700000</f>
        <v>6137500</v>
      </c>
      <c r="G15" s="727">
        <v>5640000</v>
      </c>
      <c r="H15" s="719">
        <v>1300000</v>
      </c>
      <c r="I15" s="452"/>
      <c r="J15" s="457"/>
      <c r="K15" s="458"/>
      <c r="L15" s="458"/>
      <c r="M15" s="458"/>
      <c r="N15" s="458"/>
      <c r="O15" s="1"/>
    </row>
    <row r="16" spans="1:21">
      <c r="A16" s="56" t="s">
        <v>671</v>
      </c>
      <c r="B16" s="1074"/>
      <c r="C16" s="428"/>
      <c r="D16" s="427"/>
      <c r="E16" s="427"/>
      <c r="F16" s="429"/>
      <c r="G16" s="428"/>
      <c r="H16" s="494">
        <v>6000000</v>
      </c>
      <c r="I16" s="427"/>
      <c r="J16" s="429"/>
      <c r="K16" s="447"/>
      <c r="L16" s="447"/>
      <c r="M16" s="447"/>
      <c r="N16" s="447"/>
      <c r="O16" s="1"/>
    </row>
    <row r="17" spans="1:23">
      <c r="A17" s="988"/>
      <c r="B17" s="1074"/>
      <c r="C17" s="428"/>
      <c r="D17" s="427"/>
      <c r="E17" s="427"/>
      <c r="F17" s="429"/>
      <c r="G17" s="428"/>
      <c r="H17" s="985"/>
      <c r="I17" s="985"/>
      <c r="J17" s="986"/>
      <c r="K17" s="987"/>
      <c r="L17" s="987"/>
      <c r="M17" s="987"/>
      <c r="N17" s="987"/>
      <c r="O17" s="897"/>
    </row>
    <row r="18" spans="1:23">
      <c r="A18" s="145" t="s">
        <v>321</v>
      </c>
      <c r="B18" s="2039">
        <v>0</v>
      </c>
      <c r="C18" s="135">
        <f t="shared" ref="C18:N18" si="3">SUM(C15:C17)</f>
        <v>0</v>
      </c>
      <c r="D18" s="102">
        <f t="shared" si="3"/>
        <v>2500000</v>
      </c>
      <c r="E18" s="102">
        <f t="shared" si="3"/>
        <v>2500000</v>
      </c>
      <c r="F18" s="136">
        <f t="shared" si="3"/>
        <v>6137500</v>
      </c>
      <c r="G18" s="135">
        <f t="shared" si="3"/>
        <v>5640000</v>
      </c>
      <c r="H18" s="102">
        <f t="shared" si="3"/>
        <v>7300000</v>
      </c>
      <c r="I18" s="1001">
        <f t="shared" si="3"/>
        <v>0</v>
      </c>
      <c r="J18" s="1002">
        <f t="shared" si="3"/>
        <v>0</v>
      </c>
      <c r="K18" s="1003">
        <f t="shared" si="3"/>
        <v>0</v>
      </c>
      <c r="L18" s="1003">
        <f t="shared" si="3"/>
        <v>0</v>
      </c>
      <c r="M18" s="1003">
        <f t="shared" si="3"/>
        <v>0</v>
      </c>
      <c r="N18" s="1003">
        <f t="shared" si="3"/>
        <v>0</v>
      </c>
      <c r="O18" s="897"/>
    </row>
    <row r="19" spans="1:23">
      <c r="A19" s="134"/>
      <c r="B19" s="2008"/>
      <c r="C19" s="51"/>
      <c r="D19" s="6"/>
      <c r="E19" s="6"/>
      <c r="F19" s="52"/>
      <c r="G19" s="51"/>
      <c r="H19" s="6"/>
      <c r="I19" s="6"/>
      <c r="J19" s="52"/>
      <c r="K19" s="322"/>
      <c r="L19" s="322"/>
      <c r="M19" s="322"/>
      <c r="N19" s="322"/>
      <c r="O19" s="6"/>
    </row>
    <row r="20" spans="1:23">
      <c r="A20" s="134" t="s">
        <v>672</v>
      </c>
      <c r="B20" s="2040"/>
      <c r="C20" s="47"/>
      <c r="D20" s="1"/>
      <c r="E20" s="1"/>
      <c r="F20" s="50"/>
      <c r="G20" s="47" t="s">
        <v>673</v>
      </c>
      <c r="H20" s="1">
        <f>13290000+SUM(G22:J22)</f>
        <v>0</v>
      </c>
      <c r="I20" s="1"/>
      <c r="J20" s="50"/>
      <c r="K20" s="319"/>
      <c r="L20" s="319"/>
      <c r="M20" s="319"/>
      <c r="N20" s="319"/>
      <c r="O20" s="1"/>
    </row>
    <row r="21" spans="1:23">
      <c r="A21" t="s">
        <v>674</v>
      </c>
      <c r="B21" s="1074"/>
      <c r="C21" s="428"/>
      <c r="D21" s="427"/>
      <c r="E21" s="427"/>
      <c r="F21" s="429"/>
      <c r="G21" s="428"/>
      <c r="H21" s="427"/>
      <c r="I21" s="427"/>
      <c r="J21" s="429"/>
      <c r="K21" s="447"/>
      <c r="L21" s="447"/>
      <c r="M21" s="447">
        <v>-15000000</v>
      </c>
      <c r="N21" s="447"/>
      <c r="O21" s="1"/>
    </row>
    <row r="22" spans="1:23">
      <c r="A22" t="s">
        <v>675</v>
      </c>
      <c r="B22" s="1074"/>
      <c r="C22" s="428"/>
      <c r="D22" s="427"/>
      <c r="E22" s="427"/>
      <c r="F22" s="429"/>
      <c r="G22" s="493">
        <v>-1000000</v>
      </c>
      <c r="H22" s="494">
        <f>-1000000-1040000</f>
        <v>-2040000</v>
      </c>
      <c r="I22" s="494">
        <v>-2000000</v>
      </c>
      <c r="J22" s="495">
        <v>-8250000</v>
      </c>
      <c r="K22" s="447"/>
      <c r="L22" s="447"/>
      <c r="M22" s="447"/>
      <c r="N22" s="447"/>
      <c r="O22" s="1"/>
    </row>
    <row r="23" spans="1:23">
      <c r="A23" t="s">
        <v>676</v>
      </c>
      <c r="B23" s="1074"/>
      <c r="C23" s="493">
        <v>-2500000</v>
      </c>
      <c r="D23" s="427"/>
      <c r="E23" s="427"/>
      <c r="F23" s="429"/>
      <c r="G23" s="428"/>
      <c r="H23" s="427"/>
      <c r="I23" s="427"/>
      <c r="J23" s="429"/>
      <c r="K23" s="447"/>
      <c r="L23" s="447"/>
      <c r="M23" s="447"/>
      <c r="N23" s="447"/>
      <c r="O23" s="1"/>
    </row>
    <row r="24" spans="1:23" ht="14.7" customHeight="1" thickBot="1">
      <c r="A24" s="23" t="s">
        <v>323</v>
      </c>
      <c r="B24" s="2221">
        <v>0</v>
      </c>
      <c r="C24" s="141">
        <f t="shared" ref="C24:N24" si="4">SUM(C21:C23)</f>
        <v>-2500000</v>
      </c>
      <c r="D24" s="140">
        <f t="shared" si="4"/>
        <v>0</v>
      </c>
      <c r="E24" s="140">
        <f t="shared" si="4"/>
        <v>0</v>
      </c>
      <c r="F24" s="142">
        <f t="shared" si="4"/>
        <v>0</v>
      </c>
      <c r="G24" s="141">
        <f t="shared" si="4"/>
        <v>-1000000</v>
      </c>
      <c r="H24" s="140">
        <f t="shared" si="4"/>
        <v>-2040000</v>
      </c>
      <c r="I24" s="140">
        <f t="shared" si="4"/>
        <v>-2000000</v>
      </c>
      <c r="J24" s="142">
        <f t="shared" si="4"/>
        <v>-8250000</v>
      </c>
      <c r="K24" s="377">
        <f t="shared" si="4"/>
        <v>0</v>
      </c>
      <c r="L24" s="377">
        <f t="shared" si="4"/>
        <v>0</v>
      </c>
      <c r="M24" s="377">
        <f t="shared" si="4"/>
        <v>-15000000</v>
      </c>
      <c r="N24" s="377">
        <f t="shared" si="4"/>
        <v>0</v>
      </c>
      <c r="O24" s="1"/>
    </row>
    <row r="25" spans="1:23">
      <c r="A25" s="23"/>
      <c r="B25" s="2008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1"/>
      <c r="U25" s="1"/>
      <c r="V25" s="1"/>
      <c r="W25" s="1"/>
    </row>
    <row r="26" spans="1:23">
      <c r="A26" s="23" t="s">
        <v>32</v>
      </c>
      <c r="B26" s="2041">
        <v>0</v>
      </c>
      <c r="C26" s="146">
        <f t="shared" ref="C26:N26" si="5">+C18+C24</f>
        <v>-2500000</v>
      </c>
      <c r="D26" s="146">
        <f t="shared" si="5"/>
        <v>2500000</v>
      </c>
      <c r="E26" s="146">
        <f t="shared" si="5"/>
        <v>2500000</v>
      </c>
      <c r="F26" s="146">
        <f t="shared" si="5"/>
        <v>6137500</v>
      </c>
      <c r="G26" s="146">
        <f t="shared" si="5"/>
        <v>4640000</v>
      </c>
      <c r="H26" s="146">
        <f t="shared" si="5"/>
        <v>5260000</v>
      </c>
      <c r="I26" s="146">
        <f t="shared" si="5"/>
        <v>-2000000</v>
      </c>
      <c r="J26" s="146">
        <f t="shared" si="5"/>
        <v>-8250000</v>
      </c>
      <c r="K26" s="146">
        <f t="shared" si="5"/>
        <v>0</v>
      </c>
      <c r="L26" s="146">
        <f t="shared" si="5"/>
        <v>0</v>
      </c>
      <c r="M26" s="146">
        <f t="shared" si="5"/>
        <v>-15000000</v>
      </c>
      <c r="N26" s="146">
        <f t="shared" si="5"/>
        <v>0</v>
      </c>
      <c r="O26" s="1"/>
      <c r="U26" s="2"/>
      <c r="V26" s="2"/>
    </row>
    <row r="27" spans="1:23">
      <c r="A27" s="23"/>
      <c r="B27" s="2008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1"/>
      <c r="U27" s="2"/>
      <c r="V27" s="2"/>
    </row>
    <row r="28" spans="1:23">
      <c r="A28" s="18" t="s">
        <v>33</v>
      </c>
      <c r="B28" s="1074">
        <v>0</v>
      </c>
      <c r="C28" s="1458">
        <v>250000</v>
      </c>
      <c r="D28" s="1458">
        <v>250000</v>
      </c>
      <c r="E28" s="1458">
        <v>250000</v>
      </c>
      <c r="F28" s="1458">
        <v>250000</v>
      </c>
      <c r="G28" s="1458">
        <v>250000</v>
      </c>
      <c r="H28" s="1458">
        <v>250000</v>
      </c>
      <c r="I28" s="1458">
        <v>250000</v>
      </c>
      <c r="J28" s="1458">
        <v>250000</v>
      </c>
      <c r="K28" s="1458">
        <v>1000000</v>
      </c>
      <c r="L28" s="1458">
        <v>1000000</v>
      </c>
      <c r="M28" s="1458">
        <v>1000000</v>
      </c>
      <c r="N28" s="1458">
        <v>1000000</v>
      </c>
      <c r="O28" s="1"/>
      <c r="P28" s="825"/>
    </row>
    <row r="29" spans="1:23">
      <c r="A29" s="18" t="s">
        <v>34</v>
      </c>
      <c r="B29" s="1074"/>
      <c r="C29" s="1458"/>
      <c r="D29" s="1458"/>
      <c r="E29" s="1458"/>
      <c r="F29" s="1458"/>
      <c r="G29" s="1458"/>
      <c r="H29" s="1458"/>
      <c r="I29" s="1458"/>
      <c r="J29" s="1458"/>
      <c r="K29" s="1458"/>
      <c r="L29" s="1458"/>
      <c r="M29" s="1458"/>
      <c r="N29" s="1458"/>
      <c r="O29" s="1"/>
      <c r="P29" s="825"/>
    </row>
    <row r="30" spans="1:23">
      <c r="A30" s="18" t="s">
        <v>35</v>
      </c>
      <c r="B30" s="2040"/>
      <c r="C30" s="6">
        <f t="shared" ref="C30:N30" si="6">B30+C28+C29</f>
        <v>250000</v>
      </c>
      <c r="D30" s="8">
        <f t="shared" si="6"/>
        <v>500000</v>
      </c>
      <c r="E30" s="8">
        <f t="shared" si="6"/>
        <v>750000</v>
      </c>
      <c r="F30" s="8">
        <f t="shared" si="6"/>
        <v>1000000</v>
      </c>
      <c r="G30" s="8">
        <f t="shared" si="6"/>
        <v>1250000</v>
      </c>
      <c r="H30" s="8">
        <f t="shared" si="6"/>
        <v>1500000</v>
      </c>
      <c r="I30" s="8">
        <f t="shared" si="6"/>
        <v>1750000</v>
      </c>
      <c r="J30" s="8">
        <f t="shared" si="6"/>
        <v>2000000</v>
      </c>
      <c r="K30" s="8">
        <f t="shared" si="6"/>
        <v>3000000</v>
      </c>
      <c r="L30" s="8">
        <f t="shared" si="6"/>
        <v>4000000</v>
      </c>
      <c r="M30" s="8">
        <f t="shared" si="6"/>
        <v>5000000</v>
      </c>
      <c r="N30" s="8">
        <f t="shared" si="6"/>
        <v>6000000</v>
      </c>
      <c r="O30" s="1473"/>
      <c r="P30" s="1473"/>
      <c r="Q30" s="1473"/>
      <c r="R30" s="1473"/>
      <c r="S30" s="1473"/>
      <c r="T30" s="1473"/>
    </row>
    <row r="31" spans="1:23">
      <c r="A31" s="23"/>
      <c r="B31" s="2008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1"/>
    </row>
    <row r="32" spans="1:23" ht="14.7" customHeight="1" thickBot="1">
      <c r="A32" s="162" t="s">
        <v>36</v>
      </c>
      <c r="B32" s="2222"/>
      <c r="C32" s="36"/>
      <c r="D32" s="195"/>
      <c r="E32" s="195"/>
      <c r="F32" s="379"/>
      <c r="G32" s="43"/>
      <c r="H32" s="1"/>
      <c r="I32" s="1"/>
      <c r="J32" s="1"/>
      <c r="K32" s="125"/>
      <c r="L32" s="125"/>
      <c r="M32" s="125"/>
      <c r="N32" s="125"/>
      <c r="O32" s="1"/>
      <c r="P32" s="1"/>
      <c r="Q32" s="1"/>
      <c r="R32" s="1"/>
      <c r="S32" s="1"/>
      <c r="T32" s="1"/>
      <c r="U32" s="1"/>
    </row>
    <row r="33" spans="1:21" ht="14.7" customHeight="1" thickBot="1">
      <c r="A33" s="981" t="s">
        <v>677</v>
      </c>
      <c r="B33" s="2220">
        <v>5000000</v>
      </c>
      <c r="C33" s="456">
        <f t="shared" ref="C33:L33" si="7">+D33</f>
        <v>143000000</v>
      </c>
      <c r="D33" s="452">
        <f t="shared" si="7"/>
        <v>143000000</v>
      </c>
      <c r="E33" s="452">
        <f t="shared" si="7"/>
        <v>143000000</v>
      </c>
      <c r="F33" s="457">
        <f t="shared" si="7"/>
        <v>143000000</v>
      </c>
      <c r="G33" s="452">
        <f t="shared" si="7"/>
        <v>143000000</v>
      </c>
      <c r="H33" s="452">
        <f t="shared" si="7"/>
        <v>143000000</v>
      </c>
      <c r="I33" s="452">
        <f t="shared" si="7"/>
        <v>143000000</v>
      </c>
      <c r="J33" s="474">
        <f t="shared" si="7"/>
        <v>143000000</v>
      </c>
      <c r="K33" s="458">
        <f t="shared" si="7"/>
        <v>143000000</v>
      </c>
      <c r="L33" s="457">
        <f t="shared" si="7"/>
        <v>143000000</v>
      </c>
      <c r="M33" s="1560">
        <f>143000000</f>
        <v>143000000</v>
      </c>
      <c r="N33" s="1560">
        <f>M33*(1+Q33)</f>
        <v>150150000</v>
      </c>
      <c r="P33" s="1" t="s">
        <v>45</v>
      </c>
      <c r="Q33" s="485">
        <v>0.05</v>
      </c>
      <c r="R33" s="1"/>
      <c r="S33" s="1"/>
      <c r="T33" s="1"/>
      <c r="U33" s="1"/>
    </row>
    <row r="34" spans="1:21" ht="14.7" customHeight="1" thickBot="1">
      <c r="A34" s="981" t="s">
        <v>678</v>
      </c>
      <c r="B34" s="2223"/>
      <c r="C34" s="428">
        <v>0</v>
      </c>
      <c r="D34" s="427">
        <v>0</v>
      </c>
      <c r="E34" s="427">
        <v>0</v>
      </c>
      <c r="F34" s="429">
        <v>0</v>
      </c>
      <c r="G34" s="427">
        <v>0</v>
      </c>
      <c r="H34" s="427">
        <v>0</v>
      </c>
      <c r="I34" s="427">
        <v>0</v>
      </c>
      <c r="J34" s="427">
        <v>0</v>
      </c>
      <c r="K34" s="427">
        <v>0</v>
      </c>
      <c r="L34" s="427">
        <v>0</v>
      </c>
      <c r="M34" s="427">
        <v>0</v>
      </c>
      <c r="N34" s="427">
        <v>0</v>
      </c>
      <c r="O34" s="1"/>
      <c r="P34" s="1" t="s">
        <v>679</v>
      </c>
      <c r="Q34" s="505">
        <v>47209</v>
      </c>
      <c r="R34" s="1"/>
      <c r="S34" s="1"/>
      <c r="T34" s="1"/>
      <c r="U34" s="1"/>
    </row>
    <row r="35" spans="1:21">
      <c r="A35" s="981" t="s">
        <v>680</v>
      </c>
      <c r="B35" s="2223"/>
      <c r="C35" s="476">
        <v>0</v>
      </c>
      <c r="D35" s="427">
        <v>0</v>
      </c>
      <c r="E35" s="427">
        <v>0</v>
      </c>
      <c r="F35" s="429">
        <v>0</v>
      </c>
      <c r="G35" s="427">
        <v>0</v>
      </c>
      <c r="H35" s="427">
        <v>0</v>
      </c>
      <c r="I35" s="427">
        <v>0</v>
      </c>
      <c r="J35" s="427">
        <v>0</v>
      </c>
      <c r="K35" s="427">
        <v>0</v>
      </c>
      <c r="L35" s="427">
        <v>0</v>
      </c>
      <c r="M35" s="427">
        <v>0</v>
      </c>
      <c r="N35" s="427">
        <v>0</v>
      </c>
      <c r="O35" s="1"/>
      <c r="P35" s="1"/>
      <c r="Q35" s="1"/>
      <c r="R35" s="1"/>
      <c r="S35" s="1"/>
      <c r="T35" s="1"/>
      <c r="U35" s="1"/>
    </row>
    <row r="36" spans="1:21">
      <c r="A36" s="981" t="s">
        <v>681</v>
      </c>
      <c r="B36" s="2223"/>
      <c r="C36" s="1076"/>
      <c r="D36" s="165"/>
      <c r="E36" s="165"/>
      <c r="F36" s="1077"/>
      <c r="G36" s="165"/>
      <c r="H36" s="165"/>
      <c r="I36" s="165"/>
      <c r="J36" s="165"/>
      <c r="K36" s="165"/>
      <c r="L36" s="165"/>
      <c r="M36" s="165"/>
      <c r="N36" s="165"/>
      <c r="O36" s="1"/>
      <c r="P36" s="1"/>
      <c r="Q36" s="1"/>
      <c r="R36" s="1"/>
      <c r="S36" s="1"/>
      <c r="T36" s="1"/>
      <c r="U36" s="1"/>
    </row>
    <row r="37" spans="1:21">
      <c r="A37" s="996" t="s">
        <v>682</v>
      </c>
      <c r="B37" s="1088">
        <v>0</v>
      </c>
      <c r="C37" s="132">
        <f t="shared" ref="C37:L37" si="8">+C78</f>
        <v>-66000000</v>
      </c>
      <c r="D37" s="131">
        <f t="shared" si="8"/>
        <v>-66000000</v>
      </c>
      <c r="E37" s="131">
        <f t="shared" si="8"/>
        <v>-66000000</v>
      </c>
      <c r="F37" s="133">
        <f t="shared" si="8"/>
        <v>-66000000</v>
      </c>
      <c r="G37" s="131">
        <f t="shared" si="8"/>
        <v>-66000000</v>
      </c>
      <c r="H37" s="131">
        <f t="shared" si="8"/>
        <v>-66000000</v>
      </c>
      <c r="I37" s="131">
        <f t="shared" si="8"/>
        <v>-66000000</v>
      </c>
      <c r="J37" s="131">
        <f t="shared" si="8"/>
        <v>-66000000</v>
      </c>
      <c r="K37" s="131">
        <f t="shared" si="8"/>
        <v>-64350000</v>
      </c>
      <c r="L37" s="131">
        <f t="shared" si="8"/>
        <v>-62452500</v>
      </c>
      <c r="M37" s="1088">
        <f>+M78-M26</f>
        <v>-45270375</v>
      </c>
      <c r="N37" s="133">
        <f>+N78</f>
        <v>0</v>
      </c>
      <c r="O37" s="131"/>
      <c r="P37" s="1"/>
      <c r="Q37" s="9"/>
      <c r="R37" s="9"/>
      <c r="S37" s="9"/>
      <c r="T37" s="9"/>
      <c r="U37" s="9"/>
    </row>
    <row r="38" spans="1:21">
      <c r="A38" s="996" t="s">
        <v>683</v>
      </c>
      <c r="B38" s="1074"/>
      <c r="C38" s="428"/>
      <c r="D38" s="427"/>
      <c r="E38" s="427"/>
      <c r="F38" s="429"/>
      <c r="G38" s="427"/>
      <c r="H38" s="427"/>
      <c r="I38" s="427"/>
      <c r="J38" s="427"/>
      <c r="K38" s="427"/>
      <c r="L38" s="427"/>
      <c r="M38" s="427"/>
      <c r="N38" s="429"/>
      <c r="O38" s="131"/>
      <c r="P38" s="1"/>
      <c r="Q38" s="9"/>
      <c r="R38" s="9"/>
      <c r="S38" s="9"/>
      <c r="T38" s="9"/>
      <c r="U38" s="9"/>
    </row>
    <row r="39" spans="1:21" s="5" customFormat="1">
      <c r="A39" s="56" t="s">
        <v>684</v>
      </c>
      <c r="B39" s="1074"/>
      <c r="C39" s="428"/>
      <c r="D39" s="427"/>
      <c r="E39" s="427"/>
      <c r="F39" s="429"/>
      <c r="G39" s="427"/>
      <c r="H39" s="427"/>
      <c r="I39" s="427"/>
      <c r="J39" s="427"/>
      <c r="K39" s="447"/>
      <c r="L39" s="429"/>
      <c r="M39" s="429"/>
      <c r="N39" s="429"/>
      <c r="O39" s="1"/>
      <c r="P39" s="1"/>
      <c r="Q39" s="9"/>
      <c r="R39" s="55"/>
      <c r="S39" s="55"/>
      <c r="T39" s="55"/>
      <c r="U39" s="9"/>
    </row>
    <row r="40" spans="1:21" ht="14.7" customHeight="1" thickBot="1">
      <c r="A40" s="1004" t="s">
        <v>685</v>
      </c>
      <c r="B40" s="2224">
        <v>5000000</v>
      </c>
      <c r="C40" s="61">
        <f t="shared" ref="C40:N40" si="9">SUM(C33:C39)</f>
        <v>77000000</v>
      </c>
      <c r="D40" s="20">
        <f t="shared" si="9"/>
        <v>77000000</v>
      </c>
      <c r="E40" s="20">
        <f t="shared" si="9"/>
        <v>77000000</v>
      </c>
      <c r="F40" s="62">
        <f t="shared" si="9"/>
        <v>77000000</v>
      </c>
      <c r="G40" s="20">
        <f t="shared" si="9"/>
        <v>77000000</v>
      </c>
      <c r="H40" s="20">
        <f t="shared" si="9"/>
        <v>77000000</v>
      </c>
      <c r="I40" s="20">
        <f t="shared" si="9"/>
        <v>77000000</v>
      </c>
      <c r="J40" s="20">
        <f t="shared" si="9"/>
        <v>77000000</v>
      </c>
      <c r="K40" s="372">
        <f t="shared" si="9"/>
        <v>78650000</v>
      </c>
      <c r="L40" s="62">
        <f t="shared" si="9"/>
        <v>80547500</v>
      </c>
      <c r="M40" s="62">
        <f t="shared" si="9"/>
        <v>97729625</v>
      </c>
      <c r="N40" s="62">
        <f t="shared" si="9"/>
        <v>150150000</v>
      </c>
      <c r="O40" s="6"/>
      <c r="P40" s="1"/>
      <c r="Q40" s="55"/>
      <c r="R40" s="55"/>
      <c r="S40" s="55"/>
      <c r="T40" s="55"/>
      <c r="U40" s="9"/>
    </row>
    <row r="41" spans="1:21" ht="14.7" customHeight="1" thickTop="1">
      <c r="A41" s="981"/>
      <c r="B41" s="2040"/>
      <c r="C41" s="47"/>
      <c r="D41" s="1"/>
      <c r="E41" s="1"/>
      <c r="F41" s="50"/>
      <c r="G41" s="1"/>
      <c r="H41" s="1"/>
      <c r="I41" s="1"/>
      <c r="J41" s="1"/>
      <c r="K41" s="477"/>
      <c r="L41" s="477"/>
      <c r="M41" s="50"/>
      <c r="N41" s="50"/>
      <c r="O41" s="1"/>
      <c r="P41" s="1"/>
      <c r="Q41" s="1"/>
      <c r="R41" s="1"/>
      <c r="S41" s="1"/>
      <c r="T41" s="1"/>
    </row>
    <row r="42" spans="1:21">
      <c r="A42" s="999" t="s">
        <v>686</v>
      </c>
      <c r="B42" s="2040"/>
      <c r="C42" s="47"/>
      <c r="D42" s="1"/>
      <c r="E42" s="1"/>
      <c r="F42" s="50"/>
      <c r="G42" s="1"/>
      <c r="H42" s="1"/>
      <c r="I42" s="1"/>
      <c r="J42" s="1"/>
      <c r="K42" s="504"/>
      <c r="L42" s="373"/>
      <c r="M42" s="50"/>
      <c r="N42" s="50"/>
      <c r="O42" s="1"/>
      <c r="P42" s="1"/>
      <c r="Q42" s="1"/>
      <c r="R42" s="1"/>
      <c r="S42" s="1"/>
      <c r="T42" s="1"/>
    </row>
    <row r="43" spans="1:21">
      <c r="A43" s="981" t="s">
        <v>687</v>
      </c>
      <c r="B43" s="2225">
        <v>0</v>
      </c>
      <c r="C43" s="1578">
        <v>0.45</v>
      </c>
      <c r="D43" s="1579">
        <v>0.45</v>
      </c>
      <c r="E43" s="1579">
        <v>0.45</v>
      </c>
      <c r="F43" s="1580">
        <v>0.45</v>
      </c>
      <c r="G43" s="1579">
        <v>0.4</v>
      </c>
      <c r="H43" s="1579">
        <v>0.4</v>
      </c>
      <c r="I43" s="1579">
        <v>0.4</v>
      </c>
      <c r="J43" s="1579">
        <v>0.4</v>
      </c>
      <c r="K43" s="1566">
        <v>0.3</v>
      </c>
      <c r="L43" s="1565">
        <v>0.2</v>
      </c>
      <c r="M43" s="1565">
        <v>0</v>
      </c>
      <c r="N43" s="1565">
        <v>0</v>
      </c>
      <c r="O43" s="1"/>
      <c r="P43" s="1"/>
      <c r="Q43" s="1"/>
      <c r="R43" s="1"/>
      <c r="S43" s="1"/>
      <c r="T43" s="1"/>
    </row>
    <row r="44" spans="1:21">
      <c r="A44" s="981" t="s">
        <v>688</v>
      </c>
      <c r="B44" s="2226">
        <v>4.2520547945205482</v>
      </c>
      <c r="C44" s="370">
        <f t="shared" ref="C44:N44" si="10">MAX(($Q$34-C1)/365,0)</f>
        <v>4.0054794520547947</v>
      </c>
      <c r="D44" s="43">
        <f t="shared" si="10"/>
        <v>3.7561643835616438</v>
      </c>
      <c r="E44" s="43">
        <f t="shared" si="10"/>
        <v>3.504109589041096</v>
      </c>
      <c r="F44" s="371">
        <f t="shared" si="10"/>
        <v>3.2520547945205478</v>
      </c>
      <c r="G44" s="43">
        <f t="shared" si="10"/>
        <v>3.0054794520547947</v>
      </c>
      <c r="H44" s="43">
        <f t="shared" si="10"/>
        <v>2.7561643835616438</v>
      </c>
      <c r="I44" s="43">
        <f t="shared" si="10"/>
        <v>2.504109589041096</v>
      </c>
      <c r="J44" s="43">
        <f t="shared" si="10"/>
        <v>2.2520547945205478</v>
      </c>
      <c r="K44" s="692">
        <f t="shared" si="10"/>
        <v>1.252054794520548</v>
      </c>
      <c r="L44" s="691">
        <f t="shared" si="10"/>
        <v>0.24931506849315069</v>
      </c>
      <c r="M44" s="50">
        <f t="shared" si="10"/>
        <v>0</v>
      </c>
      <c r="N44" s="50">
        <f t="shared" si="10"/>
        <v>0</v>
      </c>
      <c r="O44" s="1"/>
      <c r="P44" s="1"/>
      <c r="Q44" s="1"/>
      <c r="R44" s="1"/>
      <c r="S44" s="1"/>
      <c r="T44" s="1"/>
    </row>
    <row r="45" spans="1:21">
      <c r="A45" s="1005" t="s">
        <v>338</v>
      </c>
      <c r="B45" s="2039">
        <v>5000000</v>
      </c>
      <c r="C45" s="135">
        <f t="shared" ref="C45:N45" si="11">+C40/(1+C43)^C44</f>
        <v>17383391.370336019</v>
      </c>
      <c r="D45" s="102">
        <f t="shared" si="11"/>
        <v>19070671.377654947</v>
      </c>
      <c r="E45" s="102">
        <f t="shared" si="11"/>
        <v>20943032.234737165</v>
      </c>
      <c r="F45" s="136">
        <f t="shared" si="11"/>
        <v>22999221.710629381</v>
      </c>
      <c r="G45" s="102">
        <f t="shared" si="11"/>
        <v>28009536.136664666</v>
      </c>
      <c r="H45" s="102">
        <f t="shared" si="11"/>
        <v>30460556.806394603</v>
      </c>
      <c r="I45" s="102">
        <f t="shared" si="11"/>
        <v>33156609.146139551</v>
      </c>
      <c r="J45" s="102">
        <f t="shared" si="11"/>
        <v>36091288.056792036</v>
      </c>
      <c r="K45" s="378">
        <f t="shared" si="11"/>
        <v>56628545.428496853</v>
      </c>
      <c r="L45" s="136">
        <f t="shared" si="11"/>
        <v>76968139.315230623</v>
      </c>
      <c r="M45" s="136">
        <f t="shared" si="11"/>
        <v>97729625</v>
      </c>
      <c r="N45" s="136">
        <f t="shared" si="11"/>
        <v>150150000</v>
      </c>
      <c r="O45" s="1"/>
      <c r="P45" s="1"/>
      <c r="Q45" s="1"/>
      <c r="R45" s="1"/>
      <c r="S45" s="1"/>
      <c r="T45" s="1"/>
    </row>
    <row r="46" spans="1:21">
      <c r="A46" s="981"/>
      <c r="B46" s="2040"/>
      <c r="C46" s="47"/>
      <c r="D46" s="1"/>
      <c r="E46" s="1"/>
      <c r="F46" s="50"/>
      <c r="G46" s="1"/>
      <c r="H46" s="1"/>
      <c r="I46" s="1"/>
      <c r="J46" s="1"/>
      <c r="K46" s="319"/>
      <c r="L46" s="50"/>
      <c r="M46" s="50"/>
      <c r="N46" s="50"/>
      <c r="O46" s="1"/>
      <c r="P46" s="1"/>
      <c r="Q46" s="1"/>
      <c r="R46" s="1"/>
      <c r="S46" s="1"/>
      <c r="T46" s="1"/>
    </row>
    <row r="47" spans="1:21">
      <c r="A47" s="999" t="s">
        <v>55</v>
      </c>
      <c r="B47" s="2040"/>
      <c r="C47" s="47"/>
      <c r="D47" s="1"/>
      <c r="E47" s="1"/>
      <c r="F47" s="50"/>
      <c r="G47" s="1"/>
      <c r="H47" s="1"/>
      <c r="I47" s="1"/>
      <c r="J47" s="1"/>
      <c r="K47" s="319"/>
      <c r="L47" s="50"/>
      <c r="M47" s="50"/>
      <c r="N47" s="679">
        <f>-N48/N45</f>
        <v>0.30150099900099903</v>
      </c>
      <c r="O47" s="1" t="s">
        <v>689</v>
      </c>
      <c r="P47" s="1"/>
      <c r="Q47" s="1"/>
      <c r="R47" s="1"/>
      <c r="S47" s="1"/>
      <c r="T47" s="1"/>
      <c r="U47" s="4"/>
    </row>
    <row r="48" spans="1:21">
      <c r="A48" s="981" t="s">
        <v>690</v>
      </c>
      <c r="B48" s="1074"/>
      <c r="C48" s="428"/>
      <c r="D48" s="427"/>
      <c r="E48" s="427"/>
      <c r="F48" s="429"/>
      <c r="G48" s="427"/>
      <c r="H48" s="427"/>
      <c r="I48" s="427"/>
      <c r="J48" s="427"/>
      <c r="K48" s="447"/>
      <c r="L48" s="429"/>
      <c r="M48" s="429"/>
      <c r="N48" s="693">
        <f>+M37</f>
        <v>-45270375</v>
      </c>
      <c r="O48" s="121"/>
      <c r="P48" s="1"/>
      <c r="Q48" s="1"/>
      <c r="R48" s="1"/>
      <c r="S48" s="1"/>
      <c r="T48" s="1"/>
      <c r="U48" s="4"/>
    </row>
    <row r="49" spans="1:21">
      <c r="A49" s="1075" t="s">
        <v>691</v>
      </c>
      <c r="B49" s="1074"/>
      <c r="C49" s="428"/>
      <c r="D49" s="427"/>
      <c r="E49" s="427"/>
      <c r="F49" s="429"/>
      <c r="G49" s="427"/>
      <c r="H49" s="427"/>
      <c r="I49" s="427"/>
      <c r="J49" s="427"/>
      <c r="K49" s="447"/>
      <c r="L49" s="429"/>
      <c r="M49" s="429"/>
      <c r="N49" s="429"/>
      <c r="O49" s="121"/>
      <c r="P49" s="1"/>
      <c r="Q49" s="1"/>
      <c r="R49" s="1"/>
      <c r="S49" s="1"/>
      <c r="T49" s="1"/>
      <c r="U49" s="4"/>
    </row>
    <row r="50" spans="1:21">
      <c r="A50" s="981" t="s">
        <v>692</v>
      </c>
      <c r="B50" s="2227"/>
      <c r="C50" s="1000"/>
      <c r="D50" s="985"/>
      <c r="E50" s="985"/>
      <c r="F50" s="986"/>
      <c r="G50" s="985"/>
      <c r="H50" s="985"/>
      <c r="I50" s="985"/>
      <c r="J50" s="985"/>
      <c r="K50" s="987"/>
      <c r="L50" s="986"/>
      <c r="M50" s="986"/>
      <c r="N50" s="986"/>
      <c r="O50" s="897"/>
    </row>
    <row r="51" spans="1:21" s="5" customFormat="1">
      <c r="A51" s="1006" t="s">
        <v>66</v>
      </c>
      <c r="B51" s="2228">
        <v>0</v>
      </c>
      <c r="C51" s="1008">
        <f t="shared" ref="C51:N51" si="12">SUM(C48:C50)</f>
        <v>0</v>
      </c>
      <c r="D51" s="1007">
        <f t="shared" si="12"/>
        <v>0</v>
      </c>
      <c r="E51" s="1007">
        <f t="shared" si="12"/>
        <v>0</v>
      </c>
      <c r="F51" s="1009">
        <f t="shared" si="12"/>
        <v>0</v>
      </c>
      <c r="G51" s="1007">
        <f t="shared" si="12"/>
        <v>0</v>
      </c>
      <c r="H51" s="1007">
        <f t="shared" si="12"/>
        <v>0</v>
      </c>
      <c r="I51" s="1007">
        <f t="shared" si="12"/>
        <v>0</v>
      </c>
      <c r="J51" s="1007">
        <f t="shared" si="12"/>
        <v>0</v>
      </c>
      <c r="K51" s="1010">
        <f t="shared" si="12"/>
        <v>0</v>
      </c>
      <c r="L51" s="1009">
        <f t="shared" si="12"/>
        <v>0</v>
      </c>
      <c r="M51" s="1009">
        <f t="shared" si="12"/>
        <v>0</v>
      </c>
      <c r="N51" s="1009">
        <f t="shared" si="12"/>
        <v>-45270375</v>
      </c>
      <c r="O51" s="897"/>
    </row>
    <row r="52" spans="1:21" s="5" customFormat="1">
      <c r="A52" s="143"/>
      <c r="B52" s="2229"/>
      <c r="C52" s="1011"/>
      <c r="D52" s="897"/>
      <c r="E52" s="897"/>
      <c r="F52" s="979"/>
      <c r="G52" s="897"/>
      <c r="H52" s="897"/>
      <c r="I52" s="897"/>
      <c r="J52" s="897"/>
      <c r="K52" s="1012"/>
      <c r="L52" s="979"/>
      <c r="M52" s="979"/>
      <c r="N52" s="979"/>
      <c r="O52" s="897"/>
    </row>
    <row r="53" spans="1:21" s="5" customFormat="1">
      <c r="A53" s="134" t="s">
        <v>693</v>
      </c>
      <c r="B53" s="2008">
        <v>5000000</v>
      </c>
      <c r="C53" s="51">
        <f t="shared" ref="C53:N53" si="13">+C45+C51</f>
        <v>17383391.370336019</v>
      </c>
      <c r="D53" s="6">
        <f t="shared" si="13"/>
        <v>19070671.377654947</v>
      </c>
      <c r="E53" s="6">
        <f t="shared" si="13"/>
        <v>20943032.234737165</v>
      </c>
      <c r="F53" s="52">
        <f t="shared" si="13"/>
        <v>22999221.710629381</v>
      </c>
      <c r="G53" s="6">
        <f t="shared" si="13"/>
        <v>28009536.136664666</v>
      </c>
      <c r="H53" s="6">
        <f t="shared" si="13"/>
        <v>30460556.806394603</v>
      </c>
      <c r="I53" s="6">
        <f t="shared" si="13"/>
        <v>33156609.146139551</v>
      </c>
      <c r="J53" s="6">
        <f t="shared" si="13"/>
        <v>36091288.056792036</v>
      </c>
      <c r="K53" s="322">
        <f t="shared" si="13"/>
        <v>56628545.428496853</v>
      </c>
      <c r="L53" s="52">
        <f t="shared" si="13"/>
        <v>76968139.315230623</v>
      </c>
      <c r="M53" s="52">
        <f t="shared" si="13"/>
        <v>97729625</v>
      </c>
      <c r="N53" s="52">
        <f t="shared" si="13"/>
        <v>104879625</v>
      </c>
      <c r="O53" s="6"/>
    </row>
    <row r="54" spans="1:21">
      <c r="A54" s="56"/>
      <c r="B54" s="2230"/>
      <c r="C54" s="48"/>
      <c r="D54" s="17"/>
      <c r="E54" s="17"/>
      <c r="F54" s="49"/>
      <c r="G54" s="17"/>
      <c r="H54" s="17"/>
      <c r="I54" s="17"/>
      <c r="J54" s="17"/>
      <c r="K54" s="375"/>
      <c r="L54" s="49"/>
      <c r="M54" s="49"/>
      <c r="N54" s="49"/>
      <c r="O54" s="17"/>
    </row>
    <row r="55" spans="1:21">
      <c r="A55" s="56" t="s">
        <v>694</v>
      </c>
      <c r="B55" s="2231">
        <v>1</v>
      </c>
      <c r="C55" s="487">
        <v>1</v>
      </c>
      <c r="D55" s="486">
        <v>1</v>
      </c>
      <c r="E55" s="486">
        <v>1</v>
      </c>
      <c r="F55" s="488">
        <v>1</v>
      </c>
      <c r="G55" s="486">
        <v>1</v>
      </c>
      <c r="H55" s="486">
        <v>1</v>
      </c>
      <c r="I55" s="486">
        <v>1</v>
      </c>
      <c r="J55" s="486">
        <v>1</v>
      </c>
      <c r="K55" s="489">
        <v>1</v>
      </c>
      <c r="L55" s="488">
        <v>1</v>
      </c>
      <c r="M55" s="488">
        <v>1</v>
      </c>
      <c r="N55" s="488">
        <v>1</v>
      </c>
      <c r="O55" s="118"/>
    </row>
    <row r="56" spans="1:21">
      <c r="A56" s="145" t="s">
        <v>695</v>
      </c>
      <c r="B56" s="2098">
        <v>5000000</v>
      </c>
      <c r="C56" s="490">
        <f t="shared" ref="C56:N56" si="14">SUM(C53:C53)*C55</f>
        <v>17383391.370336019</v>
      </c>
      <c r="D56" s="84">
        <f t="shared" si="14"/>
        <v>19070671.377654947</v>
      </c>
      <c r="E56" s="84">
        <f t="shared" si="14"/>
        <v>20943032.234737165</v>
      </c>
      <c r="F56" s="120">
        <f t="shared" si="14"/>
        <v>22999221.710629381</v>
      </c>
      <c r="G56" s="84">
        <f t="shared" si="14"/>
        <v>28009536.136664666</v>
      </c>
      <c r="H56" s="84">
        <f t="shared" si="14"/>
        <v>30460556.806394603</v>
      </c>
      <c r="I56" s="84">
        <f t="shared" si="14"/>
        <v>33156609.146139551</v>
      </c>
      <c r="J56" s="84">
        <f t="shared" si="14"/>
        <v>36091288.056792036</v>
      </c>
      <c r="K56" s="376">
        <f t="shared" si="14"/>
        <v>56628545.428496853</v>
      </c>
      <c r="L56" s="120">
        <f t="shared" si="14"/>
        <v>76968139.315230623</v>
      </c>
      <c r="M56" s="120">
        <f t="shared" si="14"/>
        <v>97729625</v>
      </c>
      <c r="N56" s="120">
        <f t="shared" si="14"/>
        <v>104879625</v>
      </c>
      <c r="O56" s="1"/>
    </row>
    <row r="57" spans="1:21">
      <c r="A57" s="56"/>
      <c r="B57" s="2040"/>
      <c r="C57" s="47"/>
      <c r="D57" s="1"/>
      <c r="E57" s="1"/>
      <c r="F57" s="50"/>
      <c r="G57" s="1"/>
      <c r="H57" s="1"/>
      <c r="I57" s="1"/>
      <c r="J57" s="1"/>
      <c r="K57" s="319"/>
      <c r="L57" s="50"/>
      <c r="M57" s="50"/>
      <c r="N57" s="50"/>
      <c r="O57" s="1"/>
    </row>
    <row r="58" spans="1:21">
      <c r="A58" s="56" t="s">
        <v>696</v>
      </c>
      <c r="B58" s="1074"/>
      <c r="C58" s="428"/>
      <c r="D58" s="427"/>
      <c r="E58" s="427"/>
      <c r="F58" s="429"/>
      <c r="G58" s="427"/>
      <c r="H58" s="427"/>
      <c r="I58" s="427"/>
      <c r="J58" s="427"/>
      <c r="K58" s="447"/>
      <c r="L58" s="429"/>
      <c r="M58" s="429"/>
      <c r="N58" s="429"/>
      <c r="O58" s="1"/>
    </row>
    <row r="59" spans="1:21">
      <c r="A59" s="56" t="s">
        <v>697</v>
      </c>
      <c r="B59" s="1074"/>
      <c r="C59" s="428"/>
      <c r="D59" s="427"/>
      <c r="E59" s="427"/>
      <c r="F59" s="429"/>
      <c r="G59" s="427"/>
      <c r="H59" s="427"/>
      <c r="I59" s="427"/>
      <c r="J59" s="427"/>
      <c r="K59" s="447"/>
      <c r="L59" s="429"/>
      <c r="M59" s="429"/>
      <c r="N59" s="429"/>
      <c r="O59" s="1"/>
    </row>
    <row r="60" spans="1:21">
      <c r="A60" s="56" t="s">
        <v>698</v>
      </c>
      <c r="B60" s="2098">
        <v>5000000</v>
      </c>
      <c r="C60" s="84">
        <v>20045874.830367371</v>
      </c>
      <c r="D60" s="84">
        <v>21192692.698817451</v>
      </c>
      <c r="E60" s="84">
        <v>22418821.245092958</v>
      </c>
      <c r="F60" s="84">
        <v>23715888.922764249</v>
      </c>
      <c r="G60" s="84">
        <v>25057343.537959211</v>
      </c>
      <c r="H60" s="84">
        <v>26490865.873521809</v>
      </c>
      <c r="I60" s="84">
        <v>28023526.556366201</v>
      </c>
      <c r="J60" s="84">
        <v>29644861.153455321</v>
      </c>
      <c r="K60" s="84">
        <v>43597608.303487219</v>
      </c>
      <c r="L60" s="84">
        <v>62946359.588760987</v>
      </c>
      <c r="M60" s="84">
        <v>75729625</v>
      </c>
      <c r="N60" s="84">
        <v>82729625</v>
      </c>
      <c r="O60" s="1"/>
    </row>
    <row r="61" spans="1:21" ht="14.7" customHeight="1" thickBot="1">
      <c r="A61" s="145" t="s">
        <v>698</v>
      </c>
      <c r="B61" s="2232">
        <v>5000000</v>
      </c>
      <c r="C61" s="141">
        <f t="shared" ref="C61:N61" si="15">+C56</f>
        <v>17383391.370336019</v>
      </c>
      <c r="D61" s="140">
        <f t="shared" si="15"/>
        <v>19070671.377654947</v>
      </c>
      <c r="E61" s="140">
        <f t="shared" si="15"/>
        <v>20943032.234737165</v>
      </c>
      <c r="F61" s="142">
        <f t="shared" si="15"/>
        <v>22999221.710629381</v>
      </c>
      <c r="G61" s="140">
        <f t="shared" si="15"/>
        <v>28009536.136664666</v>
      </c>
      <c r="H61" s="140">
        <f t="shared" si="15"/>
        <v>30460556.806394603</v>
      </c>
      <c r="I61" s="140">
        <f t="shared" si="15"/>
        <v>33156609.146139551</v>
      </c>
      <c r="J61" s="140">
        <f t="shared" si="15"/>
        <v>36091288.056792036</v>
      </c>
      <c r="K61" s="377">
        <f t="shared" si="15"/>
        <v>56628545.428496853</v>
      </c>
      <c r="L61" s="142">
        <f t="shared" si="15"/>
        <v>76968139.315230623</v>
      </c>
      <c r="M61" s="142">
        <f t="shared" si="15"/>
        <v>97729625</v>
      </c>
      <c r="N61" s="142">
        <f t="shared" si="15"/>
        <v>104879625</v>
      </c>
      <c r="O61" s="6"/>
    </row>
    <row r="62" spans="1:21">
      <c r="A62" s="134" t="s">
        <v>86</v>
      </c>
      <c r="B62" s="2008"/>
      <c r="C62" s="6"/>
      <c r="D62" s="6"/>
      <c r="E62" s="6"/>
      <c r="F62" s="6"/>
      <c r="G62" s="6"/>
      <c r="H62" s="6"/>
      <c r="I62" s="6"/>
      <c r="J62" s="1079">
        <f>((J61+SUM($G$26:J26))/$G$61)^(365/(J1-$G$1))-1</f>
        <v>0.38200869612892752</v>
      </c>
      <c r="K62" s="1079">
        <f>((K61+K26)/J61)^(365/(K1-J1))-1</f>
        <v>0.56903642062838222</v>
      </c>
      <c r="L62" s="1079">
        <f>((L61+L26)/K61)^(365/(L1-K1))-1</f>
        <v>0.35803649295381201</v>
      </c>
      <c r="M62" s="1079">
        <f>((M61+M26)/L61)^(365/(M1-L1))-1</f>
        <v>7.4855462741182377E-2</v>
      </c>
      <c r="N62" s="1079">
        <f>((N61+N26)/M61)^(365/(N1-M1))-1</f>
        <v>7.3161029728703086E-2</v>
      </c>
      <c r="O62" s="6"/>
    </row>
    <row r="63" spans="1:21">
      <c r="A63" s="5" t="s">
        <v>87</v>
      </c>
      <c r="B63" s="2008"/>
      <c r="C63" s="6"/>
      <c r="D63" s="6"/>
      <c r="E63" s="6"/>
      <c r="F63" s="6"/>
      <c r="G63" s="6"/>
      <c r="H63" s="6"/>
      <c r="I63" s="6"/>
      <c r="J63" s="1078">
        <f>XIRR(CHOOSE({1,2,3,4,5},-$G$61,$G$26,$H$26,$I$26,J26+J61),CHOOSE({1,2,3,4,5},$G$1,$G$1,$H$1,$I$1,J1))</f>
        <v>0.52550312876701344</v>
      </c>
      <c r="K63" s="1078">
        <f>XIRR(CHOOSE({1,2,3,4,5,6},-$G$61,$G$26,$H$26,$I$26,$J$26,$K$26+K61),CHOOSE({1,2,3,4,5,6},$G$1,$G$1,$H$1,$I$1,$J$1,K1))</f>
        <v>0.55263251662254342</v>
      </c>
      <c r="L63" s="1078">
        <f>XIRR(CHOOSE({1,2,3,4,5,6,7},-$G$61,$G$26,$H$26,$I$26,$J$26,$K$26,L26+L61),CHOOSE({1,2,3,4,5,6,7},$G$1,$G$1,$H$1,$I$1,$J$1,$K$1,L1))</f>
        <v>0.47439584136009216</v>
      </c>
      <c r="M63" s="1078">
        <f>XIRR(CHOOSE({1,2,3,4,5,6,7,8},-$G$61,$G$26,$H$26,$I$26,$J$26,$K$26,$L$26,M26+M61),CHOOSE({1,2,3,4,5,6,7,8},$G$1,$G$1,$H$1,$I$1,$J$1,$K$1,$L$1,M1))</f>
        <v>0.35011807084083557</v>
      </c>
      <c r="N63" s="1078">
        <f>XIRR(CHOOSE({1,2,3,4,5,6,7,8,9},-$G$61,$G$26,$H$26,$I$26,$J$26,$K$26,$L$26,$M$26,N26+N61),CHOOSE({1,2,3,4,5,6,7,8,9},$G$1,$G$1,$H$1,$I$1,$J$1,$K$1,$L$1,$M$1,N1))</f>
        <v>0.27445957064628601</v>
      </c>
      <c r="O63" s="6"/>
    </row>
    <row r="64" spans="1:21">
      <c r="H64" s="1"/>
      <c r="I64" s="1"/>
      <c r="J64" s="1"/>
      <c r="K64" s="1"/>
      <c r="L64" s="1"/>
      <c r="M64" s="1"/>
      <c r="N64" s="1"/>
      <c r="O64" s="1"/>
    </row>
    <row r="65" spans="1:14" ht="15.6" customHeight="1">
      <c r="B65" s="2233">
        <v>45657</v>
      </c>
      <c r="C65" s="484">
        <f t="shared" ref="C65:N65" si="16">+C1</f>
        <v>45747</v>
      </c>
      <c r="D65" s="484">
        <f t="shared" si="16"/>
        <v>45838</v>
      </c>
      <c r="E65" s="484">
        <f t="shared" si="16"/>
        <v>45930</v>
      </c>
      <c r="F65" s="483">
        <f t="shared" si="16"/>
        <v>46022</v>
      </c>
      <c r="G65" s="484">
        <f t="shared" si="16"/>
        <v>46112</v>
      </c>
      <c r="H65" s="484">
        <f t="shared" si="16"/>
        <v>46203</v>
      </c>
      <c r="I65" s="484">
        <f t="shared" si="16"/>
        <v>46295</v>
      </c>
      <c r="J65" s="483">
        <f t="shared" si="16"/>
        <v>46387</v>
      </c>
      <c r="K65" s="483">
        <f t="shared" si="16"/>
        <v>46752</v>
      </c>
      <c r="L65" s="483">
        <f t="shared" si="16"/>
        <v>47118</v>
      </c>
      <c r="M65" s="483">
        <f t="shared" si="16"/>
        <v>47483</v>
      </c>
      <c r="N65" s="483">
        <f t="shared" si="16"/>
        <v>47848</v>
      </c>
    </row>
    <row r="66" spans="1:14" ht="15.6" customHeight="1">
      <c r="A66" s="481" t="s">
        <v>699</v>
      </c>
      <c r="B66" s="2233" t="s">
        <v>2</v>
      </c>
      <c r="C66" s="484" t="str">
        <f t="shared" ref="C66:N66" si="17">+C2</f>
        <v>Q1</v>
      </c>
      <c r="D66" s="484" t="str">
        <f t="shared" si="17"/>
        <v>Q2</v>
      </c>
      <c r="E66" s="484" t="str">
        <f t="shared" si="17"/>
        <v>Q3</v>
      </c>
      <c r="F66" s="483" t="str">
        <f t="shared" si="17"/>
        <v>Q4</v>
      </c>
      <c r="G66" s="484" t="str">
        <f t="shared" si="17"/>
        <v>Q1</v>
      </c>
      <c r="H66" s="484" t="str">
        <f t="shared" si="17"/>
        <v>Q2</v>
      </c>
      <c r="I66" s="484" t="str">
        <f t="shared" si="17"/>
        <v>Q3</v>
      </c>
      <c r="J66" s="483" t="str">
        <f t="shared" si="17"/>
        <v>Q4</v>
      </c>
      <c r="K66" s="483" t="str">
        <f t="shared" si="17"/>
        <v>Q4</v>
      </c>
      <c r="L66" s="483" t="str">
        <f t="shared" si="17"/>
        <v>Q4</v>
      </c>
      <c r="M66" s="483" t="str">
        <f t="shared" si="17"/>
        <v>Q4</v>
      </c>
      <c r="N66" s="483" t="str">
        <f t="shared" si="17"/>
        <v>Q4</v>
      </c>
    </row>
    <row r="67" spans="1:14">
      <c r="A67" t="s">
        <v>700</v>
      </c>
      <c r="B67" s="1074"/>
      <c r="C67" s="427">
        <v>177000000</v>
      </c>
      <c r="D67" s="427">
        <v>177000000</v>
      </c>
      <c r="E67" s="427">
        <v>177000000</v>
      </c>
      <c r="F67" s="427">
        <v>177000000</v>
      </c>
      <c r="G67" s="427">
        <v>177000000</v>
      </c>
      <c r="H67" s="427">
        <v>177000000</v>
      </c>
      <c r="I67" s="427">
        <v>177000000</v>
      </c>
      <c r="J67" s="427">
        <v>177000000</v>
      </c>
      <c r="K67" s="427">
        <v>177000000</v>
      </c>
      <c r="L67" s="427">
        <v>177000000</v>
      </c>
      <c r="M67" s="427">
        <v>177000000</v>
      </c>
    </row>
    <row r="68" spans="1:14">
      <c r="A68" t="s">
        <v>701</v>
      </c>
      <c r="B68" s="1074"/>
      <c r="C68" s="427"/>
      <c r="D68" s="427"/>
      <c r="E68" s="427"/>
      <c r="F68" s="427"/>
      <c r="G68" s="427"/>
      <c r="H68" s="427"/>
      <c r="I68" s="427"/>
      <c r="J68" s="427"/>
      <c r="K68" s="427"/>
      <c r="L68" s="427"/>
      <c r="M68" s="427"/>
    </row>
    <row r="69" spans="1:14">
      <c r="A69" t="s">
        <v>702</v>
      </c>
      <c r="B69" s="1074"/>
      <c r="C69" s="427">
        <v>11000000</v>
      </c>
      <c r="D69" s="427">
        <v>11000000</v>
      </c>
      <c r="E69" s="427">
        <v>11000000</v>
      </c>
      <c r="F69" s="427">
        <v>11000000</v>
      </c>
      <c r="G69" s="427">
        <v>11000000</v>
      </c>
      <c r="H69" s="427">
        <v>11000000</v>
      </c>
      <c r="I69" s="427">
        <v>11000000</v>
      </c>
      <c r="J69" s="1074">
        <v>11000000</v>
      </c>
      <c r="K69" s="427">
        <f>+J69*1.15</f>
        <v>12649999.999999998</v>
      </c>
      <c r="L69" s="427">
        <f>+K69*1.15</f>
        <v>14547499.999999996</v>
      </c>
      <c r="M69" s="427">
        <f>+L69*1.15</f>
        <v>16729624.999999994</v>
      </c>
    </row>
    <row r="70" spans="1:14">
      <c r="A70" t="s">
        <v>703</v>
      </c>
      <c r="B70" s="1074"/>
      <c r="C70" s="427">
        <v>15772000</v>
      </c>
      <c r="D70" s="427">
        <v>15500000</v>
      </c>
      <c r="E70" s="427">
        <v>15500000</v>
      </c>
      <c r="F70" s="427">
        <v>15500000</v>
      </c>
      <c r="G70" s="427">
        <v>15500000</v>
      </c>
      <c r="H70" s="427">
        <v>15500000</v>
      </c>
      <c r="I70" s="427">
        <v>15500000</v>
      </c>
      <c r="J70" s="427">
        <v>15500000</v>
      </c>
      <c r="K70" s="427">
        <v>15500000</v>
      </c>
      <c r="L70" s="427">
        <v>15500000</v>
      </c>
      <c r="M70" s="427">
        <v>15500000</v>
      </c>
    </row>
    <row r="71" spans="1:14">
      <c r="A71" t="s">
        <v>704</v>
      </c>
      <c r="B71" s="1074"/>
      <c r="C71" s="427">
        <v>45500000</v>
      </c>
      <c r="D71" s="427">
        <v>44000000</v>
      </c>
      <c r="E71" s="427">
        <v>44000000</v>
      </c>
      <c r="F71" s="427">
        <v>44000000</v>
      </c>
      <c r="G71" s="427">
        <v>44000000</v>
      </c>
      <c r="H71" s="427">
        <v>44000000</v>
      </c>
      <c r="I71" s="427">
        <v>44000000</v>
      </c>
      <c r="J71" s="427">
        <v>44000000</v>
      </c>
      <c r="K71" s="427">
        <v>44000000</v>
      </c>
      <c r="L71" s="427">
        <v>44000000</v>
      </c>
      <c r="M71" s="427">
        <v>44000000</v>
      </c>
    </row>
    <row r="72" spans="1:14">
      <c r="A72" t="s">
        <v>705</v>
      </c>
      <c r="B72" s="1074"/>
      <c r="C72" s="427"/>
      <c r="D72" s="427"/>
      <c r="E72" s="427"/>
      <c r="F72" s="427"/>
      <c r="G72" s="427"/>
      <c r="H72" s="427"/>
      <c r="I72" s="427"/>
      <c r="J72" s="427"/>
      <c r="K72" s="427"/>
      <c r="L72" s="427"/>
      <c r="M72" s="427"/>
    </row>
    <row r="73" spans="1:14">
      <c r="A73" t="s">
        <v>706</v>
      </c>
      <c r="B73" s="2219">
        <v>0</v>
      </c>
      <c r="C73" s="46">
        <f>+C67-SUM(C69:C71)+C68</f>
        <v>104728000</v>
      </c>
      <c r="D73" s="46">
        <f>+D67-SUM(D69:D71)+D68</f>
        <v>106500000</v>
      </c>
      <c r="E73" s="46">
        <f>+E67-SUM(E69:E71)+E68</f>
        <v>106500000</v>
      </c>
      <c r="F73" s="46">
        <f>+F67-SUM(F69:F71)+F68+F72</f>
        <v>106500000</v>
      </c>
      <c r="G73" s="46">
        <f t="shared" ref="G73:M73" si="18">+G67-SUM(G69:G71)+G68</f>
        <v>106500000</v>
      </c>
      <c r="H73" s="46">
        <f t="shared" si="18"/>
        <v>106500000</v>
      </c>
      <c r="I73" s="46">
        <f t="shared" si="18"/>
        <v>106500000</v>
      </c>
      <c r="J73" s="46">
        <f t="shared" si="18"/>
        <v>106500000</v>
      </c>
      <c r="K73" s="46">
        <f t="shared" si="18"/>
        <v>104850000</v>
      </c>
      <c r="L73" s="46">
        <f t="shared" si="18"/>
        <v>102952500</v>
      </c>
      <c r="M73" s="46">
        <f t="shared" si="18"/>
        <v>100770375</v>
      </c>
    </row>
    <row r="75" spans="1:14">
      <c r="A75" t="s">
        <v>707</v>
      </c>
      <c r="B75" s="1074"/>
      <c r="C75" s="427">
        <v>100000000</v>
      </c>
      <c r="D75" s="427">
        <v>100000000</v>
      </c>
      <c r="E75" s="427">
        <v>100000000</v>
      </c>
      <c r="F75" s="427">
        <v>100000000</v>
      </c>
      <c r="G75" s="427">
        <v>100000000</v>
      </c>
      <c r="H75" s="427">
        <v>100000000</v>
      </c>
      <c r="I75" s="427">
        <v>100000000</v>
      </c>
      <c r="J75" s="427">
        <v>100000000</v>
      </c>
      <c r="K75" s="427">
        <v>100000000</v>
      </c>
      <c r="L75" s="427">
        <v>100000000</v>
      </c>
      <c r="M75" s="427">
        <v>100000000</v>
      </c>
    </row>
    <row r="76" spans="1:14">
      <c r="A76" t="s">
        <v>708</v>
      </c>
      <c r="B76" s="2234">
        <v>0</v>
      </c>
      <c r="C76" s="92">
        <f t="shared" ref="C76:M76" si="19">+C75-C71-C70</f>
        <v>38728000</v>
      </c>
      <c r="D76" s="92">
        <f t="shared" si="19"/>
        <v>40500000</v>
      </c>
      <c r="E76" s="92">
        <f t="shared" si="19"/>
        <v>40500000</v>
      </c>
      <c r="F76" s="92">
        <f t="shared" si="19"/>
        <v>40500000</v>
      </c>
      <c r="G76" s="92">
        <f t="shared" si="19"/>
        <v>40500000</v>
      </c>
      <c r="H76" s="92">
        <f t="shared" si="19"/>
        <v>40500000</v>
      </c>
      <c r="I76" s="92">
        <f t="shared" si="19"/>
        <v>40500000</v>
      </c>
      <c r="J76" s="92">
        <f t="shared" si="19"/>
        <v>40500000</v>
      </c>
      <c r="K76" s="92">
        <f t="shared" si="19"/>
        <v>40500000</v>
      </c>
      <c r="L76" s="92">
        <f t="shared" si="19"/>
        <v>40500000</v>
      </c>
      <c r="M76" s="92">
        <f t="shared" si="19"/>
        <v>40500000</v>
      </c>
    </row>
    <row r="78" spans="1:14">
      <c r="A78" t="s">
        <v>709</v>
      </c>
      <c r="B78" s="2235">
        <v>0</v>
      </c>
      <c r="C78" s="482">
        <f t="shared" ref="C78:M78" si="20">+C76-C73</f>
        <v>-66000000</v>
      </c>
      <c r="D78" s="482">
        <f t="shared" si="20"/>
        <v>-66000000</v>
      </c>
      <c r="E78" s="482">
        <f t="shared" si="20"/>
        <v>-66000000</v>
      </c>
      <c r="F78" s="482">
        <f t="shared" si="20"/>
        <v>-66000000</v>
      </c>
      <c r="G78" s="482">
        <f t="shared" si="20"/>
        <v>-66000000</v>
      </c>
      <c r="H78" s="482">
        <f t="shared" si="20"/>
        <v>-66000000</v>
      </c>
      <c r="I78" s="482">
        <f t="shared" si="20"/>
        <v>-66000000</v>
      </c>
      <c r="J78" s="482">
        <f t="shared" si="20"/>
        <v>-66000000</v>
      </c>
      <c r="K78" s="482">
        <f t="shared" si="20"/>
        <v>-64350000</v>
      </c>
      <c r="L78" s="482">
        <f t="shared" si="20"/>
        <v>-62452500</v>
      </c>
      <c r="M78" s="482">
        <f t="shared" si="20"/>
        <v>-60270375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rgb="FFB4C6E7"/>
  </sheetPr>
  <dimension ref="A1:AE135"/>
  <sheetViews>
    <sheetView showGridLines="0" zoomScale="70" zoomScaleNormal="70" workbookViewId="0">
      <pane xSplit="1" ySplit="2" topLeftCell="I74" activePane="bottomRight" state="frozen"/>
      <selection pane="topRight" activeCell="B1" sqref="B1"/>
      <selection pane="bottomLeft" activeCell="A3" sqref="A3"/>
      <selection pane="bottomRight" activeCell="L89" sqref="L89"/>
    </sheetView>
  </sheetViews>
  <sheetFormatPr defaultRowHeight="14.4"/>
  <cols>
    <col min="1" max="1" width="40.578125" bestFit="1" customWidth="1"/>
    <col min="2" max="4" width="17.578125" bestFit="1" customWidth="1"/>
    <col min="5" max="6" width="19.26171875" bestFit="1" customWidth="1"/>
    <col min="7" max="8" width="18.578125" bestFit="1" customWidth="1"/>
    <col min="9" max="9" width="18.26171875" bestFit="1" customWidth="1"/>
    <col min="10" max="10" width="18.578125" bestFit="1" customWidth="1"/>
    <col min="11" max="13" width="19.26171875" bestFit="1" customWidth="1"/>
    <col min="14" max="17" width="18.578125" bestFit="1" customWidth="1"/>
    <col min="18" max="18" width="18.578125" customWidth="1"/>
    <col min="19" max="19" width="18.26171875" bestFit="1" customWidth="1"/>
    <col min="20" max="21" width="15.578125" bestFit="1" customWidth="1"/>
    <col min="22" max="22" width="17.578125" bestFit="1" customWidth="1"/>
    <col min="23" max="23" width="15" bestFit="1" customWidth="1"/>
    <col min="24" max="24" width="16.26171875" bestFit="1" customWidth="1"/>
    <col min="25" max="25" width="15.578125" bestFit="1" customWidth="1"/>
    <col min="26" max="26" width="15.26171875" bestFit="1" customWidth="1"/>
    <col min="27" max="27" width="12.26171875" customWidth="1"/>
    <col min="28" max="28" width="12.41796875" bestFit="1" customWidth="1"/>
    <col min="29" max="29" width="13.578125" bestFit="1" customWidth="1"/>
    <col min="30" max="30" width="11.68359375" bestFit="1" customWidth="1"/>
    <col min="31" max="31" width="7.26171875" bestFit="1" customWidth="1"/>
  </cols>
  <sheetData>
    <row r="1" spans="1:22" s="25" customFormat="1" ht="18.3" customHeight="1">
      <c r="A1" s="521" t="s">
        <v>0</v>
      </c>
      <c r="B1" s="422" t="e">
        <v>#REF!</v>
      </c>
      <c r="C1" s="422" t="e">
        <v>#REF!</v>
      </c>
      <c r="D1" s="422" t="e">
        <v>#REF!</v>
      </c>
      <c r="E1" s="422">
        <v>45657</v>
      </c>
      <c r="F1" s="422">
        <v>45747</v>
      </c>
      <c r="G1" s="422">
        <v>45838</v>
      </c>
      <c r="H1" s="422">
        <v>45930</v>
      </c>
      <c r="I1" s="422">
        <v>46022</v>
      </c>
      <c r="J1" s="422">
        <v>46112</v>
      </c>
      <c r="K1" s="422">
        <v>46203</v>
      </c>
      <c r="L1" s="422">
        <v>46295</v>
      </c>
      <c r="M1" s="422">
        <v>46387</v>
      </c>
      <c r="N1" s="422">
        <v>46752</v>
      </c>
      <c r="O1" s="422">
        <v>47118</v>
      </c>
      <c r="P1" s="422">
        <v>47483</v>
      </c>
      <c r="Q1" s="422">
        <v>47848</v>
      </c>
      <c r="R1" s="122"/>
    </row>
    <row r="2" spans="1:22" ht="15.6" customHeight="1">
      <c r="A2" s="522" t="s">
        <v>1</v>
      </c>
      <c r="B2" s="422" t="e">
        <v>#REF!</v>
      </c>
      <c r="C2" s="422" t="e">
        <v>#REF!</v>
      </c>
      <c r="D2" s="422" t="e">
        <v>#REF!</v>
      </c>
      <c r="E2" s="422" t="s">
        <v>2</v>
      </c>
      <c r="F2" s="422" t="s">
        <v>3</v>
      </c>
      <c r="G2" s="422" t="s">
        <v>4</v>
      </c>
      <c r="H2" s="422" t="s">
        <v>5</v>
      </c>
      <c r="I2" s="422" t="s">
        <v>2</v>
      </c>
      <c r="J2" s="422" t="s">
        <v>3</v>
      </c>
      <c r="K2" s="422" t="s">
        <v>4</v>
      </c>
      <c r="L2" s="422" t="s">
        <v>5</v>
      </c>
      <c r="M2" s="422" t="s">
        <v>2</v>
      </c>
      <c r="N2" s="422" t="s">
        <v>2</v>
      </c>
      <c r="O2" s="422" t="s">
        <v>2</v>
      </c>
      <c r="P2" s="422" t="s">
        <v>2</v>
      </c>
      <c r="Q2" s="422" t="s">
        <v>2</v>
      </c>
      <c r="R2" s="1"/>
    </row>
    <row r="3" spans="1:22" ht="14.7" customHeight="1" thickBot="1">
      <c r="A3" s="5" t="s">
        <v>6</v>
      </c>
      <c r="B3" s="1"/>
      <c r="C3" s="1"/>
      <c r="D3" s="1"/>
      <c r="E3" s="125"/>
      <c r="F3" s="36"/>
      <c r="G3" s="36"/>
      <c r="H3" s="36"/>
      <c r="I3" s="497"/>
      <c r="J3" s="1"/>
      <c r="K3" s="1"/>
      <c r="L3" s="1"/>
      <c r="M3" s="677" t="s">
        <v>7</v>
      </c>
      <c r="N3" s="738">
        <f>+N4/4500000</f>
        <v>1.3484353333333334</v>
      </c>
      <c r="O3" s="738">
        <f>+O4/N4</f>
        <v>1.2909533502121553</v>
      </c>
      <c r="P3" s="738">
        <f>+P4/O4</f>
        <v>1.0333952387785104</v>
      </c>
      <c r="Q3" s="738">
        <f>+Q4/P4</f>
        <v>1.0637486948817623</v>
      </c>
      <c r="R3" s="1"/>
      <c r="S3" s="825"/>
      <c r="T3" s="825"/>
      <c r="V3" s="150"/>
    </row>
    <row r="4" spans="1:22">
      <c r="A4" s="767" t="s">
        <v>8</v>
      </c>
      <c r="B4" s="452">
        <v>0</v>
      </c>
      <c r="C4" s="453">
        <v>0</v>
      </c>
      <c r="D4" s="453">
        <v>-2036542</v>
      </c>
      <c r="E4" s="453">
        <v>1395804</v>
      </c>
      <c r="F4" s="454">
        <f>1066129/4</f>
        <v>266532.25</v>
      </c>
      <c r="G4" s="453">
        <f>1066129/4</f>
        <v>266532.25</v>
      </c>
      <c r="H4" s="453">
        <f>1066129/4</f>
        <v>266532.25</v>
      </c>
      <c r="I4" s="455">
        <f>1066129/4</f>
        <v>266532.25</v>
      </c>
      <c r="J4" s="454">
        <f>4501321/4</f>
        <v>1125330.25</v>
      </c>
      <c r="K4" s="453">
        <f>4501321/4</f>
        <v>1125330.25</v>
      </c>
      <c r="L4" s="453">
        <f>4501321/4</f>
        <v>1125330.25</v>
      </c>
      <c r="M4" s="455">
        <f>4501321/4</f>
        <v>1125330.25</v>
      </c>
      <c r="N4" s="661">
        <v>6067959</v>
      </c>
      <c r="O4" s="1951">
        <f>7583452+250000</f>
        <v>7833452</v>
      </c>
      <c r="P4" s="1951">
        <f>7845052+250000</f>
        <v>8095052</v>
      </c>
      <c r="Q4" s="1951">
        <f>8111101+500000</f>
        <v>8611101</v>
      </c>
      <c r="R4" s="1" t="s">
        <v>9</v>
      </c>
      <c r="S4" s="977"/>
      <c r="T4" s="825"/>
      <c r="V4" s="9"/>
    </row>
    <row r="5" spans="1:22">
      <c r="A5" s="767" t="s">
        <v>10</v>
      </c>
      <c r="B5" s="427"/>
      <c r="C5" s="680"/>
      <c r="D5" s="680"/>
      <c r="E5" s="680"/>
      <c r="F5" s="681"/>
      <c r="G5" s="680"/>
      <c r="H5" s="680"/>
      <c r="I5" s="682"/>
      <c r="J5" s="681"/>
      <c r="K5" s="680"/>
      <c r="L5" s="680"/>
      <c r="M5" s="682"/>
      <c r="N5" s="683"/>
      <c r="O5" s="683"/>
      <c r="P5" s="683"/>
      <c r="Q5" s="683"/>
      <c r="R5" s="174"/>
      <c r="S5" s="977"/>
      <c r="T5" s="825"/>
      <c r="V5" s="9"/>
    </row>
    <row r="6" spans="1:22">
      <c r="A6" t="s">
        <v>11</v>
      </c>
      <c r="B6" s="427">
        <v>0</v>
      </c>
      <c r="C6" s="427"/>
      <c r="D6" s="427"/>
      <c r="E6" s="427"/>
      <c r="F6" s="428">
        <v>-1137500</v>
      </c>
      <c r="G6" s="427">
        <v>-1137500</v>
      </c>
      <c r="H6" s="427">
        <v>-1137500</v>
      </c>
      <c r="I6" s="429">
        <v>-1137500</v>
      </c>
      <c r="J6" s="428">
        <f>-5448740/4</f>
        <v>-1362185</v>
      </c>
      <c r="K6" s="427">
        <f>-5448740/4</f>
        <v>-1362185</v>
      </c>
      <c r="L6" s="427">
        <f>-5448740/4</f>
        <v>-1362185</v>
      </c>
      <c r="M6" s="429">
        <f>-5448740/4</f>
        <v>-1362185</v>
      </c>
      <c r="N6" s="447">
        <v>-5504000</v>
      </c>
      <c r="O6" s="447">
        <f>+O57*0.08</f>
        <v>-5618473.6293028574</v>
      </c>
      <c r="P6" s="447">
        <f>+P57*0.08</f>
        <v>-5618473.6293028574</v>
      </c>
      <c r="Q6" s="447">
        <f>+Q57*0.08</f>
        <v>-5618473.6293028574</v>
      </c>
      <c r="R6" s="32"/>
      <c r="S6" s="825"/>
      <c r="T6" s="825"/>
      <c r="U6" s="768"/>
      <c r="V6" s="1013"/>
    </row>
    <row r="7" spans="1:22">
      <c r="A7" t="s">
        <v>12</v>
      </c>
      <c r="B7" s="427">
        <v>0</v>
      </c>
      <c r="C7" s="427">
        <v>0</v>
      </c>
      <c r="D7" s="427">
        <v>0</v>
      </c>
      <c r="E7" s="427">
        <v>0</v>
      </c>
      <c r="F7" s="428">
        <v>0</v>
      </c>
      <c r="G7" s="427">
        <v>0</v>
      </c>
      <c r="H7" s="427">
        <v>0</v>
      </c>
      <c r="I7" s="429">
        <v>0</v>
      </c>
      <c r="J7" s="428">
        <v>0</v>
      </c>
      <c r="K7" s="427">
        <v>0</v>
      </c>
      <c r="L7" s="427">
        <v>0</v>
      </c>
      <c r="M7" s="429">
        <v>0</v>
      </c>
      <c r="N7" s="447">
        <v>0</v>
      </c>
      <c r="O7" s="447">
        <v>0</v>
      </c>
      <c r="P7" s="447">
        <v>0</v>
      </c>
      <c r="Q7" s="447">
        <v>0</v>
      </c>
      <c r="R7" s="32"/>
      <c r="S7" s="825"/>
      <c r="T7" s="825"/>
      <c r="U7" s="931"/>
      <c r="V7" s="768"/>
    </row>
    <row r="8" spans="1:22">
      <c r="A8" t="s">
        <v>13</v>
      </c>
      <c r="B8" s="96">
        <f t="shared" ref="B8:Q8" si="0">SUM(B4:B7)</f>
        <v>0</v>
      </c>
      <c r="C8" s="96">
        <f t="shared" si="0"/>
        <v>0</v>
      </c>
      <c r="D8" s="96">
        <f t="shared" si="0"/>
        <v>-2036542</v>
      </c>
      <c r="E8" s="96">
        <f t="shared" si="0"/>
        <v>1395804</v>
      </c>
      <c r="F8" s="98">
        <f t="shared" si="0"/>
        <v>-870967.75</v>
      </c>
      <c r="G8" s="46">
        <f t="shared" si="0"/>
        <v>-870967.75</v>
      </c>
      <c r="H8" s="96">
        <f t="shared" si="0"/>
        <v>-870967.75</v>
      </c>
      <c r="I8" s="99">
        <f t="shared" si="0"/>
        <v>-870967.75</v>
      </c>
      <c r="J8" s="98">
        <f t="shared" si="0"/>
        <v>-236854.75</v>
      </c>
      <c r="K8" s="96">
        <f t="shared" si="0"/>
        <v>-236854.75</v>
      </c>
      <c r="L8" s="96">
        <f t="shared" si="0"/>
        <v>-236854.75</v>
      </c>
      <c r="M8" s="99">
        <f t="shared" si="0"/>
        <v>-236854.75</v>
      </c>
      <c r="N8" s="387">
        <f t="shared" si="0"/>
        <v>563959</v>
      </c>
      <c r="O8" s="387">
        <f t="shared" si="0"/>
        <v>2214978.3706971426</v>
      </c>
      <c r="P8" s="387">
        <f t="shared" si="0"/>
        <v>2476578.3706971426</v>
      </c>
      <c r="Q8" s="387">
        <f t="shared" si="0"/>
        <v>2992627.3706971426</v>
      </c>
      <c r="R8" s="32"/>
      <c r="S8" s="825"/>
      <c r="T8" s="825"/>
      <c r="U8" s="931"/>
      <c r="V8" s="768"/>
    </row>
    <row r="9" spans="1:22">
      <c r="A9" t="s">
        <v>14</v>
      </c>
      <c r="B9" s="427"/>
      <c r="C9" s="427">
        <f t="shared" ref="C9:Q9" si="1">-IF(C8&gt;0,C8,0)</f>
        <v>0</v>
      </c>
      <c r="D9" s="427">
        <f t="shared" si="1"/>
        <v>0</v>
      </c>
      <c r="E9" s="427">
        <f t="shared" si="1"/>
        <v>-1395804</v>
      </c>
      <c r="F9" s="428">
        <f t="shared" si="1"/>
        <v>0</v>
      </c>
      <c r="G9" s="427">
        <f t="shared" si="1"/>
        <v>0</v>
      </c>
      <c r="H9" s="427">
        <f t="shared" si="1"/>
        <v>0</v>
      </c>
      <c r="I9" s="429">
        <f t="shared" si="1"/>
        <v>0</v>
      </c>
      <c r="J9" s="428">
        <f t="shared" si="1"/>
        <v>0</v>
      </c>
      <c r="K9" s="427">
        <f t="shared" si="1"/>
        <v>0</v>
      </c>
      <c r="L9" s="427">
        <f t="shared" si="1"/>
        <v>0</v>
      </c>
      <c r="M9" s="429">
        <f t="shared" si="1"/>
        <v>0</v>
      </c>
      <c r="N9" s="447">
        <f t="shared" si="1"/>
        <v>-563959</v>
      </c>
      <c r="O9" s="447">
        <f t="shared" si="1"/>
        <v>-2214978.3706971426</v>
      </c>
      <c r="P9" s="447">
        <f t="shared" si="1"/>
        <v>-2476578.3706971426</v>
      </c>
      <c r="Q9" s="447">
        <f t="shared" si="1"/>
        <v>-2992627.3706971426</v>
      </c>
      <c r="R9" s="32"/>
      <c r="S9" s="825"/>
      <c r="U9" s="768"/>
      <c r="V9" s="931"/>
    </row>
    <row r="10" spans="1:22">
      <c r="A10" t="s">
        <v>15</v>
      </c>
      <c r="B10" s="32">
        <f t="shared" ref="B10:Q10" si="2">SUM(B8:B9)</f>
        <v>0</v>
      </c>
      <c r="C10" s="32">
        <f t="shared" si="2"/>
        <v>0</v>
      </c>
      <c r="D10" s="32">
        <f t="shared" si="2"/>
        <v>-2036542</v>
      </c>
      <c r="E10" s="32">
        <f t="shared" si="2"/>
        <v>0</v>
      </c>
      <c r="F10" s="100">
        <f t="shared" si="2"/>
        <v>-870967.75</v>
      </c>
      <c r="G10" s="1">
        <f t="shared" si="2"/>
        <v>-870967.75</v>
      </c>
      <c r="H10" s="32">
        <f t="shared" si="2"/>
        <v>-870967.75</v>
      </c>
      <c r="I10" s="101">
        <f t="shared" si="2"/>
        <v>-870967.75</v>
      </c>
      <c r="J10" s="100">
        <f t="shared" si="2"/>
        <v>-236854.75</v>
      </c>
      <c r="K10" s="32">
        <f t="shared" si="2"/>
        <v>-236854.75</v>
      </c>
      <c r="L10" s="32">
        <f t="shared" si="2"/>
        <v>-236854.75</v>
      </c>
      <c r="M10" s="101">
        <f t="shared" si="2"/>
        <v>-236854.75</v>
      </c>
      <c r="N10" s="320">
        <f t="shared" si="2"/>
        <v>0</v>
      </c>
      <c r="O10" s="320">
        <f t="shared" si="2"/>
        <v>0</v>
      </c>
      <c r="P10" s="320">
        <f t="shared" si="2"/>
        <v>0</v>
      </c>
      <c r="Q10" s="320">
        <f t="shared" si="2"/>
        <v>0</v>
      </c>
      <c r="R10" s="32"/>
      <c r="S10" s="825"/>
      <c r="T10" s="825"/>
      <c r="U10" s="823"/>
      <c r="V10" s="1014"/>
    </row>
    <row r="11" spans="1:22" ht="14.7" customHeight="1" thickBot="1">
      <c r="A11" s="94" t="s">
        <v>16</v>
      </c>
      <c r="B11" s="179"/>
      <c r="C11" s="179"/>
      <c r="D11" s="179"/>
      <c r="E11" s="179">
        <f t="shared" ref="E11:Q11" si="3">+D11+E10</f>
        <v>0</v>
      </c>
      <c r="F11" s="180">
        <f t="shared" si="3"/>
        <v>-870967.75</v>
      </c>
      <c r="G11" s="177">
        <f t="shared" si="3"/>
        <v>-1741935.5</v>
      </c>
      <c r="H11" s="179">
        <f t="shared" si="3"/>
        <v>-2612903.25</v>
      </c>
      <c r="I11" s="181">
        <f t="shared" si="3"/>
        <v>-3483871</v>
      </c>
      <c r="J11" s="180">
        <f t="shared" si="3"/>
        <v>-3720725.75</v>
      </c>
      <c r="K11" s="179">
        <f t="shared" si="3"/>
        <v>-3957580.5</v>
      </c>
      <c r="L11" s="179">
        <f t="shared" si="3"/>
        <v>-4194435.25</v>
      </c>
      <c r="M11" s="181">
        <f t="shared" si="3"/>
        <v>-4431290</v>
      </c>
      <c r="N11" s="388">
        <f t="shared" si="3"/>
        <v>-4431290</v>
      </c>
      <c r="O11" s="388">
        <f t="shared" si="3"/>
        <v>-4431290</v>
      </c>
      <c r="P11" s="388">
        <f t="shared" si="3"/>
        <v>-4431290</v>
      </c>
      <c r="Q11" s="388">
        <f t="shared" si="3"/>
        <v>-4431290</v>
      </c>
      <c r="R11" s="32"/>
      <c r="S11" s="825"/>
      <c r="T11" s="825"/>
      <c r="U11" s="931"/>
      <c r="V11" s="768"/>
    </row>
    <row r="12" spans="1:22" s="5" customFormat="1">
      <c r="B12" s="167"/>
      <c r="C12" s="167"/>
      <c r="D12" s="167"/>
      <c r="E12" s="182"/>
      <c r="F12" s="167"/>
      <c r="G12" s="167"/>
      <c r="H12" s="167"/>
      <c r="I12" s="182"/>
      <c r="J12" s="167"/>
      <c r="K12" s="167"/>
      <c r="L12" s="167"/>
      <c r="M12" s="167"/>
      <c r="N12" s="182"/>
      <c r="O12" s="182"/>
      <c r="P12" s="182"/>
      <c r="Q12" s="182"/>
      <c r="R12" s="167"/>
      <c r="S12" s="825"/>
      <c r="T12" s="825"/>
      <c r="U12" s="1015"/>
      <c r="V12" s="768"/>
    </row>
    <row r="13" spans="1:22">
      <c r="A13" s="10" t="s">
        <v>17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825"/>
    </row>
    <row r="14" spans="1:22" ht="14.7" customHeight="1" thickBot="1">
      <c r="A14" s="5" t="s">
        <v>18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825"/>
    </row>
    <row r="15" spans="1:22">
      <c r="A15" t="s">
        <v>19</v>
      </c>
      <c r="B15" s="452">
        <f t="shared" ref="B15:H15" si="4">+B73*-B9</f>
        <v>0</v>
      </c>
      <c r="C15" s="452">
        <f t="shared" si="4"/>
        <v>0</v>
      </c>
      <c r="D15" s="452">
        <f t="shared" si="4"/>
        <v>0</v>
      </c>
      <c r="E15" s="452">
        <f t="shared" si="4"/>
        <v>814451.63400000008</v>
      </c>
      <c r="F15" s="456">
        <f t="shared" si="4"/>
        <v>0</v>
      </c>
      <c r="G15" s="452">
        <f t="shared" si="4"/>
        <v>0</v>
      </c>
      <c r="H15" s="452">
        <f t="shared" si="4"/>
        <v>0</v>
      </c>
      <c r="I15" s="457"/>
      <c r="J15" s="452">
        <f>+J73*-J9</f>
        <v>0</v>
      </c>
      <c r="K15" s="452">
        <f>+K73*-K9</f>
        <v>0</v>
      </c>
      <c r="L15" s="452">
        <f>+L73*-L9</f>
        <v>0</v>
      </c>
      <c r="M15" s="452">
        <f>+M73*-M9</f>
        <v>0</v>
      </c>
      <c r="N15" s="458"/>
      <c r="O15" s="457"/>
      <c r="P15" s="457"/>
      <c r="Q15" s="457"/>
      <c r="R15" s="1"/>
      <c r="S15" s="825"/>
    </row>
    <row r="16" spans="1:22">
      <c r="A16" t="s">
        <v>20</v>
      </c>
      <c r="B16" s="427">
        <f>+B78*B7</f>
        <v>0</v>
      </c>
      <c r="C16" s="427">
        <f>+C78*C7</f>
        <v>0</v>
      </c>
      <c r="D16" s="427">
        <f>+D78*D7</f>
        <v>0</v>
      </c>
      <c r="E16" s="427">
        <f>+E78*E7</f>
        <v>0</v>
      </c>
      <c r="F16" s="493">
        <v>5100000</v>
      </c>
      <c r="G16" s="427">
        <f>+G78*G7</f>
        <v>0</v>
      </c>
      <c r="H16" s="427"/>
      <c r="I16" s="429">
        <f t="shared" ref="I16:N16" si="5">+I78*I7</f>
        <v>0</v>
      </c>
      <c r="J16" s="427">
        <f t="shared" si="5"/>
        <v>0</v>
      </c>
      <c r="K16" s="427">
        <f t="shared" si="5"/>
        <v>0</v>
      </c>
      <c r="L16" s="427">
        <f t="shared" si="5"/>
        <v>0</v>
      </c>
      <c r="M16" s="427">
        <f t="shared" si="5"/>
        <v>0</v>
      </c>
      <c r="N16" s="447">
        <f t="shared" si="5"/>
        <v>0</v>
      </c>
      <c r="O16" s="429"/>
      <c r="P16" s="429"/>
      <c r="Q16" s="429"/>
      <c r="R16" s="1"/>
      <c r="S16" s="825"/>
    </row>
    <row r="17" spans="1:20">
      <c r="A17" t="s">
        <v>21</v>
      </c>
      <c r="B17" s="427"/>
      <c r="C17" s="427"/>
      <c r="D17" s="427"/>
      <c r="E17" s="427"/>
      <c r="F17" s="724">
        <v>215000</v>
      </c>
      <c r="G17" s="427"/>
      <c r="H17" s="718">
        <v>525000</v>
      </c>
      <c r="I17" s="429"/>
      <c r="J17" s="427"/>
      <c r="K17" s="427"/>
      <c r="L17" s="427"/>
      <c r="M17" s="427"/>
      <c r="N17" s="447"/>
      <c r="O17" s="429"/>
      <c r="P17" s="429"/>
      <c r="Q17" s="429"/>
      <c r="R17" s="1"/>
      <c r="S17" s="825"/>
    </row>
    <row r="18" spans="1:20">
      <c r="A18" s="978" t="s">
        <v>22</v>
      </c>
      <c r="B18" s="427">
        <f>+-B66*B73</f>
        <v>0</v>
      </c>
      <c r="C18" s="427"/>
      <c r="D18" s="427">
        <f>+-D66*D73</f>
        <v>0</v>
      </c>
      <c r="E18" s="427"/>
      <c r="F18" s="493">
        <v>200000</v>
      </c>
      <c r="G18" s="427"/>
      <c r="H18" s="427"/>
      <c r="I18" s="429"/>
      <c r="J18" s="985"/>
      <c r="K18" s="427"/>
      <c r="L18" s="985"/>
      <c r="M18" s="985"/>
      <c r="N18" s="987"/>
      <c r="O18" s="986"/>
      <c r="P18" s="986"/>
      <c r="Q18" s="986"/>
      <c r="R18" s="897"/>
      <c r="S18" s="825"/>
    </row>
    <row r="19" spans="1:20">
      <c r="A19" s="66" t="s">
        <v>23</v>
      </c>
      <c r="B19" s="46">
        <f t="shared" ref="B19:Q19" si="6">SUM(B15:B18)</f>
        <v>0</v>
      </c>
      <c r="C19" s="46">
        <f t="shared" si="6"/>
        <v>0</v>
      </c>
      <c r="D19" s="46">
        <f t="shared" si="6"/>
        <v>0</v>
      </c>
      <c r="E19" s="46">
        <f t="shared" si="6"/>
        <v>814451.63400000008</v>
      </c>
      <c r="F19" s="63">
        <f t="shared" si="6"/>
        <v>5515000</v>
      </c>
      <c r="G19" s="46">
        <f t="shared" si="6"/>
        <v>0</v>
      </c>
      <c r="H19" s="46">
        <f t="shared" si="6"/>
        <v>525000</v>
      </c>
      <c r="I19" s="64">
        <f t="shared" si="6"/>
        <v>0</v>
      </c>
      <c r="J19" s="46">
        <f t="shared" si="6"/>
        <v>0</v>
      </c>
      <c r="K19" s="46">
        <f t="shared" si="6"/>
        <v>0</v>
      </c>
      <c r="L19" s="1016">
        <f t="shared" si="6"/>
        <v>0</v>
      </c>
      <c r="M19" s="1016">
        <f t="shared" si="6"/>
        <v>0</v>
      </c>
      <c r="N19" s="1017">
        <f t="shared" si="6"/>
        <v>0</v>
      </c>
      <c r="O19" s="1018">
        <f t="shared" si="6"/>
        <v>0</v>
      </c>
      <c r="P19" s="1018">
        <f t="shared" si="6"/>
        <v>0</v>
      </c>
      <c r="Q19" s="1018">
        <f t="shared" si="6"/>
        <v>0</v>
      </c>
      <c r="R19" s="897"/>
      <c r="S19" s="825"/>
    </row>
    <row r="20" spans="1:20">
      <c r="A20" s="5"/>
      <c r="B20" s="6"/>
      <c r="C20" s="6"/>
      <c r="D20" s="6"/>
      <c r="E20" s="6"/>
      <c r="F20" s="288"/>
      <c r="G20" s="6"/>
      <c r="H20" s="6"/>
      <c r="I20" s="52"/>
      <c r="J20" s="6"/>
      <c r="K20" s="6"/>
      <c r="L20" s="6"/>
      <c r="M20" s="6"/>
      <c r="N20" s="322"/>
      <c r="O20" s="52"/>
      <c r="P20" s="52"/>
      <c r="Q20" s="52"/>
      <c r="R20" s="6"/>
      <c r="S20" s="825"/>
      <c r="T20" s="825"/>
    </row>
    <row r="21" spans="1:20">
      <c r="A21" s="5" t="s">
        <v>24</v>
      </c>
      <c r="B21" s="1"/>
      <c r="C21" s="1"/>
      <c r="D21" s="1"/>
      <c r="E21" s="1"/>
      <c r="F21" s="47"/>
      <c r="G21" s="1"/>
      <c r="H21" s="1"/>
      <c r="I21" s="50"/>
      <c r="J21" s="1"/>
      <c r="K21" s="1"/>
      <c r="L21" s="1"/>
      <c r="M21" s="1"/>
      <c r="N21" s="319"/>
      <c r="O21" s="50"/>
      <c r="P21" s="50"/>
      <c r="Q21" s="50"/>
      <c r="R21" s="1"/>
      <c r="S21" s="825"/>
      <c r="T21" s="825"/>
    </row>
    <row r="22" spans="1:20">
      <c r="A22" t="s">
        <v>25</v>
      </c>
      <c r="B22" s="427"/>
      <c r="C22" s="427"/>
      <c r="D22" s="427"/>
      <c r="E22" s="427"/>
      <c r="F22" s="493">
        <v>-50000</v>
      </c>
      <c r="G22" s="494">
        <v>-25000</v>
      </c>
      <c r="H22" s="494">
        <v>-230000</v>
      </c>
      <c r="I22" s="429"/>
      <c r="J22" s="427"/>
      <c r="K22" s="427"/>
      <c r="L22" s="427"/>
      <c r="M22" s="427"/>
      <c r="N22" s="447"/>
      <c r="O22" s="429"/>
      <c r="P22" s="429"/>
      <c r="Q22" s="429"/>
      <c r="R22" s="1"/>
      <c r="S22" s="825"/>
      <c r="T22" s="825"/>
    </row>
    <row r="23" spans="1:20">
      <c r="A23" t="s">
        <v>26</v>
      </c>
      <c r="B23" s="427"/>
      <c r="C23" s="427"/>
      <c r="D23" s="427"/>
      <c r="E23" s="427"/>
      <c r="F23" s="428"/>
      <c r="G23" s="494">
        <v>-2000000</v>
      </c>
      <c r="H23" s="427"/>
      <c r="I23" s="429"/>
      <c r="J23" s="494">
        <v>-750000</v>
      </c>
      <c r="K23" s="494">
        <v>-2800000</v>
      </c>
      <c r="L23" s="427"/>
      <c r="M23" s="427"/>
      <c r="N23" s="447"/>
      <c r="O23" s="429"/>
      <c r="P23" s="429"/>
      <c r="Q23" s="429"/>
      <c r="R23" s="1"/>
      <c r="S23" s="825"/>
      <c r="T23" s="825"/>
    </row>
    <row r="24" spans="1:20">
      <c r="A24" t="s">
        <v>27</v>
      </c>
      <c r="B24" s="427"/>
      <c r="C24" s="427"/>
      <c r="D24" s="427"/>
      <c r="E24" s="427"/>
      <c r="F24" s="428"/>
      <c r="G24" s="427"/>
      <c r="H24" s="427"/>
      <c r="I24" s="429"/>
      <c r="J24" s="427"/>
      <c r="K24" s="494">
        <v>-370000</v>
      </c>
      <c r="L24" s="427"/>
      <c r="M24" s="494">
        <v>-750000</v>
      </c>
      <c r="N24" s="447"/>
      <c r="O24" s="429"/>
      <c r="P24" s="429"/>
      <c r="Q24" s="429"/>
      <c r="R24" s="1"/>
      <c r="S24" s="825"/>
      <c r="T24" s="825"/>
    </row>
    <row r="25" spans="1:20">
      <c r="A25" t="s">
        <v>28</v>
      </c>
      <c r="B25" s="427"/>
      <c r="C25" s="427"/>
      <c r="D25" s="427"/>
      <c r="E25" s="427"/>
      <c r="F25" s="428"/>
      <c r="G25" s="427"/>
      <c r="H25" s="427"/>
      <c r="I25" s="429"/>
      <c r="J25" s="427"/>
      <c r="K25" s="494"/>
      <c r="L25" s="427"/>
      <c r="M25" s="494"/>
      <c r="N25" s="447"/>
      <c r="O25" s="675">
        <f>-P91</f>
        <v>-15106831.160182964</v>
      </c>
      <c r="P25" s="429"/>
      <c r="Q25" s="429"/>
      <c r="R25" s="1"/>
      <c r="S25" s="825"/>
      <c r="T25" s="825"/>
    </row>
    <row r="26" spans="1:20">
      <c r="A26" t="s">
        <v>29</v>
      </c>
      <c r="B26" s="427"/>
      <c r="C26" s="427"/>
      <c r="D26" s="427"/>
      <c r="E26" s="427"/>
      <c r="F26" s="428"/>
      <c r="G26" s="427"/>
      <c r="H26" s="427"/>
      <c r="I26" s="429"/>
      <c r="J26" s="427"/>
      <c r="K26" s="427"/>
      <c r="L26" s="427"/>
      <c r="M26" s="427"/>
      <c r="N26" s="447"/>
      <c r="O26" s="429"/>
      <c r="P26" s="429"/>
      <c r="Q26" s="429"/>
      <c r="R26" s="1"/>
      <c r="S26" s="825"/>
      <c r="T26" s="825"/>
    </row>
    <row r="27" spans="1:20">
      <c r="A27" s="5" t="s">
        <v>30</v>
      </c>
      <c r="B27" s="427"/>
      <c r="C27" s="427"/>
      <c r="D27" s="427"/>
      <c r="E27" s="427"/>
      <c r="F27" s="428"/>
      <c r="G27" s="427"/>
      <c r="H27" s="427"/>
      <c r="I27" s="495">
        <v>-289495</v>
      </c>
      <c r="J27" s="494">
        <v>-1000000</v>
      </c>
      <c r="K27" s="427">
        <v>-250000</v>
      </c>
      <c r="L27" s="427"/>
      <c r="M27" s="494"/>
      <c r="N27" s="447"/>
      <c r="O27" s="429"/>
      <c r="P27" s="429"/>
      <c r="Q27" s="429"/>
      <c r="R27" s="1"/>
      <c r="S27" s="825"/>
      <c r="T27" s="825"/>
    </row>
    <row r="28" spans="1:20" ht="14.7" customHeight="1" thickBot="1">
      <c r="A28" s="66" t="s">
        <v>31</v>
      </c>
      <c r="B28" s="459">
        <f t="shared" ref="B28:Q28" si="7">SUM(B22:B27)</f>
        <v>0</v>
      </c>
      <c r="C28" s="459">
        <f t="shared" si="7"/>
        <v>0</v>
      </c>
      <c r="D28" s="459">
        <f t="shared" si="7"/>
        <v>0</v>
      </c>
      <c r="E28" s="459">
        <f t="shared" si="7"/>
        <v>0</v>
      </c>
      <c r="F28" s="460">
        <f t="shared" si="7"/>
        <v>-50000</v>
      </c>
      <c r="G28" s="459">
        <f t="shared" si="7"/>
        <v>-2025000</v>
      </c>
      <c r="H28" s="459">
        <f t="shared" si="7"/>
        <v>-230000</v>
      </c>
      <c r="I28" s="461">
        <f t="shared" si="7"/>
        <v>-289495</v>
      </c>
      <c r="J28" s="459">
        <f t="shared" si="7"/>
        <v>-1750000</v>
      </c>
      <c r="K28" s="459">
        <f t="shared" si="7"/>
        <v>-3420000</v>
      </c>
      <c r="L28" s="459">
        <f t="shared" si="7"/>
        <v>0</v>
      </c>
      <c r="M28" s="459">
        <f t="shared" si="7"/>
        <v>-750000</v>
      </c>
      <c r="N28" s="462">
        <f t="shared" si="7"/>
        <v>0</v>
      </c>
      <c r="O28" s="461">
        <f t="shared" si="7"/>
        <v>-15106831.160182964</v>
      </c>
      <c r="P28" s="461">
        <f t="shared" si="7"/>
        <v>0</v>
      </c>
      <c r="Q28" s="461">
        <f t="shared" si="7"/>
        <v>0</v>
      </c>
      <c r="R28" s="1"/>
      <c r="S28" s="825"/>
      <c r="T28" s="825"/>
    </row>
    <row r="30" spans="1:20" ht="14.7" customHeight="1" thickBot="1">
      <c r="A30" s="107" t="s">
        <v>32</v>
      </c>
      <c r="B30" s="20">
        <f t="shared" ref="B30:Q30" si="8">+B19+B28</f>
        <v>0</v>
      </c>
      <c r="C30" s="20">
        <f t="shared" si="8"/>
        <v>0</v>
      </c>
      <c r="D30" s="20">
        <f t="shared" si="8"/>
        <v>0</v>
      </c>
      <c r="E30" s="20">
        <f t="shared" si="8"/>
        <v>814451.63400000008</v>
      </c>
      <c r="F30" s="20">
        <f t="shared" si="8"/>
        <v>5465000</v>
      </c>
      <c r="G30" s="20">
        <f t="shared" si="8"/>
        <v>-2025000</v>
      </c>
      <c r="H30" s="20">
        <f t="shared" si="8"/>
        <v>295000</v>
      </c>
      <c r="I30" s="20">
        <f t="shared" si="8"/>
        <v>-289495</v>
      </c>
      <c r="J30" s="20">
        <f t="shared" si="8"/>
        <v>-1750000</v>
      </c>
      <c r="K30" s="20">
        <f t="shared" si="8"/>
        <v>-3420000</v>
      </c>
      <c r="L30" s="20">
        <f t="shared" si="8"/>
        <v>0</v>
      </c>
      <c r="M30" s="20">
        <f t="shared" si="8"/>
        <v>-750000</v>
      </c>
      <c r="N30" s="20">
        <f t="shared" si="8"/>
        <v>0</v>
      </c>
      <c r="O30" s="20">
        <f t="shared" si="8"/>
        <v>-15106831.160182964</v>
      </c>
      <c r="P30" s="20">
        <f t="shared" si="8"/>
        <v>0</v>
      </c>
      <c r="Q30" s="20">
        <f t="shared" si="8"/>
        <v>0</v>
      </c>
    </row>
    <row r="31" spans="1:20" ht="14.7" customHeight="1" thickTop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</row>
    <row r="32" spans="1:20">
      <c r="A32" s="18" t="s">
        <v>33</v>
      </c>
      <c r="B32" s="427">
        <v>0</v>
      </c>
      <c r="C32" s="427">
        <v>0</v>
      </c>
      <c r="D32" s="427">
        <v>0</v>
      </c>
      <c r="E32" s="427">
        <v>0</v>
      </c>
      <c r="F32" s="1458">
        <v>250000</v>
      </c>
      <c r="G32" s="1458">
        <v>250000</v>
      </c>
      <c r="H32" s="1458">
        <v>250000</v>
      </c>
      <c r="I32" s="1458">
        <v>250000</v>
      </c>
      <c r="J32" s="1458">
        <v>250000</v>
      </c>
      <c r="K32" s="1458">
        <v>250000</v>
      </c>
      <c r="L32" s="1458">
        <v>250000</v>
      </c>
      <c r="M32" s="1458">
        <v>250000</v>
      </c>
      <c r="N32" s="1458">
        <v>1000000</v>
      </c>
      <c r="O32" s="1458">
        <v>1000000</v>
      </c>
      <c r="P32" s="1458">
        <v>1000000</v>
      </c>
      <c r="Q32" s="1458">
        <v>1000000</v>
      </c>
      <c r="R32" s="1"/>
      <c r="S32" s="825"/>
    </row>
    <row r="33" spans="1:29">
      <c r="A33" s="18" t="s">
        <v>34</v>
      </c>
      <c r="B33" s="427"/>
      <c r="C33" s="427"/>
      <c r="D33" s="427"/>
      <c r="E33" s="427"/>
      <c r="F33" s="1458"/>
      <c r="G33" s="1458"/>
      <c r="H33" s="1458"/>
      <c r="I33" s="1458"/>
      <c r="J33" s="1458"/>
      <c r="K33" s="1458"/>
      <c r="L33" s="1458"/>
      <c r="M33" s="1458"/>
      <c r="N33" s="1458"/>
      <c r="O33" s="1458"/>
      <c r="P33" s="1458"/>
      <c r="Q33" s="1458"/>
      <c r="R33" s="1"/>
      <c r="S33" s="825"/>
    </row>
    <row r="34" spans="1:29">
      <c r="A34" s="18" t="s">
        <v>35</v>
      </c>
      <c r="B34" s="1"/>
      <c r="C34" s="1"/>
      <c r="D34" s="1"/>
      <c r="E34" s="1"/>
      <c r="F34" s="6">
        <f t="shared" ref="F34:Q34" si="9">E34+F32+F33</f>
        <v>250000</v>
      </c>
      <c r="G34" s="8">
        <f t="shared" si="9"/>
        <v>500000</v>
      </c>
      <c r="H34" s="8">
        <f t="shared" si="9"/>
        <v>750000</v>
      </c>
      <c r="I34" s="8">
        <f t="shared" si="9"/>
        <v>1000000</v>
      </c>
      <c r="J34" s="8">
        <f t="shared" si="9"/>
        <v>1250000</v>
      </c>
      <c r="K34" s="8">
        <f t="shared" si="9"/>
        <v>1500000</v>
      </c>
      <c r="L34" s="8">
        <f t="shared" si="9"/>
        <v>1750000</v>
      </c>
      <c r="M34" s="8">
        <f t="shared" si="9"/>
        <v>2000000</v>
      </c>
      <c r="N34" s="8">
        <f t="shared" si="9"/>
        <v>3000000</v>
      </c>
      <c r="O34" s="8">
        <f t="shared" si="9"/>
        <v>4000000</v>
      </c>
      <c r="P34" s="8">
        <f t="shared" si="9"/>
        <v>5000000</v>
      </c>
      <c r="Q34" s="8">
        <f t="shared" si="9"/>
        <v>6000000</v>
      </c>
      <c r="R34" s="1473"/>
      <c r="S34" s="1473"/>
      <c r="T34" s="1473"/>
      <c r="U34" s="1473"/>
      <c r="V34" s="1473"/>
      <c r="W34" s="1473"/>
    </row>
    <row r="35" spans="1:29"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</row>
    <row r="36" spans="1:29">
      <c r="A36" s="10" t="s">
        <v>36</v>
      </c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17"/>
      <c r="M36" s="17"/>
      <c r="N36" s="17"/>
      <c r="O36" s="17"/>
      <c r="P36" s="17"/>
      <c r="Q36" s="17"/>
      <c r="R36" s="17"/>
      <c r="S36" s="825"/>
      <c r="T36" s="825"/>
      <c r="U36" s="4"/>
      <c r="V36" s="150"/>
    </row>
    <row r="37" spans="1:29" ht="14.7" customHeight="1" thickBot="1">
      <c r="A37" s="5" t="s">
        <v>37</v>
      </c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17"/>
      <c r="M37" s="17"/>
      <c r="N37" s="17"/>
      <c r="O37" s="674">
        <f>+O4/O44</f>
        <v>7.2500029523239556E-2</v>
      </c>
      <c r="P37" s="674">
        <f>+P4/P44</f>
        <v>7.2416449512576073E-2</v>
      </c>
      <c r="Q37" s="674">
        <f>+Q4/Q44</f>
        <v>7.2266945914542968E-2</v>
      </c>
      <c r="R37" s="17" t="s">
        <v>38</v>
      </c>
      <c r="S37" s="825"/>
      <c r="T37" s="825"/>
      <c r="U37" s="4"/>
      <c r="V37" s="150"/>
    </row>
    <row r="38" spans="1:29">
      <c r="A38" t="s">
        <v>39</v>
      </c>
      <c r="B38" s="463"/>
      <c r="C38" s="463"/>
      <c r="D38" s="463">
        <v>7.0000000000000007E-2</v>
      </c>
      <c r="E38" s="463">
        <v>7.0000000000000007E-2</v>
      </c>
      <c r="F38" s="464">
        <v>7.0000000000000007E-2</v>
      </c>
      <c r="G38" s="463">
        <v>7.0000000000000007E-2</v>
      </c>
      <c r="H38" s="463">
        <v>7.0000000000000007E-2</v>
      </c>
      <c r="I38" s="1583">
        <v>0.08</v>
      </c>
      <c r="J38" s="463">
        <v>0.08</v>
      </c>
      <c r="K38" s="463">
        <v>0.08</v>
      </c>
      <c r="L38" s="463">
        <v>0.08</v>
      </c>
      <c r="M38" s="463">
        <v>0.08</v>
      </c>
      <c r="N38" s="466">
        <v>7.0000000000000007E-2</v>
      </c>
      <c r="O38" s="466">
        <v>7.0000000000000007E-2</v>
      </c>
      <c r="P38" s="465">
        <v>7.0000000000000007E-2</v>
      </c>
      <c r="Q38" s="465">
        <v>7.0000000000000007E-2</v>
      </c>
      <c r="R38" s="167"/>
      <c r="S38" s="825"/>
      <c r="T38" s="825"/>
      <c r="U38" s="9"/>
      <c r="V38" s="9"/>
    </row>
    <row r="39" spans="1:29">
      <c r="A39" s="767" t="s">
        <v>40</v>
      </c>
      <c r="B39" s="427">
        <v>0</v>
      </c>
      <c r="C39" s="427">
        <v>0</v>
      </c>
      <c r="D39" s="427">
        <v>0</v>
      </c>
      <c r="E39" s="427">
        <v>240000</v>
      </c>
      <c r="F39" s="428">
        <f>240000</f>
        <v>240000</v>
      </c>
      <c r="G39" s="427">
        <f>240000</f>
        <v>240000</v>
      </c>
      <c r="H39" s="427">
        <f>240000</f>
        <v>240000</v>
      </c>
      <c r="I39" s="429">
        <f>240000</f>
        <v>240000</v>
      </c>
      <c r="J39" s="427">
        <v>240000</v>
      </c>
      <c r="K39" s="427">
        <v>247200</v>
      </c>
      <c r="L39" s="427">
        <v>254616</v>
      </c>
      <c r="M39" s="427">
        <v>262254.48</v>
      </c>
      <c r="N39" s="447">
        <v>270122.11440000002</v>
      </c>
      <c r="O39" s="447">
        <v>270122.11440000002</v>
      </c>
      <c r="P39" s="429">
        <v>270122.11440000002</v>
      </c>
      <c r="Q39" s="429">
        <v>270122.11440000002</v>
      </c>
      <c r="R39" s="1"/>
      <c r="S39" s="825"/>
      <c r="T39" s="825"/>
      <c r="U39" s="768"/>
      <c r="V39" s="1013"/>
    </row>
    <row r="40" spans="1:29">
      <c r="A40" s="767" t="s">
        <v>41</v>
      </c>
      <c r="B40" s="1">
        <v>0</v>
      </c>
      <c r="C40" s="1">
        <v>0</v>
      </c>
      <c r="D40" s="1">
        <v>0</v>
      </c>
      <c r="E40" s="1">
        <f>+E4-E39</f>
        <v>1155804</v>
      </c>
      <c r="F40" s="47">
        <f t="shared" ref="F40:M40" si="10">+F4*4-F39</f>
        <v>826129</v>
      </c>
      <c r="G40" s="1">
        <f t="shared" si="10"/>
        <v>826129</v>
      </c>
      <c r="H40" s="1">
        <f t="shared" si="10"/>
        <v>826129</v>
      </c>
      <c r="I40" s="50">
        <f t="shared" si="10"/>
        <v>826129</v>
      </c>
      <c r="J40" s="1">
        <f t="shared" si="10"/>
        <v>4261321</v>
      </c>
      <c r="K40" s="1">
        <f t="shared" si="10"/>
        <v>4254121</v>
      </c>
      <c r="L40" s="1">
        <f t="shared" si="10"/>
        <v>4246705</v>
      </c>
      <c r="M40" s="1">
        <f t="shared" si="10"/>
        <v>4239066.5199999996</v>
      </c>
      <c r="N40" s="319">
        <f>+N4-N39</f>
        <v>5797836.8855999997</v>
      </c>
      <c r="O40" s="319">
        <f>+O4-O39</f>
        <v>7563329.8855999997</v>
      </c>
      <c r="P40" s="50">
        <f>+P4-P39</f>
        <v>7824929.8855999997</v>
      </c>
      <c r="Q40" s="50">
        <f>+Q4-Q39</f>
        <v>8340978.8855999997</v>
      </c>
      <c r="R40" s="1"/>
      <c r="S40" s="825"/>
      <c r="T40" s="825"/>
      <c r="U40" s="768"/>
      <c r="V40" s="768"/>
    </row>
    <row r="41" spans="1:29">
      <c r="A41" s="1019" t="s">
        <v>42</v>
      </c>
      <c r="B41" s="137"/>
      <c r="C41" s="137"/>
      <c r="D41" s="137"/>
      <c r="E41" s="137">
        <f>+E40/E38</f>
        <v>16511485.714285713</v>
      </c>
      <c r="F41" s="138">
        <f>+$J$40/F38</f>
        <v>60876014.285714284</v>
      </c>
      <c r="G41" s="137">
        <f>+$J$40/G38</f>
        <v>60876014.285714284</v>
      </c>
      <c r="H41" s="137">
        <f>+$J$40/H38</f>
        <v>60876014.285714284</v>
      </c>
      <c r="I41" s="139">
        <f>+$J$40/I38</f>
        <v>53266512.5</v>
      </c>
      <c r="J41" s="137">
        <f t="shared" ref="J41:Q41" si="11">+J40/J38</f>
        <v>53266512.5</v>
      </c>
      <c r="K41" s="137">
        <f t="shared" si="11"/>
        <v>53176512.5</v>
      </c>
      <c r="L41" s="137">
        <f t="shared" si="11"/>
        <v>53083812.5</v>
      </c>
      <c r="M41" s="137">
        <f t="shared" si="11"/>
        <v>52988331.499999993</v>
      </c>
      <c r="N41" s="389">
        <f t="shared" si="11"/>
        <v>82826241.222857133</v>
      </c>
      <c r="O41" s="389">
        <f t="shared" si="11"/>
        <v>108047569.7942857</v>
      </c>
      <c r="P41" s="139">
        <f t="shared" si="11"/>
        <v>111784712.65142855</v>
      </c>
      <c r="Q41" s="139">
        <f t="shared" si="11"/>
        <v>119156841.22285713</v>
      </c>
      <c r="R41" s="147"/>
      <c r="S41" s="825"/>
      <c r="T41" s="825"/>
      <c r="U41" s="768"/>
      <c r="V41" s="768"/>
    </row>
    <row r="42" spans="1:29" s="5" customFormat="1">
      <c r="A42" s="994"/>
      <c r="B42" s="147"/>
      <c r="C42" s="147"/>
      <c r="D42" s="147"/>
      <c r="E42" s="147"/>
      <c r="F42" s="332"/>
      <c r="G42" s="147"/>
      <c r="H42" s="147"/>
      <c r="I42" s="333"/>
      <c r="J42" s="147"/>
      <c r="K42" s="147"/>
      <c r="L42" s="147"/>
      <c r="M42" s="147"/>
      <c r="N42" s="390"/>
      <c r="O42" s="390"/>
      <c r="P42" s="333"/>
      <c r="Q42" s="333"/>
      <c r="R42" s="147"/>
      <c r="S42" s="825"/>
      <c r="T42" s="825"/>
      <c r="U42" s="768"/>
      <c r="V42" s="53"/>
    </row>
    <row r="43" spans="1:29" ht="14.7" customHeight="1" thickBot="1">
      <c r="A43" s="994" t="s">
        <v>43</v>
      </c>
      <c r="B43" s="131"/>
      <c r="C43" s="131"/>
      <c r="D43" s="131"/>
      <c r="E43" s="131"/>
      <c r="F43" s="132"/>
      <c r="G43" s="131"/>
      <c r="H43" s="131"/>
      <c r="I43" s="133"/>
      <c r="J43" s="131"/>
      <c r="K43" s="131"/>
      <c r="L43" s="131"/>
      <c r="M43" s="131"/>
      <c r="N43" s="321"/>
      <c r="O43" s="321">
        <f>+(O44-O39/O38)/108</f>
        <v>964710.02264550247</v>
      </c>
      <c r="P43" s="133"/>
      <c r="Q43" s="133"/>
      <c r="R43" s="131"/>
      <c r="S43" s="825"/>
      <c r="T43" s="825"/>
      <c r="U43" s="1"/>
    </row>
    <row r="44" spans="1:29" ht="14.7" customHeight="1" thickBot="1">
      <c r="A44" s="980" t="s">
        <v>44</v>
      </c>
      <c r="B44" s="445"/>
      <c r="C44" s="445"/>
      <c r="D44" s="427">
        <v>103000000</v>
      </c>
      <c r="E44" s="445">
        <v>102500000</v>
      </c>
      <c r="F44" s="428">
        <v>102500000</v>
      </c>
      <c r="G44" s="427">
        <v>102500000</v>
      </c>
      <c r="H44" s="427">
        <v>102500000</v>
      </c>
      <c r="I44" s="446">
        <v>100000000</v>
      </c>
      <c r="J44" s="427">
        <v>100000000</v>
      </c>
      <c r="K44" s="427">
        <f>+J44</f>
        <v>100000000</v>
      </c>
      <c r="L44" s="427">
        <v>100000000</v>
      </c>
      <c r="M44" s="427">
        <v>100000000</v>
      </c>
      <c r="N44" s="676">
        <f>+M44</f>
        <v>100000000</v>
      </c>
      <c r="O44" s="647">
        <f>+O41</f>
        <v>108047569.7942857</v>
      </c>
      <c r="P44" s="675">
        <f>+P41</f>
        <v>111784712.65142855</v>
      </c>
      <c r="Q44" s="675">
        <f>+Q41</f>
        <v>119156841.22285713</v>
      </c>
      <c r="R44" s="131"/>
      <c r="S44" s="912" t="s">
        <v>45</v>
      </c>
      <c r="T44" s="997">
        <v>0.03</v>
      </c>
      <c r="U44" s="4"/>
      <c r="V44" s="2"/>
      <c r="W44" s="2"/>
      <c r="X44" s="9"/>
      <c r="Y44" s="9"/>
      <c r="Z44" s="9"/>
      <c r="AA44" s="9"/>
      <c r="AB44" s="9"/>
      <c r="AC44" s="9"/>
    </row>
    <row r="45" spans="1:29" ht="14.7" customHeight="1" thickBot="1">
      <c r="A45" s="980" t="s">
        <v>46</v>
      </c>
      <c r="B45" s="427"/>
      <c r="C45" s="427"/>
      <c r="D45" s="427">
        <v>5430000</v>
      </c>
      <c r="E45" s="427"/>
      <c r="F45" s="428">
        <v>5430000</v>
      </c>
      <c r="G45" s="427">
        <v>5430000</v>
      </c>
      <c r="H45" s="427">
        <v>5430000</v>
      </c>
      <c r="I45" s="429"/>
      <c r="J45" s="427">
        <f>+I45*1.03</f>
        <v>0</v>
      </c>
      <c r="K45" s="427">
        <f>+J45</f>
        <v>0</v>
      </c>
      <c r="L45" s="427">
        <f>+K45</f>
        <v>0</v>
      </c>
      <c r="M45" s="427">
        <f>+L45</f>
        <v>0</v>
      </c>
      <c r="N45" s="447">
        <f>+M45*1.03</f>
        <v>0</v>
      </c>
      <c r="O45" s="447">
        <v>0</v>
      </c>
      <c r="P45" s="429">
        <v>0</v>
      </c>
      <c r="Q45" s="429">
        <v>0</v>
      </c>
      <c r="R45" s="131"/>
      <c r="S45" s="18" t="s">
        <v>47</v>
      </c>
      <c r="T45" s="997">
        <v>0.03</v>
      </c>
      <c r="U45" s="768"/>
      <c r="V45" s="931"/>
    </row>
    <row r="46" spans="1:29">
      <c r="A46" s="980" t="s">
        <v>48</v>
      </c>
      <c r="B46" s="427"/>
      <c r="C46" s="427"/>
      <c r="D46" s="427">
        <v>0</v>
      </c>
      <c r="E46" s="427">
        <f>52*3*50*100*0.2/E38</f>
        <v>2228571.4285714282</v>
      </c>
      <c r="F46" s="428">
        <f>52*3*50*100*0.2/F38</f>
        <v>2228571.4285714282</v>
      </c>
      <c r="G46" s="427">
        <f>52*3*50*100*0.2/G38</f>
        <v>2228571.4285714282</v>
      </c>
      <c r="H46" s="427">
        <f>52*3*50*100*0.2/H38</f>
        <v>2228571.4285714282</v>
      </c>
      <c r="I46" s="429"/>
      <c r="J46" s="427">
        <f>+I46*1.03</f>
        <v>0</v>
      </c>
      <c r="K46" s="427">
        <f>+J46</f>
        <v>0</v>
      </c>
      <c r="L46" s="427">
        <f>+K46</f>
        <v>0</v>
      </c>
      <c r="M46" s="427">
        <f>+L46</f>
        <v>0</v>
      </c>
      <c r="N46" s="447">
        <f>+M46*1.03</f>
        <v>0</v>
      </c>
      <c r="O46" s="447">
        <f>+N46*1.03</f>
        <v>0</v>
      </c>
      <c r="P46" s="429">
        <f>+O46*1.03</f>
        <v>0</v>
      </c>
      <c r="Q46" s="429">
        <f>+P46*1.03</f>
        <v>0</v>
      </c>
      <c r="R46" s="131"/>
      <c r="S46" s="825"/>
      <c r="T46" s="825"/>
      <c r="U46" s="768"/>
      <c r="V46" s="1013"/>
    </row>
    <row r="47" spans="1:29">
      <c r="A47" s="980" t="s">
        <v>49</v>
      </c>
      <c r="B47" s="427"/>
      <c r="C47" s="427"/>
      <c r="D47" s="427">
        <v>4500000</v>
      </c>
      <c r="E47" s="427"/>
      <c r="F47" s="428"/>
      <c r="G47" s="427"/>
      <c r="H47" s="427"/>
      <c r="I47" s="429"/>
      <c r="J47" s="427"/>
      <c r="K47" s="427"/>
      <c r="L47" s="427"/>
      <c r="M47" s="427"/>
      <c r="N47" s="447"/>
      <c r="O47" s="447"/>
      <c r="P47" s="429"/>
      <c r="Q47" s="429"/>
      <c r="R47" s="131"/>
      <c r="S47" s="1020"/>
      <c r="T47" s="825"/>
      <c r="U47" s="126"/>
      <c r="V47" s="37"/>
      <c r="W47" s="37"/>
      <c r="X47" s="38"/>
      <c r="Y47" s="38"/>
      <c r="Z47" s="38"/>
      <c r="AA47" s="38"/>
      <c r="AB47" s="38"/>
      <c r="AC47" s="38"/>
    </row>
    <row r="48" spans="1:29">
      <c r="A48" s="980" t="s">
        <v>50</v>
      </c>
      <c r="B48" s="427"/>
      <c r="C48" s="427"/>
      <c r="D48" s="427">
        <v>616856</v>
      </c>
      <c r="E48" s="427">
        <v>398848</v>
      </c>
      <c r="F48" s="428">
        <v>230000</v>
      </c>
      <c r="G48" s="427">
        <v>230000</v>
      </c>
      <c r="H48" s="427">
        <v>230000</v>
      </c>
      <c r="I48" s="429">
        <v>230000</v>
      </c>
      <c r="J48" s="427">
        <v>230000</v>
      </c>
      <c r="K48" s="427">
        <v>230000</v>
      </c>
      <c r="L48" s="427">
        <v>230000</v>
      </c>
      <c r="M48" s="427">
        <v>230000</v>
      </c>
      <c r="N48" s="447">
        <v>230000</v>
      </c>
      <c r="O48" s="447"/>
      <c r="P48" s="429"/>
      <c r="Q48" s="429"/>
      <c r="R48" s="131"/>
      <c r="T48" s="825"/>
      <c r="U48" s="4"/>
      <c r="V48" s="2"/>
      <c r="W48" s="2"/>
      <c r="X48" s="9"/>
      <c r="Y48" s="9"/>
      <c r="Z48" s="9"/>
      <c r="AA48" s="9"/>
      <c r="AB48" s="9"/>
      <c r="AC48" s="9"/>
    </row>
    <row r="49" spans="1:31">
      <c r="A49" s="1019" t="s">
        <v>51</v>
      </c>
      <c r="B49" s="137">
        <f t="shared" ref="B49:Q49" si="12">SUM(B44:B48)</f>
        <v>0</v>
      </c>
      <c r="C49" s="137">
        <f t="shared" si="12"/>
        <v>0</v>
      </c>
      <c r="D49" s="137">
        <f t="shared" si="12"/>
        <v>113546856</v>
      </c>
      <c r="E49" s="137">
        <f t="shared" si="12"/>
        <v>105127419.42857143</v>
      </c>
      <c r="F49" s="138">
        <f t="shared" si="12"/>
        <v>110388571.42857143</v>
      </c>
      <c r="G49" s="137">
        <f t="shared" si="12"/>
        <v>110388571.42857143</v>
      </c>
      <c r="H49" s="137">
        <f t="shared" si="12"/>
        <v>110388571.42857143</v>
      </c>
      <c r="I49" s="139">
        <f t="shared" si="12"/>
        <v>100230000</v>
      </c>
      <c r="J49" s="137">
        <f t="shared" si="12"/>
        <v>100230000</v>
      </c>
      <c r="K49" s="137">
        <f t="shared" si="12"/>
        <v>100230000</v>
      </c>
      <c r="L49" s="137">
        <f t="shared" si="12"/>
        <v>100230000</v>
      </c>
      <c r="M49" s="137">
        <f t="shared" si="12"/>
        <v>100230000</v>
      </c>
      <c r="N49" s="389">
        <f t="shared" si="12"/>
        <v>100230000</v>
      </c>
      <c r="O49" s="389">
        <f t="shared" si="12"/>
        <v>108047569.7942857</v>
      </c>
      <c r="P49" s="139">
        <f t="shared" si="12"/>
        <v>111784712.65142855</v>
      </c>
      <c r="Q49" s="139">
        <f t="shared" si="12"/>
        <v>119156841.22285713</v>
      </c>
      <c r="R49" s="131"/>
      <c r="T49" s="977"/>
      <c r="U49" s="4"/>
      <c r="V49" s="2"/>
      <c r="W49" s="2"/>
      <c r="X49" s="9"/>
      <c r="Y49" s="9"/>
      <c r="Z49" s="9"/>
      <c r="AA49" s="9"/>
      <c r="AB49" s="9"/>
      <c r="AC49" s="9"/>
    </row>
    <row r="50" spans="1:31">
      <c r="A50" s="994"/>
      <c r="B50" s="147"/>
      <c r="C50" s="147"/>
      <c r="D50" s="147"/>
      <c r="E50" s="147"/>
      <c r="F50" s="332"/>
      <c r="G50" s="147"/>
      <c r="H50" s="147"/>
      <c r="I50" s="333"/>
      <c r="J50" s="147"/>
      <c r="K50" s="147"/>
      <c r="L50" s="147"/>
      <c r="M50" s="147"/>
      <c r="N50" s="390"/>
      <c r="O50" s="390"/>
      <c r="P50" s="333"/>
      <c r="Q50" s="333"/>
      <c r="R50" s="131"/>
      <c r="T50" s="825"/>
      <c r="U50" s="4"/>
      <c r="V50" s="2"/>
      <c r="W50" s="2"/>
      <c r="X50" s="9"/>
      <c r="Y50" s="9"/>
      <c r="Z50" s="9"/>
      <c r="AA50" s="9"/>
      <c r="AB50" s="9"/>
      <c r="AC50" s="9"/>
    </row>
    <row r="51" spans="1:31">
      <c r="A51" s="1021" t="s">
        <v>52</v>
      </c>
      <c r="B51" s="652"/>
      <c r="C51" s="652">
        <v>993.02501727352137</v>
      </c>
      <c r="D51" s="652">
        <v>960.50088132113103</v>
      </c>
      <c r="E51" s="652">
        <v>834.86832258379559</v>
      </c>
      <c r="F51" s="653">
        <v>750</v>
      </c>
      <c r="G51" s="652">
        <v>725</v>
      </c>
      <c r="H51" s="652">
        <v>725</v>
      </c>
      <c r="I51" s="654">
        <v>925.92600000000004</v>
      </c>
      <c r="J51" s="652">
        <v>800</v>
      </c>
      <c r="K51" s="652">
        <v>900</v>
      </c>
      <c r="L51" s="652">
        <v>1100</v>
      </c>
      <c r="M51" s="652">
        <f>+L51*1.03</f>
        <v>1133</v>
      </c>
      <c r="N51" s="655">
        <f>+M51*1.03</f>
        <v>1166.99</v>
      </c>
      <c r="O51" s="655">
        <f>+N51*1.03</f>
        <v>1201.9997000000001</v>
      </c>
      <c r="P51" s="654">
        <f>+O51*1.03</f>
        <v>1238.0596910000002</v>
      </c>
      <c r="Q51" s="654">
        <f>+P51*1.03</f>
        <v>1275.2014817300003</v>
      </c>
      <c r="R51" s="131"/>
      <c r="T51" s="1050"/>
      <c r="U51" s="1"/>
    </row>
    <row r="52" spans="1:31" s="5" customFormat="1">
      <c r="A52" s="1021" t="s">
        <v>53</v>
      </c>
      <c r="B52" s="656"/>
      <c r="C52" s="656">
        <f t="shared" ref="C52:Q52" si="13">+C51*108*1000</f>
        <v>107246701.86554031</v>
      </c>
      <c r="D52" s="656">
        <f t="shared" si="13"/>
        <v>103734095.18268216</v>
      </c>
      <c r="E52" s="656">
        <f t="shared" si="13"/>
        <v>90165778.83904992</v>
      </c>
      <c r="F52" s="657">
        <f t="shared" si="13"/>
        <v>81000000</v>
      </c>
      <c r="G52" s="656">
        <f t="shared" si="13"/>
        <v>78300000</v>
      </c>
      <c r="H52" s="656">
        <f t="shared" si="13"/>
        <v>78300000</v>
      </c>
      <c r="I52" s="658">
        <f t="shared" si="13"/>
        <v>100000008</v>
      </c>
      <c r="J52" s="656">
        <f t="shared" si="13"/>
        <v>86400000</v>
      </c>
      <c r="K52" s="656">
        <f t="shared" si="13"/>
        <v>97200000</v>
      </c>
      <c r="L52" s="656">
        <f t="shared" si="13"/>
        <v>118800000</v>
      </c>
      <c r="M52" s="656">
        <f t="shared" si="13"/>
        <v>122364000</v>
      </c>
      <c r="N52" s="659">
        <f t="shared" si="13"/>
        <v>126034920</v>
      </c>
      <c r="O52" s="659">
        <f t="shared" si="13"/>
        <v>129815967.60000001</v>
      </c>
      <c r="P52" s="658">
        <f t="shared" si="13"/>
        <v>133710446.62800001</v>
      </c>
      <c r="Q52" s="658">
        <f t="shared" si="13"/>
        <v>137721760.02684003</v>
      </c>
      <c r="R52" s="131"/>
      <c r="V52" s="1"/>
    </row>
    <row r="53" spans="1:31">
      <c r="A53" s="980"/>
      <c r="B53" s="131"/>
      <c r="C53" s="131"/>
      <c r="D53" s="131"/>
      <c r="E53" s="131"/>
      <c r="F53" s="132"/>
      <c r="G53" s="213"/>
      <c r="H53" s="131"/>
      <c r="I53" s="133"/>
      <c r="J53" s="131"/>
      <c r="K53" s="131"/>
      <c r="L53" s="131"/>
      <c r="M53" s="131"/>
      <c r="N53" s="321"/>
      <c r="O53" s="321"/>
      <c r="P53" s="133"/>
      <c r="Q53" s="133"/>
      <c r="R53" s="131"/>
      <c r="T53" s="1022"/>
      <c r="U53" s="4"/>
      <c r="V53" s="2"/>
      <c r="W53" s="2"/>
      <c r="X53" s="9"/>
      <c r="Y53" s="9"/>
      <c r="Z53" s="9"/>
      <c r="AA53" s="9"/>
      <c r="AB53" s="9"/>
      <c r="AC53" s="9"/>
    </row>
    <row r="54" spans="1:31">
      <c r="A54" s="1019" t="s">
        <v>54</v>
      </c>
      <c r="B54" s="137"/>
      <c r="C54" s="137">
        <f>SUM(C44,C45:C47)</f>
        <v>0</v>
      </c>
      <c r="D54" s="137">
        <f t="shared" ref="D54:Q54" si="14">+D49</f>
        <v>113546856</v>
      </c>
      <c r="E54" s="137">
        <f t="shared" si="14"/>
        <v>105127419.42857143</v>
      </c>
      <c r="F54" s="138">
        <f t="shared" si="14"/>
        <v>110388571.42857143</v>
      </c>
      <c r="G54" s="137">
        <f t="shared" si="14"/>
        <v>110388571.42857143</v>
      </c>
      <c r="H54" s="137">
        <f t="shared" si="14"/>
        <v>110388571.42857143</v>
      </c>
      <c r="I54" s="139">
        <f t="shared" si="14"/>
        <v>100230000</v>
      </c>
      <c r="J54" s="137">
        <f t="shared" si="14"/>
        <v>100230000</v>
      </c>
      <c r="K54" s="137">
        <f t="shared" si="14"/>
        <v>100230000</v>
      </c>
      <c r="L54" s="137">
        <f t="shared" si="14"/>
        <v>100230000</v>
      </c>
      <c r="M54" s="137">
        <f t="shared" si="14"/>
        <v>100230000</v>
      </c>
      <c r="N54" s="389">
        <f t="shared" si="14"/>
        <v>100230000</v>
      </c>
      <c r="O54" s="389">
        <f t="shared" si="14"/>
        <v>108047569.7942857</v>
      </c>
      <c r="P54" s="139">
        <f t="shared" si="14"/>
        <v>111784712.65142855</v>
      </c>
      <c r="Q54" s="139">
        <f t="shared" si="14"/>
        <v>119156841.22285713</v>
      </c>
      <c r="R54" s="131"/>
      <c r="T54" s="825"/>
      <c r="U54" s="4"/>
      <c r="V54" s="2"/>
      <c r="W54" s="2"/>
      <c r="Y54" s="5"/>
    </row>
    <row r="55" spans="1:31" s="5" customFormat="1">
      <c r="B55" s="1"/>
      <c r="C55" s="1"/>
      <c r="D55" s="1"/>
      <c r="E55" s="1"/>
      <c r="F55" s="47"/>
      <c r="G55" s="1"/>
      <c r="H55" s="1"/>
      <c r="I55" s="50"/>
      <c r="J55" s="1"/>
      <c r="K55" s="1"/>
      <c r="L55" s="1"/>
      <c r="M55" s="1"/>
      <c r="N55" s="319"/>
      <c r="O55" s="319">
        <f>+O57-N57</f>
        <v>-13230920.366285712</v>
      </c>
      <c r="P55" s="50">
        <f>+P25</f>
        <v>0</v>
      </c>
      <c r="Q55" s="50"/>
      <c r="R55" s="131"/>
      <c r="S55" s="825"/>
      <c r="T55" s="1022"/>
    </row>
    <row r="56" spans="1:31">
      <c r="A56" s="1023" t="s">
        <v>55</v>
      </c>
      <c r="B56" s="1"/>
      <c r="C56" s="1"/>
      <c r="D56" s="1"/>
      <c r="E56" s="1"/>
      <c r="F56" s="47"/>
      <c r="G56" s="1"/>
      <c r="H56" s="1"/>
      <c r="I56" s="50"/>
      <c r="J56" s="1"/>
      <c r="K56" s="1">
        <f>+K58/0.7</f>
        <v>0</v>
      </c>
      <c r="L56" s="1"/>
      <c r="M56" s="1"/>
      <c r="N56" s="678">
        <f>-N57/N49</f>
        <v>0.56869200838072431</v>
      </c>
      <c r="O56" s="393">
        <f>-O57/O49</f>
        <v>0.65</v>
      </c>
      <c r="P56" s="679">
        <f>-P57/P49</f>
        <v>0.62826945384994193</v>
      </c>
      <c r="Q56" s="679">
        <f>-Q57/Q49</f>
        <v>0.58939897739428948</v>
      </c>
      <c r="R56" s="1" t="s">
        <v>56</v>
      </c>
      <c r="S56" s="825"/>
      <c r="T56" s="825"/>
      <c r="Y56" s="9"/>
    </row>
    <row r="57" spans="1:31">
      <c r="A57" s="978" t="s">
        <v>57</v>
      </c>
      <c r="B57" s="985"/>
      <c r="C57" s="985"/>
      <c r="D57" s="985">
        <v>-65000000</v>
      </c>
      <c r="E57" s="985">
        <v>-53500000</v>
      </c>
      <c r="F57" s="1000">
        <v>-53500000</v>
      </c>
      <c r="G57" s="985">
        <v>-53500000</v>
      </c>
      <c r="H57" s="985">
        <v>-56398369</v>
      </c>
      <c r="I57" s="986">
        <v>-56398369</v>
      </c>
      <c r="J57" s="985">
        <v>-57000000</v>
      </c>
      <c r="K57" s="985">
        <v>-57000000</v>
      </c>
      <c r="L57" s="985">
        <v>-57000000</v>
      </c>
      <c r="M57" s="985">
        <v>-57000000</v>
      </c>
      <c r="N57" s="987">
        <v>-57000000</v>
      </c>
      <c r="O57" s="987">
        <f>-O49*R57</f>
        <v>-70230920.366285712</v>
      </c>
      <c r="P57" s="986">
        <f>+O57</f>
        <v>-70230920.366285712</v>
      </c>
      <c r="Q57" s="986">
        <f>+O57</f>
        <v>-70230920.366285712</v>
      </c>
      <c r="R57" s="1897">
        <v>0.65</v>
      </c>
      <c r="S57" s="1051"/>
      <c r="T57" s="1024"/>
      <c r="V57" s="1024"/>
      <c r="W57" s="1"/>
      <c r="X57" s="1"/>
      <c r="AC57" s="1"/>
    </row>
    <row r="58" spans="1:31">
      <c r="A58" s="978" t="s">
        <v>58</v>
      </c>
      <c r="B58" s="985"/>
      <c r="C58" s="985"/>
      <c r="D58" s="985"/>
      <c r="E58" s="985">
        <v>0</v>
      </c>
      <c r="F58" s="1000">
        <v>0</v>
      </c>
      <c r="G58" s="985">
        <v>0</v>
      </c>
      <c r="H58" s="985">
        <v>0</v>
      </c>
      <c r="I58" s="986">
        <v>0</v>
      </c>
      <c r="J58" s="985"/>
      <c r="K58" s="985"/>
      <c r="L58" s="985"/>
      <c r="M58" s="985"/>
      <c r="N58" s="987"/>
      <c r="O58" s="987"/>
      <c r="P58" s="986"/>
      <c r="Q58" s="986"/>
      <c r="R58" s="897"/>
      <c r="S58" s="983"/>
      <c r="T58" s="870"/>
      <c r="V58" s="1"/>
      <c r="W58" s="1"/>
      <c r="X58" s="1"/>
      <c r="AC58" s="1"/>
    </row>
    <row r="59" spans="1:31">
      <c r="A59" s="978" t="s">
        <v>59</v>
      </c>
      <c r="B59" s="897"/>
      <c r="C59" s="897"/>
      <c r="D59" s="897">
        <v>0</v>
      </c>
      <c r="E59" s="897">
        <f t="shared" ref="E59:Q59" si="15">-E101</f>
        <v>-16609895</v>
      </c>
      <c r="F59" s="1011">
        <f t="shared" si="15"/>
        <v>-16609895</v>
      </c>
      <c r="G59" s="897">
        <f t="shared" si="15"/>
        <v>-16609895</v>
      </c>
      <c r="H59" s="897">
        <f t="shared" si="15"/>
        <v>-16609895</v>
      </c>
      <c r="I59" s="979">
        <f t="shared" si="15"/>
        <v>-16609895</v>
      </c>
      <c r="J59" s="897">
        <f t="shared" si="15"/>
        <v>-16609895</v>
      </c>
      <c r="K59" s="897">
        <f t="shared" si="15"/>
        <v>-16609895</v>
      </c>
      <c r="L59" s="897">
        <f t="shared" si="15"/>
        <v>-16609895</v>
      </c>
      <c r="M59" s="897">
        <f t="shared" si="15"/>
        <v>-16609895</v>
      </c>
      <c r="N59" s="1012">
        <f t="shared" si="15"/>
        <v>-16609895</v>
      </c>
      <c r="O59" s="1570">
        <f t="shared" si="15"/>
        <v>-16609895</v>
      </c>
      <c r="P59" s="1570">
        <f t="shared" si="15"/>
        <v>-16609895</v>
      </c>
      <c r="Q59" s="1571">
        <f t="shared" si="15"/>
        <v>-16609895</v>
      </c>
      <c r="R59" s="897"/>
      <c r="S59" s="983"/>
      <c r="T59" s="870"/>
      <c r="V59" s="1"/>
      <c r="W59" s="1"/>
      <c r="X59" s="1"/>
      <c r="Y59" s="1"/>
      <c r="Z59" s="1"/>
      <c r="AA59" s="167"/>
      <c r="AB59" s="1"/>
      <c r="AC59" s="1"/>
      <c r="AD59" s="2"/>
      <c r="AE59" s="167"/>
    </row>
    <row r="60" spans="1:31">
      <c r="A60" s="978" t="s">
        <v>60</v>
      </c>
      <c r="B60" s="897"/>
      <c r="C60" s="897"/>
      <c r="D60" s="897"/>
      <c r="E60" s="897">
        <f t="shared" ref="E60:Q60" si="16">-E105</f>
        <v>-175237.23466303572</v>
      </c>
      <c r="F60" s="1011">
        <f t="shared" si="16"/>
        <v>-1030760.7377965674</v>
      </c>
      <c r="G60" s="897">
        <f t="shared" si="16"/>
        <v>-1940133.0543283708</v>
      </c>
      <c r="H60" s="897">
        <f t="shared" si="16"/>
        <v>-2907160.8664243147</v>
      </c>
      <c r="I60" s="979">
        <f t="shared" si="16"/>
        <v>-3924600.6124875918</v>
      </c>
      <c r="J60" s="897">
        <f t="shared" si="16"/>
        <v>-4971225.8863234632</v>
      </c>
      <c r="K60" s="897">
        <f t="shared" si="16"/>
        <v>-6083728.4024119116</v>
      </c>
      <c r="L60" s="897">
        <f t="shared" si="16"/>
        <v>-7266765.1570244245</v>
      </c>
      <c r="M60" s="897">
        <f t="shared" si="16"/>
        <v>-8511474.5646966249</v>
      </c>
      <c r="N60" s="1012">
        <f t="shared" si="16"/>
        <v>-14122937.240704596</v>
      </c>
      <c r="O60" s="1570">
        <f t="shared" si="16"/>
        <v>-11822467.65170062</v>
      </c>
      <c r="P60" s="1570">
        <f t="shared" si="16"/>
        <v>-18077587.435074754</v>
      </c>
      <c r="Q60" s="1571">
        <f t="shared" si="16"/>
        <v>-25708833.5707912</v>
      </c>
      <c r="R60" s="897"/>
      <c r="S60" s="825"/>
      <c r="T60" s="870"/>
      <c r="V60" s="1"/>
      <c r="W60" s="1"/>
      <c r="X60" s="1"/>
      <c r="Y60" s="1"/>
      <c r="Z60" s="1"/>
      <c r="AA60" s="167"/>
      <c r="AB60" s="1"/>
      <c r="AC60" s="1"/>
      <c r="AD60" s="2"/>
      <c r="AE60" s="167"/>
    </row>
    <row r="61" spans="1:31">
      <c r="A61" s="978" t="s">
        <v>61</v>
      </c>
      <c r="B61" s="897"/>
      <c r="C61" s="897"/>
      <c r="D61" s="897">
        <f>-F113-F119</f>
        <v>-2519814.9936562111</v>
      </c>
      <c r="E61" s="897">
        <f t="shared" ref="E61:Q61" si="17">-I113-I119-I128</f>
        <v>-3477380.5277468353</v>
      </c>
      <c r="F61" s="897">
        <f t="shared" si="17"/>
        <v>-3732757.9684618833</v>
      </c>
      <c r="G61" s="897">
        <f t="shared" si="17"/>
        <v>-3999499.7947749021</v>
      </c>
      <c r="H61" s="897">
        <f t="shared" si="17"/>
        <v>-4278178.106513653</v>
      </c>
      <c r="I61" s="897">
        <f t="shared" si="17"/>
        <v>-4566213.8016313929</v>
      </c>
      <c r="J61" s="897">
        <f t="shared" si="17"/>
        <v>-4857344.0840465482</v>
      </c>
      <c r="K61" s="897">
        <f t="shared" si="17"/>
        <v>-5161429.7660433883</v>
      </c>
      <c r="L61" s="897">
        <f t="shared" si="17"/>
        <v>-5479123.0414255653</v>
      </c>
      <c r="M61" s="897">
        <f t="shared" si="17"/>
        <v>-5807483.7338597886</v>
      </c>
      <c r="N61" s="1012">
        <f t="shared" si="17"/>
        <v>-7222531.4566001603</v>
      </c>
      <c r="O61" s="1012">
        <f t="shared" si="17"/>
        <v>-8840402.1757587865</v>
      </c>
      <c r="P61" s="1012">
        <f t="shared" si="17"/>
        <v>-10680058.480365019</v>
      </c>
      <c r="Q61" s="897">
        <f t="shared" si="17"/>
        <v>-12777266.667616121</v>
      </c>
      <c r="R61" s="897"/>
      <c r="S61" s="825"/>
      <c r="T61" s="870"/>
      <c r="V61" s="1"/>
      <c r="W61" s="1"/>
      <c r="X61" s="1"/>
      <c r="Y61" s="1"/>
      <c r="Z61" s="1"/>
      <c r="AA61" s="167"/>
      <c r="AB61" s="1"/>
      <c r="AC61" s="1"/>
      <c r="AD61" s="2"/>
      <c r="AE61" s="167"/>
    </row>
    <row r="62" spans="1:31" s="620" customFormat="1" ht="12.9" customHeight="1">
      <c r="A62" s="620" t="s">
        <v>62</v>
      </c>
      <c r="B62" s="1052"/>
      <c r="C62" s="1052"/>
      <c r="D62" s="1052">
        <f>-F112-F118</f>
        <v>-4300000</v>
      </c>
      <c r="E62" s="1052">
        <f t="shared" ref="E62:Q62" si="18">-I112-I118-I123</f>
        <v>-4300000</v>
      </c>
      <c r="F62" s="1052">
        <f t="shared" si="18"/>
        <v>-4300000</v>
      </c>
      <c r="G62" s="1052">
        <f t="shared" si="18"/>
        <v>-4300000</v>
      </c>
      <c r="H62" s="1052">
        <f t="shared" si="18"/>
        <v>-4300000</v>
      </c>
      <c r="I62" s="1052">
        <f t="shared" si="18"/>
        <v>-4300000</v>
      </c>
      <c r="J62" s="1052">
        <f t="shared" si="18"/>
        <v>-4300000</v>
      </c>
      <c r="K62" s="1052">
        <f t="shared" si="18"/>
        <v>-4300000</v>
      </c>
      <c r="L62" s="1052">
        <f t="shared" si="18"/>
        <v>-4300000</v>
      </c>
      <c r="M62" s="1052">
        <f t="shared" si="18"/>
        <v>-4300000</v>
      </c>
      <c r="N62" s="1053">
        <f t="shared" si="18"/>
        <v>-4300000</v>
      </c>
      <c r="O62" s="1053">
        <f t="shared" si="18"/>
        <v>-4300000</v>
      </c>
      <c r="P62" s="1053">
        <f t="shared" si="18"/>
        <v>-4300000</v>
      </c>
      <c r="Q62" s="1052">
        <f t="shared" si="18"/>
        <v>-4300000</v>
      </c>
      <c r="R62" s="1052"/>
      <c r="S62" s="1054"/>
      <c r="T62" s="1055"/>
      <c r="V62" s="1052"/>
      <c r="W62" s="1052"/>
      <c r="X62" s="1052"/>
      <c r="Y62" s="1052"/>
      <c r="Z62" s="1052"/>
      <c r="AA62" s="1056"/>
      <c r="AB62" s="1052"/>
      <c r="AC62" s="1052"/>
      <c r="AD62" s="1057"/>
      <c r="AE62" s="1056"/>
    </row>
    <row r="63" spans="1:31">
      <c r="A63" s="978" t="s">
        <v>63</v>
      </c>
      <c r="B63" s="427"/>
      <c r="C63" s="427"/>
      <c r="D63" s="427"/>
      <c r="E63" s="427"/>
      <c r="F63" s="427"/>
      <c r="G63" s="427"/>
      <c r="H63" s="427"/>
      <c r="I63" s="427">
        <v>-853667.52</v>
      </c>
      <c r="J63" s="427">
        <f>I63</f>
        <v>-853667.52</v>
      </c>
      <c r="K63" s="427">
        <f>J63</f>
        <v>-853667.52</v>
      </c>
      <c r="L63" s="427">
        <f>K63</f>
        <v>-853667.52</v>
      </c>
      <c r="M63" s="427"/>
      <c r="N63" s="447"/>
      <c r="O63" s="447"/>
      <c r="P63" s="447"/>
      <c r="Q63" s="427"/>
      <c r="R63" s="1"/>
      <c r="S63" s="825"/>
      <c r="T63" s="825"/>
      <c r="V63" s="1"/>
      <c r="W63" s="1"/>
      <c r="X63" s="1"/>
      <c r="Y63" s="1"/>
      <c r="Z63" s="1"/>
      <c r="AA63" s="167"/>
      <c r="AB63" s="1"/>
      <c r="AC63" s="1"/>
      <c r="AD63" s="2"/>
      <c r="AE63" s="167"/>
    </row>
    <row r="64" spans="1:31">
      <c r="A64" t="s">
        <v>64</v>
      </c>
      <c r="B64" s="427"/>
      <c r="C64" s="427"/>
      <c r="D64" s="427">
        <v>-8279420</v>
      </c>
      <c r="E64" s="427"/>
      <c r="F64" s="428">
        <v>-215000</v>
      </c>
      <c r="G64" s="427">
        <f>+F64-74000</f>
        <v>-289000</v>
      </c>
      <c r="H64" s="427"/>
      <c r="I64" s="495">
        <v>-289495</v>
      </c>
      <c r="J64" s="427">
        <f>SUM(J24:J27)+I64</f>
        <v>-1289495</v>
      </c>
      <c r="K64" s="427">
        <f>SUM(K24:K27)+J64</f>
        <v>-1909495</v>
      </c>
      <c r="L64" s="427">
        <f>SUM(L24:L27)+K64</f>
        <v>-1909495</v>
      </c>
      <c r="M64" s="427">
        <f>SUM(M24:M27)+L64</f>
        <v>-2659495</v>
      </c>
      <c r="N64" s="447">
        <f>+M64*(1+$T$64)</f>
        <v>-3058419.2499999995</v>
      </c>
      <c r="O64" s="447">
        <f>+N64*(1+$T$64)</f>
        <v>-3517182.1374999993</v>
      </c>
      <c r="P64" s="429"/>
      <c r="Q64" s="429"/>
      <c r="R64" s="1"/>
      <c r="S64" s="825" t="s">
        <v>65</v>
      </c>
      <c r="T64" s="1894">
        <v>0.15</v>
      </c>
      <c r="V64" s="1"/>
      <c r="W64" s="1"/>
      <c r="X64" s="1"/>
      <c r="Y64" s="1"/>
      <c r="Z64" s="1"/>
      <c r="AA64" s="167"/>
      <c r="AB64" s="1"/>
      <c r="AC64" s="1"/>
      <c r="AD64" s="2"/>
      <c r="AE64" s="167"/>
    </row>
    <row r="65" spans="1:31">
      <c r="A65" s="67" t="s">
        <v>66</v>
      </c>
      <c r="B65" s="102"/>
      <c r="C65" s="102">
        <f t="shared" ref="C65:Q65" si="19">SUM(C57:C64)</f>
        <v>0</v>
      </c>
      <c r="D65" s="102">
        <f t="shared" si="19"/>
        <v>-80099234.993656218</v>
      </c>
      <c r="E65" s="102">
        <f t="shared" si="19"/>
        <v>-78062512.762409881</v>
      </c>
      <c r="F65" s="135">
        <f t="shared" si="19"/>
        <v>-79388413.706258461</v>
      </c>
      <c r="G65" s="102">
        <f t="shared" si="19"/>
        <v>-80638527.849103272</v>
      </c>
      <c r="H65" s="102">
        <f t="shared" si="19"/>
        <v>-84493602.972937971</v>
      </c>
      <c r="I65" s="136">
        <f t="shared" si="19"/>
        <v>-86942240.934118971</v>
      </c>
      <c r="J65" s="102">
        <f t="shared" si="19"/>
        <v>-89881627.490370005</v>
      </c>
      <c r="K65" s="102">
        <f t="shared" si="19"/>
        <v>-91918215.688455299</v>
      </c>
      <c r="L65" s="102">
        <f t="shared" si="19"/>
        <v>-93418945.718449995</v>
      </c>
      <c r="M65" s="102">
        <f t="shared" si="19"/>
        <v>-94888348.298556417</v>
      </c>
      <c r="N65" s="378">
        <f t="shared" si="19"/>
        <v>-102313782.94730476</v>
      </c>
      <c r="O65" s="378">
        <f t="shared" si="19"/>
        <v>-115320867.33124511</v>
      </c>
      <c r="P65" s="136">
        <f t="shared" si="19"/>
        <v>-119898461.28172548</v>
      </c>
      <c r="Q65" s="136">
        <f t="shared" si="19"/>
        <v>-129626915.60469303</v>
      </c>
      <c r="R65" s="151"/>
      <c r="S65" s="825"/>
      <c r="T65" s="825"/>
      <c r="V65" s="1"/>
      <c r="W65" s="1"/>
      <c r="X65" s="1"/>
      <c r="Y65" s="1"/>
      <c r="Z65" s="1"/>
      <c r="AA65" s="167"/>
      <c r="AB65" s="1"/>
      <c r="AC65" s="1"/>
      <c r="AD65" s="2"/>
      <c r="AE65" s="167"/>
    </row>
    <row r="66" spans="1:31">
      <c r="A66" s="18"/>
      <c r="B66" s="1"/>
      <c r="C66" s="1"/>
      <c r="D66" s="1"/>
      <c r="E66" s="1"/>
      <c r="F66" s="47"/>
      <c r="G66" s="1"/>
      <c r="H66" s="1"/>
      <c r="I66" s="50"/>
      <c r="J66" s="1"/>
      <c r="K66" s="1"/>
      <c r="L66" s="1"/>
      <c r="M66" s="1"/>
      <c r="N66" s="319"/>
      <c r="O66" s="319"/>
      <c r="P66" s="50"/>
      <c r="Q66" s="50"/>
      <c r="R66" s="1"/>
      <c r="S66" s="825"/>
      <c r="T66" s="825"/>
      <c r="V66" s="9"/>
    </row>
    <row r="67" spans="1:31" s="5" customFormat="1">
      <c r="A67" s="18" t="s">
        <v>67</v>
      </c>
      <c r="B67" s="1"/>
      <c r="C67" s="1"/>
      <c r="D67" s="1"/>
      <c r="E67" s="498">
        <f>32725382-32494907</f>
        <v>230475</v>
      </c>
      <c r="F67" s="47"/>
      <c r="G67" s="1"/>
      <c r="H67" s="1"/>
      <c r="I67" s="50"/>
      <c r="J67" s="1"/>
      <c r="K67" s="1"/>
      <c r="L67" s="1"/>
      <c r="M67" s="1"/>
      <c r="N67" s="319"/>
      <c r="O67" s="319"/>
      <c r="P67" s="50"/>
      <c r="Q67" s="50"/>
      <c r="R67" s="1"/>
      <c r="S67" s="825"/>
      <c r="T67" s="825"/>
      <c r="V67" s="9"/>
    </row>
    <row r="68" spans="1:31" s="5" customFormat="1">
      <c r="A68" s="201" t="s">
        <v>68</v>
      </c>
      <c r="B68" s="146"/>
      <c r="C68" s="146">
        <f>+C54+C65</f>
        <v>0</v>
      </c>
      <c r="D68" s="146">
        <f>+D54+D65</f>
        <v>33447621.006343782</v>
      </c>
      <c r="E68" s="146">
        <f>+E54+E65+E67</f>
        <v>27295381.666161552</v>
      </c>
      <c r="F68" s="206">
        <f t="shared" ref="F68:Q68" si="20">+F54+F65</f>
        <v>31000157.722312972</v>
      </c>
      <c r="G68" s="146">
        <f t="shared" si="20"/>
        <v>29750043.579468161</v>
      </c>
      <c r="H68" s="146">
        <f t="shared" si="20"/>
        <v>25894968.455633461</v>
      </c>
      <c r="I68" s="207">
        <f t="shared" si="20"/>
        <v>13287759.065881029</v>
      </c>
      <c r="J68" s="146">
        <f t="shared" si="20"/>
        <v>10348372.509629995</v>
      </c>
      <c r="K68" s="146">
        <f t="shared" si="20"/>
        <v>8311784.3115447015</v>
      </c>
      <c r="L68" s="146">
        <f t="shared" si="20"/>
        <v>6811054.2815500051</v>
      </c>
      <c r="M68" s="146">
        <f t="shared" si="20"/>
        <v>5341651.7014435828</v>
      </c>
      <c r="N68" s="386">
        <f t="shared" si="20"/>
        <v>-2083782.9473047554</v>
      </c>
      <c r="O68" s="386">
        <f t="shared" si="20"/>
        <v>-7273297.5369594097</v>
      </c>
      <c r="P68" s="207">
        <f t="shared" si="20"/>
        <v>-8113748.6302969307</v>
      </c>
      <c r="Q68" s="207">
        <f t="shared" si="20"/>
        <v>-10470074.381835893</v>
      </c>
      <c r="R68" s="1"/>
      <c r="S68" s="825"/>
      <c r="T68" s="825"/>
      <c r="V68" s="9"/>
    </row>
    <row r="69" spans="1:31">
      <c r="A69" s="23" t="s">
        <v>69</v>
      </c>
      <c r="B69" s="1">
        <f t="shared" ref="B69:Q69" si="21">MAX(-(B61+B62)+MIN(B68,0),0)</f>
        <v>0</v>
      </c>
      <c r="C69" s="1083">
        <f t="shared" si="21"/>
        <v>0</v>
      </c>
      <c r="D69" s="1">
        <f t="shared" si="21"/>
        <v>6819814.9936562106</v>
      </c>
      <c r="E69" s="1">
        <f t="shared" si="21"/>
        <v>7777380.5277468357</v>
      </c>
      <c r="F69" s="47">
        <f t="shared" si="21"/>
        <v>8032757.9684618833</v>
      </c>
      <c r="G69" s="1">
        <f t="shared" si="21"/>
        <v>8299499.7947749021</v>
      </c>
      <c r="H69" s="1">
        <f t="shared" si="21"/>
        <v>8578178.106513653</v>
      </c>
      <c r="I69" s="50">
        <f t="shared" si="21"/>
        <v>8866213.8016313929</v>
      </c>
      <c r="J69" s="1">
        <f t="shared" si="21"/>
        <v>9157344.0840465482</v>
      </c>
      <c r="K69" s="1">
        <f t="shared" si="21"/>
        <v>9461429.7660433874</v>
      </c>
      <c r="L69" s="1">
        <f t="shared" si="21"/>
        <v>9779123.0414255653</v>
      </c>
      <c r="M69" s="1">
        <f t="shared" si="21"/>
        <v>10107483.733859789</v>
      </c>
      <c r="N69" s="319">
        <f t="shared" si="21"/>
        <v>9438748.509295404</v>
      </c>
      <c r="O69" s="319">
        <f t="shared" si="21"/>
        <v>5867104.6387993768</v>
      </c>
      <c r="P69" s="50">
        <f t="shared" si="21"/>
        <v>6866309.8500680886</v>
      </c>
      <c r="Q69" s="50">
        <f t="shared" si="21"/>
        <v>6607192.2857802287</v>
      </c>
      <c r="R69" s="28"/>
      <c r="S69" s="825"/>
      <c r="T69" s="977"/>
      <c r="U69" s="5"/>
      <c r="V69" s="22"/>
      <c r="W69" s="5"/>
      <c r="X69" s="5"/>
      <c r="Y69" s="5"/>
      <c r="Z69" s="5"/>
      <c r="AA69" s="5"/>
    </row>
    <row r="70" spans="1:31">
      <c r="A70" s="1572" t="s">
        <v>70</v>
      </c>
      <c r="B70" s="399">
        <f ca="1">IF(MIN(B69:$Q69)=0,0,MIN(B69:$Q69)/((1+$T$70)^((B$1-TODAY())/365)))</f>
        <v>0</v>
      </c>
      <c r="C70" s="1575">
        <f ca="1">IF(MIN(C69:$Q69)=0,0,MIN(C69:$Q69)/((1+$T$70)^((C$1-TODAY())/365)))</f>
        <v>0</v>
      </c>
      <c r="D70" s="399">
        <f>+D69</f>
        <v>6819814.9936562106</v>
      </c>
      <c r="E70" s="399">
        <f>+E69</f>
        <v>7777380.5277468357</v>
      </c>
      <c r="F70" s="1576">
        <f>+F69</f>
        <v>8032757.9684618833</v>
      </c>
      <c r="G70" s="399">
        <f>+G69</f>
        <v>8299499.7947749021</v>
      </c>
      <c r="H70" s="399">
        <f>+H69</f>
        <v>8578178.106513653</v>
      </c>
      <c r="I70" s="1584">
        <f>IF(COUNTIF(I$69:$Q$69,"&lt;=0")&gt;0,0,MIN(I$69:$Q$69)/((1+$T$70)^(($Q$1-I$1)/365)))</f>
        <v>3046096.6111621968</v>
      </c>
      <c r="J70" s="131">
        <f>IF(COUNTIF(J$69:$Q$69,"&lt;=0")&gt;0,0,MIN(J$69:$Q$69)/((1+$T$70)^(($Q$1-J$1)/365)))</f>
        <v>3146117.9941913676</v>
      </c>
      <c r="K70" s="131">
        <f>IF(COUNTIF(K$69:$Q$69,"&lt;=0")&gt;0,0,MIN(K$69:$Q$69)/((1+$T$70)^(($Q$1-K$1)/365)))</f>
        <v>3250590.3638135721</v>
      </c>
      <c r="L70" s="131">
        <f>IF(COUNTIF(L$69:$Q$69,"&lt;=0")&gt;0,0,MIN(L$69:$Q$69)/((1+$T$70)^(($Q$1-L$1)/365)))</f>
        <v>3359737.7892177058</v>
      </c>
      <c r="M70" s="131">
        <f>IF(COUNTIF(M$69:$Q$69,"&lt;=0")&gt;0,0,MIN(M$69:$Q$69)/((1+$T$70)^(($Q$1-M$1)/365)))</f>
        <v>3472550.1367249042</v>
      </c>
      <c r="N70" s="321">
        <f>IF(COUNTIF(N$69:$Q$69,"&lt;=0")&gt;0,0,MIN(N$69:$Q$69)/((1+$T$70)^(($Q$1-N$1)/365)))</f>
        <v>3958707.1558663915</v>
      </c>
      <c r="O70" s="321">
        <f>IF(COUNTIF(O$69:$Q$69,"&lt;=0")&gt;0,0,MIN(O$69:$Q$69)/((1+$T$70)^(($Q$1-O$1)/365)))</f>
        <v>4514546.5056935791</v>
      </c>
      <c r="P70" s="133">
        <f>IF(COUNTIF(P$69:$Q$69,"&lt;=0")&gt;0,0,MIN(P$69:$Q$69)/((1+$T$70)^(($Q$1-P$1)/365)))</f>
        <v>5795782.7068247618</v>
      </c>
      <c r="Q70" s="133">
        <f>IF(COUNTIF(Q$69:$Q$69,"&lt;=0")&gt;0,0,MIN(Q$69:$Q$69)/((1+$T$70)^(($Q$1-Q$1)/365)))</f>
        <v>6607192.2857802287</v>
      </c>
      <c r="R70" s="28"/>
      <c r="S70" s="825" t="s">
        <v>71</v>
      </c>
      <c r="T70" s="1898">
        <v>0.14000000000000001</v>
      </c>
      <c r="U70" s="5"/>
      <c r="V70" s="22"/>
      <c r="W70" s="5"/>
      <c r="X70" s="5"/>
      <c r="Y70" s="5"/>
      <c r="Z70" s="5"/>
      <c r="AA70" s="5"/>
    </row>
    <row r="71" spans="1:31">
      <c r="A71" s="23" t="s">
        <v>72</v>
      </c>
      <c r="B71" s="1">
        <f t="shared" ref="B71:Q71" si="22">MAX(-(B59+B60)+MIN(MIN(B68,0)+(-(B61+B62)),0),0)</f>
        <v>0</v>
      </c>
      <c r="C71" s="1083">
        <f t="shared" si="22"/>
        <v>0</v>
      </c>
      <c r="D71" s="1">
        <f t="shared" si="22"/>
        <v>0</v>
      </c>
      <c r="E71" s="1">
        <f t="shared" si="22"/>
        <v>16785132.234663036</v>
      </c>
      <c r="F71" s="47">
        <f t="shared" si="22"/>
        <v>17640655.737796567</v>
      </c>
      <c r="G71" s="1">
        <f t="shared" si="22"/>
        <v>18550028.054328371</v>
      </c>
      <c r="H71" s="1">
        <f t="shared" si="22"/>
        <v>19517055.866424315</v>
      </c>
      <c r="I71" s="50">
        <f t="shared" si="22"/>
        <v>20534495.612487592</v>
      </c>
      <c r="J71" s="1">
        <f t="shared" si="22"/>
        <v>21581120.886323463</v>
      </c>
      <c r="K71" s="1">
        <f t="shared" si="22"/>
        <v>22693623.402411912</v>
      </c>
      <c r="L71" s="1">
        <f t="shared" si="22"/>
        <v>23876660.157024425</v>
      </c>
      <c r="M71" s="1">
        <f t="shared" si="22"/>
        <v>25121369.564696625</v>
      </c>
      <c r="N71" s="319">
        <f t="shared" si="22"/>
        <v>30732832.240704596</v>
      </c>
      <c r="O71" s="319">
        <f t="shared" si="22"/>
        <v>28432362.65170062</v>
      </c>
      <c r="P71" s="50">
        <f t="shared" si="22"/>
        <v>34687482.435074754</v>
      </c>
      <c r="Q71" s="50">
        <f t="shared" si="22"/>
        <v>42318728.5707912</v>
      </c>
      <c r="R71" s="28"/>
      <c r="S71" s="825"/>
      <c r="T71" s="977"/>
      <c r="U71" s="5"/>
      <c r="V71" s="22"/>
      <c r="W71" s="5"/>
      <c r="X71" s="5"/>
      <c r="Y71" s="5"/>
      <c r="Z71" s="5"/>
      <c r="AA71" s="5"/>
    </row>
    <row r="72" spans="1:31" s="5" customFormat="1">
      <c r="B72" s="1"/>
      <c r="C72" s="1"/>
      <c r="D72" s="1"/>
      <c r="E72" s="1"/>
      <c r="F72" s="47"/>
      <c r="G72" s="1"/>
      <c r="H72" s="1"/>
      <c r="I72" s="50"/>
      <c r="J72" s="1"/>
      <c r="K72" s="1"/>
      <c r="L72" s="1"/>
      <c r="M72" s="1"/>
      <c r="N72" s="319"/>
      <c r="O72" s="319"/>
      <c r="P72" s="50"/>
      <c r="Q72" s="50"/>
      <c r="R72" s="1"/>
      <c r="S72" s="825"/>
      <c r="T72" s="825"/>
      <c r="V72" s="9"/>
    </row>
    <row r="73" spans="1:31">
      <c r="A73" t="s">
        <v>73</v>
      </c>
      <c r="B73" s="448"/>
      <c r="C73" s="448">
        <v>0.56820000000000004</v>
      </c>
      <c r="D73" s="448">
        <v>0.53010000000000002</v>
      </c>
      <c r="E73" s="448">
        <v>0.58350000000000002</v>
      </c>
      <c r="F73" s="449">
        <v>0.58350000000000002</v>
      </c>
      <c r="G73" s="448">
        <v>0.58350000000000002</v>
      </c>
      <c r="H73" s="448">
        <v>0.58350000000000002</v>
      </c>
      <c r="I73" s="450">
        <v>0.58350000000000002</v>
      </c>
      <c r="J73" s="448">
        <v>0.58350000000000002</v>
      </c>
      <c r="K73" s="448">
        <v>0.58350000000000002</v>
      </c>
      <c r="L73" s="448">
        <v>0.58350000000000002</v>
      </c>
      <c r="M73" s="448">
        <v>0.58350000000000002</v>
      </c>
      <c r="N73" s="451">
        <v>0.58350000000000002</v>
      </c>
      <c r="O73" s="451">
        <v>0.58350000000000002</v>
      </c>
      <c r="P73" s="450">
        <v>0.58350000000000002</v>
      </c>
      <c r="Q73" s="450">
        <v>0.58350000000000002</v>
      </c>
      <c r="R73" s="28"/>
      <c r="S73" s="825"/>
      <c r="T73" s="825"/>
      <c r="U73" s="5"/>
      <c r="V73" s="22"/>
      <c r="W73" s="5"/>
      <c r="X73" s="5"/>
      <c r="Y73" s="5"/>
      <c r="Z73" s="5"/>
      <c r="AA73" s="5"/>
    </row>
    <row r="74" spans="1:31">
      <c r="B74" s="28"/>
      <c r="C74" s="28"/>
      <c r="D74" s="28"/>
      <c r="E74" s="28"/>
      <c r="F74" s="287"/>
      <c r="G74" s="28"/>
      <c r="H74" s="28"/>
      <c r="I74" s="60"/>
      <c r="J74" s="28"/>
      <c r="K74" s="28"/>
      <c r="L74" s="28"/>
      <c r="M74" s="28"/>
      <c r="N74" s="391"/>
      <c r="O74" s="391"/>
      <c r="P74" s="60"/>
      <c r="Q74" s="60"/>
      <c r="R74" s="28"/>
      <c r="S74" s="825"/>
      <c r="T74" s="977"/>
      <c r="U74" s="5"/>
      <c r="V74" s="22"/>
      <c r="W74" s="5"/>
      <c r="X74" s="5"/>
      <c r="Y74" s="5"/>
      <c r="Z74" s="5"/>
      <c r="AA74" s="5"/>
    </row>
    <row r="75" spans="1:31">
      <c r="A75" s="201" t="s">
        <v>74</v>
      </c>
      <c r="B75" s="84">
        <f t="shared" ref="B75:Q75" si="23">MAX(B68*B73,0)</f>
        <v>0</v>
      </c>
      <c r="C75" s="84">
        <f t="shared" si="23"/>
        <v>0</v>
      </c>
      <c r="D75" s="84">
        <f t="shared" si="23"/>
        <v>17730583.895462841</v>
      </c>
      <c r="E75" s="1085">
        <f t="shared" si="23"/>
        <v>15926855.202205267</v>
      </c>
      <c r="F75" s="119">
        <f t="shared" si="23"/>
        <v>18088592.03096962</v>
      </c>
      <c r="G75" s="84">
        <f t="shared" si="23"/>
        <v>17359150.428619672</v>
      </c>
      <c r="H75" s="84">
        <f t="shared" si="23"/>
        <v>15109714.093862126</v>
      </c>
      <c r="I75" s="120">
        <f t="shared" si="23"/>
        <v>7753407.414941581</v>
      </c>
      <c r="J75" s="84">
        <f t="shared" si="23"/>
        <v>6038275.3593691019</v>
      </c>
      <c r="K75" s="84">
        <f t="shared" si="23"/>
        <v>4849926.1457863338</v>
      </c>
      <c r="L75" s="84">
        <f t="shared" si="23"/>
        <v>3974250.1732844282</v>
      </c>
      <c r="M75" s="84">
        <f t="shared" si="23"/>
        <v>3116853.7677923306</v>
      </c>
      <c r="N75" s="376">
        <f t="shared" si="23"/>
        <v>0</v>
      </c>
      <c r="O75" s="376">
        <f t="shared" si="23"/>
        <v>0</v>
      </c>
      <c r="P75" s="120">
        <f t="shared" si="23"/>
        <v>0</v>
      </c>
      <c r="Q75" s="120">
        <f t="shared" si="23"/>
        <v>0</v>
      </c>
      <c r="R75" s="28"/>
      <c r="S75" s="825" t="s">
        <v>75</v>
      </c>
      <c r="T75" s="1082">
        <v>0.2</v>
      </c>
      <c r="U75" s="5"/>
      <c r="V75" s="22"/>
      <c r="W75" s="5"/>
      <c r="X75" s="5"/>
      <c r="Y75" s="5"/>
      <c r="Z75" s="5"/>
      <c r="AA75" s="5"/>
    </row>
    <row r="76" spans="1:31">
      <c r="A76" s="23" t="s">
        <v>76</v>
      </c>
      <c r="B76" s="369">
        <f t="shared" ref="B76:H76" si="24">+B75</f>
        <v>0</v>
      </c>
      <c r="C76" s="1573">
        <f t="shared" si="24"/>
        <v>0</v>
      </c>
      <c r="D76" s="369">
        <f t="shared" si="24"/>
        <v>17730583.895462841</v>
      </c>
      <c r="E76" s="369">
        <f t="shared" si="24"/>
        <v>15926855.202205267</v>
      </c>
      <c r="F76" s="1574">
        <f t="shared" si="24"/>
        <v>18088592.03096962</v>
      </c>
      <c r="G76" s="369">
        <f t="shared" si="24"/>
        <v>17359150.428619672</v>
      </c>
      <c r="H76" s="369">
        <f t="shared" si="24"/>
        <v>15109714.093862126</v>
      </c>
      <c r="I76" s="1585">
        <f>IF(COUNTIF(I75:$Q75,"&lt;=0")&gt;0,0,MIN(I75:$Q$75)/((1+$T$75)^(($Q$1-I1)/365)))</f>
        <v>0</v>
      </c>
      <c r="J76" s="1">
        <f>IF(COUNTIF(J75:$Q75,"&lt;=0")&gt;0,0,MIN(J75:$Q$75)/((1+$T$75)^(($Q$1-J1)/365)))</f>
        <v>0</v>
      </c>
      <c r="K76" s="1">
        <f>IF(COUNTIF(K75:$Q75,"&lt;=0")&gt;0,0,MIN(K75:$Q$75)/((1+$T$75)^(($Q$1-K1)/365)))</f>
        <v>0</v>
      </c>
      <c r="L76" s="1">
        <f>IF(COUNTIF(L75:$Q75,"&lt;=0")&gt;0,0,MIN(L75:$Q$75)/((1+$T$75)^(($Q$1-L1)/365)))</f>
        <v>0</v>
      </c>
      <c r="M76" s="1">
        <f>IF(COUNTIF(M75:$Q75,"&lt;=0")&gt;0,0,MIN(M75:$Q$75)/((1+$T$75)^(($Q$1-M1)/365)))</f>
        <v>0</v>
      </c>
      <c r="N76" s="319">
        <f>IF(COUNTIF(N75:$Q75,"&lt;=0")&gt;0,0,MIN(N75:$Q$75)/((1+$T$75)^(($Q$1-N1)/365)))</f>
        <v>0</v>
      </c>
      <c r="O76" s="319">
        <f>IF(COUNTIF(O75:$Q75,"&lt;=0")&gt;0,0,MIN(O75:$Q$75)/((1+$T$75)^(($Q$1-O1)/365)))</f>
        <v>0</v>
      </c>
      <c r="P76" s="50">
        <f>IF(COUNTIF(P75:$Q75,"&lt;=0")&gt;0,0,MIN(P75:$Q$75)/((1+$T$75)^(($Q$1-P1)/365)))</f>
        <v>0</v>
      </c>
      <c r="Q76" s="50">
        <f>IF(COUNTIF(Q75:$Q75,"&lt;=0")&gt;0,0,MIN(Q75:$Q$75)/((1+$T$75)^(($Q$1-Q1)/365)))</f>
        <v>0</v>
      </c>
      <c r="R76" s="28"/>
      <c r="S76" s="825"/>
      <c r="T76" s="977"/>
      <c r="U76" s="5"/>
      <c r="V76" s="22"/>
      <c r="W76" s="5"/>
      <c r="X76" s="5"/>
      <c r="Y76" s="5"/>
      <c r="Z76" s="5"/>
      <c r="AA76" s="5"/>
    </row>
    <row r="77" spans="1:31">
      <c r="A77" s="5" t="s">
        <v>77</v>
      </c>
      <c r="B77" s="6"/>
      <c r="C77" s="6"/>
      <c r="D77" s="32">
        <f>-D64</f>
        <v>8279420</v>
      </c>
      <c r="E77" s="6"/>
      <c r="F77" s="51"/>
      <c r="G77" s="6"/>
      <c r="H77" s="6"/>
      <c r="I77" s="52"/>
      <c r="J77" s="6"/>
      <c r="K77" s="6"/>
      <c r="L77" s="6"/>
      <c r="M77" s="6"/>
      <c r="N77" s="322"/>
      <c r="O77" s="322"/>
      <c r="P77" s="52"/>
      <c r="Q77" s="52"/>
      <c r="R77" s="6"/>
      <c r="S77" s="825"/>
      <c r="U77" s="2"/>
      <c r="V77" s="15"/>
      <c r="W77" s="2"/>
      <c r="X77" s="187"/>
    </row>
    <row r="78" spans="1:31">
      <c r="A78" s="18" t="s">
        <v>78</v>
      </c>
      <c r="B78" s="6"/>
      <c r="C78" s="6"/>
      <c r="D78" s="6"/>
      <c r="E78" s="347">
        <f t="shared" ref="E78:Q78" si="25">+E80/(-E59-E60)</f>
        <v>0.51362435500538262</v>
      </c>
      <c r="F78" s="348">
        <f t="shared" si="25"/>
        <v>0.15258554508637887</v>
      </c>
      <c r="G78" s="347">
        <f t="shared" si="25"/>
        <v>0.15360973806729339</v>
      </c>
      <c r="H78" s="347">
        <f t="shared" si="25"/>
        <v>0.15459415584983469</v>
      </c>
      <c r="I78" s="349">
        <f t="shared" si="25"/>
        <v>0.20085990820424976</v>
      </c>
      <c r="J78" s="347">
        <f t="shared" si="25"/>
        <v>0.19636094702937101</v>
      </c>
      <c r="K78" s="347">
        <f t="shared" si="25"/>
        <v>0.30289029294980074</v>
      </c>
      <c r="L78" s="347">
        <f t="shared" si="25"/>
        <v>0.29669724926153157</v>
      </c>
      <c r="M78" s="347">
        <f t="shared" si="25"/>
        <v>0.29122608898004598</v>
      </c>
      <c r="N78" s="392">
        <f t="shared" si="25"/>
        <v>0.34695553463763618</v>
      </c>
      <c r="O78" s="392">
        <f t="shared" si="25"/>
        <v>0.34695553463763618</v>
      </c>
      <c r="P78" s="347">
        <f t="shared" si="25"/>
        <v>1</v>
      </c>
      <c r="Q78" s="347">
        <f t="shared" si="25"/>
        <v>1</v>
      </c>
      <c r="R78" s="6"/>
      <c r="S78" s="825"/>
      <c r="U78" s="1"/>
      <c r="V78" s="15"/>
      <c r="W78" s="2"/>
      <c r="X78" s="187"/>
    </row>
    <row r="79" spans="1:31">
      <c r="A79" s="18" t="s">
        <v>79</v>
      </c>
      <c r="B79" s="427"/>
      <c r="C79" s="427"/>
      <c r="D79" s="427"/>
      <c r="E79" s="427">
        <f>-2500000-(D96*E105*0.5)</f>
        <v>-2558357.7177088573</v>
      </c>
      <c r="F79" s="428">
        <f>-3250000-((F96/F101)*F105*0.5)</f>
        <v>-3428814.0714328461</v>
      </c>
      <c r="G79" s="427">
        <f>-3250000-((G96/G101)*G105*0.5)</f>
        <v>-3586569.9505663249</v>
      </c>
      <c r="H79" s="427">
        <f>-3250000-((H96/H101)*H105*0.5)</f>
        <v>-3754327.776343931</v>
      </c>
      <c r="I79" s="429">
        <v>-3000000</v>
      </c>
      <c r="J79" s="427">
        <v>-3250000</v>
      </c>
      <c r="K79" s="427">
        <v>-1000000</v>
      </c>
      <c r="L79" s="427">
        <f>-1000000*1.2</f>
        <v>-1200000</v>
      </c>
      <c r="M79" s="427">
        <f>-1000000*1.4</f>
        <v>-1400000</v>
      </c>
      <c r="N79" s="447"/>
      <c r="O79" s="447"/>
      <c r="P79" s="429"/>
      <c r="Q79" s="429"/>
      <c r="R79" s="1"/>
      <c r="S79" s="825"/>
      <c r="T79" s="825"/>
      <c r="V79" s="1"/>
      <c r="W79" s="1"/>
      <c r="X79" s="1"/>
      <c r="Y79" s="1"/>
      <c r="Z79" s="1"/>
      <c r="AA79" s="167"/>
      <c r="AB79" s="1"/>
      <c r="AC79" s="1"/>
      <c r="AD79" s="2"/>
      <c r="AE79" s="167"/>
    </row>
    <row r="80" spans="1:31">
      <c r="A80" s="18" t="s">
        <v>80</v>
      </c>
      <c r="B80" s="1"/>
      <c r="C80" s="1"/>
      <c r="D80" s="1">
        <f t="shared" ref="D80:Q80" si="26">(D71*(D96/D101))+D79</f>
        <v>0</v>
      </c>
      <c r="E80" s="1086">
        <f t="shared" si="26"/>
        <v>8621252.7177088577</v>
      </c>
      <c r="F80" s="47">
        <f t="shared" si="26"/>
        <v>2691709.0714328461</v>
      </c>
      <c r="G80" s="1">
        <f t="shared" si="26"/>
        <v>2849464.9505663249</v>
      </c>
      <c r="H80" s="1">
        <f t="shared" si="26"/>
        <v>3017222.776343931</v>
      </c>
      <c r="I80" s="50">
        <f t="shared" si="26"/>
        <v>4124556.903744827</v>
      </c>
      <c r="J80" s="1">
        <f t="shared" si="26"/>
        <v>4237689.3351938138</v>
      </c>
      <c r="K80" s="1">
        <f t="shared" si="26"/>
        <v>6873678.2404489974</v>
      </c>
      <c r="L80" s="1">
        <f t="shared" si="26"/>
        <v>7084139.3901415551</v>
      </c>
      <c r="M80" s="1">
        <f t="shared" si="26"/>
        <v>7315998.2081489582</v>
      </c>
      <c r="N80" s="319">
        <f t="shared" si="26"/>
        <v>10662926.241002446</v>
      </c>
      <c r="O80" s="319">
        <f t="shared" si="26"/>
        <v>9864765.5848319475</v>
      </c>
      <c r="P80" s="50">
        <f t="shared" si="26"/>
        <v>34687482.435074754</v>
      </c>
      <c r="Q80" s="50">
        <f t="shared" si="26"/>
        <v>42318728.5707912</v>
      </c>
      <c r="R80" s="1"/>
      <c r="S80" s="825"/>
      <c r="T80" s="825"/>
      <c r="U80" s="1"/>
    </row>
    <row r="81" spans="1:27">
      <c r="A81" s="18" t="s">
        <v>81</v>
      </c>
      <c r="B81" s="1"/>
      <c r="C81" s="1"/>
      <c r="D81" s="1"/>
      <c r="E81" s="1"/>
      <c r="F81" s="47"/>
      <c r="G81" s="1">
        <v>0</v>
      </c>
      <c r="H81" s="1">
        <v>0</v>
      </c>
      <c r="I81" s="50">
        <v>0</v>
      </c>
      <c r="J81" s="1"/>
      <c r="K81" s="1"/>
      <c r="L81" s="1"/>
      <c r="M81" s="1"/>
      <c r="N81" s="319"/>
      <c r="O81" s="319"/>
      <c r="P81" s="50"/>
      <c r="Q81" s="50"/>
      <c r="R81" s="1"/>
      <c r="S81" s="825"/>
      <c r="T81" s="825"/>
      <c r="U81" s="1025"/>
    </row>
    <row r="82" spans="1:27">
      <c r="A82" s="18" t="s">
        <v>82</v>
      </c>
      <c r="B82" s="1"/>
      <c r="C82" s="1"/>
      <c r="D82" s="1"/>
      <c r="E82" s="163">
        <f t="shared" ref="E82:Q82" si="27">(I114+I120)/(-E61-E62)</f>
        <v>0.72110157923079454</v>
      </c>
      <c r="F82" s="188">
        <f t="shared" si="27"/>
        <v>0.72110157923079454</v>
      </c>
      <c r="G82" s="163">
        <f t="shared" si="27"/>
        <v>0.72110157923079465</v>
      </c>
      <c r="H82" s="163">
        <f t="shared" si="27"/>
        <v>0.72110157923079454</v>
      </c>
      <c r="I82" s="189">
        <f t="shared" si="27"/>
        <v>0.72110157923079465</v>
      </c>
      <c r="J82" s="163">
        <f t="shared" si="27"/>
        <v>0.72110157923079465</v>
      </c>
      <c r="K82" s="163">
        <f t="shared" si="27"/>
        <v>0.72110157923079476</v>
      </c>
      <c r="L82" s="163">
        <f t="shared" si="27"/>
        <v>0.72110157923079465</v>
      </c>
      <c r="M82" s="163">
        <f t="shared" si="27"/>
        <v>0.72110157923079454</v>
      </c>
      <c r="N82" s="393">
        <f t="shared" si="27"/>
        <v>0.72110157923079465</v>
      </c>
      <c r="O82" s="393">
        <f t="shared" si="27"/>
        <v>0.72110157923079454</v>
      </c>
      <c r="P82" s="189">
        <f t="shared" si="27"/>
        <v>0.72110157923079465</v>
      </c>
      <c r="Q82" s="189">
        <f t="shared" si="27"/>
        <v>0.72110157923079465</v>
      </c>
      <c r="R82" s="1"/>
      <c r="S82" s="825"/>
      <c r="T82" s="825"/>
      <c r="U82" s="1025"/>
    </row>
    <row r="83" spans="1:27">
      <c r="A83" s="18" t="s">
        <v>83</v>
      </c>
      <c r="B83" s="123">
        <f t="shared" ref="B83:Q83" si="28">B82*B69</f>
        <v>0</v>
      </c>
      <c r="C83" s="123">
        <f t="shared" si="28"/>
        <v>0</v>
      </c>
      <c r="D83" s="131">
        <f t="shared" si="28"/>
        <v>0</v>
      </c>
      <c r="E83" s="1086">
        <f t="shared" si="28"/>
        <v>5608281.3808370735</v>
      </c>
      <c r="F83" s="47">
        <f t="shared" si="28"/>
        <v>5792434.4566366132</v>
      </c>
      <c r="G83" s="1">
        <f t="shared" si="28"/>
        <v>5984782.4088378381</v>
      </c>
      <c r="H83" s="1">
        <f t="shared" si="28"/>
        <v>6185737.7795300223</v>
      </c>
      <c r="I83" s="50">
        <f t="shared" si="28"/>
        <v>6393440.7741542654</v>
      </c>
      <c r="J83" s="1">
        <f t="shared" si="28"/>
        <v>6603375.2805657405</v>
      </c>
      <c r="K83" s="1">
        <f t="shared" si="28"/>
        <v>6822651.9460751358</v>
      </c>
      <c r="L83" s="1">
        <f t="shared" si="28"/>
        <v>7051741.0686642267</v>
      </c>
      <c r="M83" s="1">
        <f t="shared" si="28"/>
        <v>7288522.4825358614</v>
      </c>
      <c r="N83" s="319">
        <f t="shared" si="28"/>
        <v>6806296.4560152246</v>
      </c>
      <c r="O83" s="319">
        <f t="shared" si="28"/>
        <v>4230778.4205505513</v>
      </c>
      <c r="P83" s="50">
        <f t="shared" si="28"/>
        <v>4951306.8763720598</v>
      </c>
      <c r="Q83" s="50">
        <f t="shared" si="28"/>
        <v>4764456.7915576464</v>
      </c>
      <c r="R83" s="1"/>
      <c r="S83" s="825"/>
      <c r="T83" s="825"/>
      <c r="U83" s="1025"/>
    </row>
    <row r="84" spans="1:27">
      <c r="A84" s="18" t="s">
        <v>84</v>
      </c>
      <c r="B84" s="131">
        <f t="shared" ref="B84:Q84" ca="1" si="29">+B70*B82</f>
        <v>0</v>
      </c>
      <c r="C84" s="131">
        <f t="shared" ca="1" si="29"/>
        <v>0</v>
      </c>
      <c r="D84" s="131">
        <f t="shared" si="29"/>
        <v>0</v>
      </c>
      <c r="E84" s="1086">
        <f t="shared" si="29"/>
        <v>5608281.3808370735</v>
      </c>
      <c r="F84" s="47">
        <f t="shared" si="29"/>
        <v>5792434.4566366132</v>
      </c>
      <c r="G84" s="1">
        <f t="shared" si="29"/>
        <v>5984782.4088378381</v>
      </c>
      <c r="H84" s="1">
        <f t="shared" si="29"/>
        <v>6185737.7795300223</v>
      </c>
      <c r="I84" s="1">
        <f t="shared" si="29"/>
        <v>2196545.0767986318</v>
      </c>
      <c r="J84" s="1">
        <f t="shared" si="29"/>
        <v>2268670.6540578152</v>
      </c>
      <c r="K84" s="1">
        <f t="shared" si="29"/>
        <v>2344005.8447783706</v>
      </c>
      <c r="L84" s="1">
        <f t="shared" si="29"/>
        <v>2422712.2256062664</v>
      </c>
      <c r="M84" s="1">
        <f t="shared" si="29"/>
        <v>2504061.3875504397</v>
      </c>
      <c r="N84" s="319">
        <f t="shared" si="29"/>
        <v>2854629.9818075025</v>
      </c>
      <c r="O84" s="319">
        <f t="shared" si="29"/>
        <v>3255446.6147665051</v>
      </c>
      <c r="P84" s="50">
        <f t="shared" si="29"/>
        <v>4179348.0627698656</v>
      </c>
      <c r="Q84" s="50">
        <f t="shared" si="29"/>
        <v>4764456.7915576464</v>
      </c>
      <c r="R84" s="1"/>
      <c r="S84" s="825"/>
      <c r="T84" s="825"/>
      <c r="U84" s="1025"/>
    </row>
    <row r="85" spans="1:27" ht="14.7" customHeight="1" thickBot="1">
      <c r="A85" s="23" t="s">
        <v>85</v>
      </c>
      <c r="B85" s="140">
        <f t="shared" ref="B85:Q85" ca="1" si="30">+B84+B80+B76</f>
        <v>0</v>
      </c>
      <c r="C85" s="140">
        <f t="shared" ca="1" si="30"/>
        <v>0</v>
      </c>
      <c r="D85" s="140">
        <f t="shared" si="30"/>
        <v>17730583.895462841</v>
      </c>
      <c r="E85" s="140">
        <f t="shared" si="30"/>
        <v>30156389.300751198</v>
      </c>
      <c r="F85" s="141">
        <f t="shared" si="30"/>
        <v>26572735.559039079</v>
      </c>
      <c r="G85" s="140">
        <f t="shared" si="30"/>
        <v>26193397.788023837</v>
      </c>
      <c r="H85" s="140">
        <f t="shared" si="30"/>
        <v>24312674.649736077</v>
      </c>
      <c r="I85" s="142">
        <f t="shared" si="30"/>
        <v>6321101.9805434588</v>
      </c>
      <c r="J85" s="140">
        <f t="shared" si="30"/>
        <v>6506359.9892516285</v>
      </c>
      <c r="K85" s="140">
        <f t="shared" si="30"/>
        <v>9217684.0852273684</v>
      </c>
      <c r="L85" s="140">
        <f t="shared" si="30"/>
        <v>9506851.6157478206</v>
      </c>
      <c r="M85" s="140">
        <f t="shared" si="30"/>
        <v>9820059.5956993978</v>
      </c>
      <c r="N85" s="377">
        <f t="shared" si="30"/>
        <v>13517556.222809948</v>
      </c>
      <c r="O85" s="377">
        <f t="shared" si="30"/>
        <v>13120212.199598452</v>
      </c>
      <c r="P85" s="142">
        <f t="shared" si="30"/>
        <v>38866830.497844622</v>
      </c>
      <c r="Q85" s="142">
        <f t="shared" si="30"/>
        <v>47083185.362348847</v>
      </c>
      <c r="R85" s="6"/>
      <c r="S85" s="825"/>
      <c r="T85" s="825"/>
      <c r="U85" s="1025"/>
    </row>
    <row r="86" spans="1:27">
      <c r="A86" s="145" t="s">
        <v>86</v>
      </c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1079">
        <f>IFERROR(((M85+SUM($J$30:M30))/$J$85)^(365/(M1-$J$1))-1,0)</f>
        <v>-0.49301947338132956</v>
      </c>
      <c r="N86" s="1079">
        <f>IFERROR(((N85+N30)/M85)^(365/(N1-M1))-1,0)</f>
        <v>0.3765248663796128</v>
      </c>
      <c r="O86" s="1079">
        <f>IFERROR(((O85+O30)/N85)^(365/(O1-N1))-1,0)</f>
        <v>0</v>
      </c>
      <c r="P86" s="1079">
        <f>IFERROR(((P85+P30)/O85)^(365/(P1-O1))-1,0)</f>
        <v>1.9623629485988157</v>
      </c>
      <c r="Q86" s="1079">
        <f>IFERROR(((Q85+Q30)/P85)^(365/(Q1-P1))-1,0)</f>
        <v>0.21139760457081436</v>
      </c>
      <c r="R86" s="6"/>
    </row>
    <row r="87" spans="1:27">
      <c r="A87" s="23" t="s">
        <v>87</v>
      </c>
      <c r="B87" s="8"/>
      <c r="C87" s="6"/>
      <c r="D87" s="6"/>
      <c r="E87" s="6"/>
      <c r="F87" s="6"/>
      <c r="G87" s="6"/>
      <c r="H87" s="6"/>
      <c r="I87" s="6"/>
      <c r="J87" s="6"/>
      <c r="K87" s="6"/>
      <c r="L87" s="6"/>
      <c r="M87" s="1078">
        <f>XIRR(CHOOSE({1,2,3,4,5},-$J$85,$J$30,$K$30,$L$30,M30+M85),CHOOSE({1,2,3,4,5},$J$1,$J$1,$K$1,$L$1,M1))</f>
        <v>-0.31103393211960806</v>
      </c>
      <c r="N87" s="1078">
        <f>IFERROR(XIRR(CHOOSE({1,2,3,4,5,6},-$J$85,$J$30,$K$30,$L$30,$M$30,$N$30+N85),CHOOSE({1,2,3,4,5,6},$J$1,$J$1,$K$1,$L$1,$M$1,N1)),0)</f>
        <v>5.2652302384376543E-2</v>
      </c>
      <c r="O87" s="1078">
        <f>IFERROR(XIRR(CHOOSE({1,2,3,4,5,6,7},-$J$85,$J$30,$K$30,$L$30,$M$30,$N$30,$O$30+O85),CHOOSE({1,2,3,4,5,6,7},$J$1,$J$1,$K$1,$L$1,$M$1,$N$1,O1)),0)</f>
        <v>0</v>
      </c>
      <c r="P87" s="1078">
        <f>IFERROR(XIRR(CHOOSE({1,2,3,4,5,6,7,8},-$J$85,$J$30,$K$30,$L$30,$M$30,$N$30,$O$30,$P$30+P85),CHOOSE({1,2,3,4,5,6,7,8},$J$1,$J$1,$K$1,$L$1,$M$1,$N$1,$O$1,P1)),0)</f>
        <v>0.15998147130012522</v>
      </c>
      <c r="Q87" s="1078">
        <f>IFERROR(XIRR(CHOOSE({1,2,3,4,5,6,7,8,9},-$J$85,$J$30,$K$30,$L$30,$M$30,$N$30,$O$30,$P$30,$Q$30+Q85),CHOOSE({1,2,3,4,5,6,7,8,9},$J$1,$J$1,$K$1,$L$1,$M$1,$N$1,$O$1,$P$1,Q1)),0)</f>
        <v>0.17459253668785094</v>
      </c>
      <c r="R87" s="6"/>
    </row>
    <row r="88" spans="1:27">
      <c r="B88" s="131"/>
      <c r="C88" s="131"/>
      <c r="D88" s="131"/>
      <c r="E88" s="131"/>
      <c r="F88" s="131"/>
      <c r="G88" s="131"/>
      <c r="H88" s="131"/>
      <c r="I88" s="131"/>
      <c r="J88" s="131"/>
      <c r="K88" s="131"/>
      <c r="L88" s="131"/>
      <c r="M88" s="131"/>
      <c r="N88" s="131"/>
      <c r="O88" s="131"/>
      <c r="P88" s="131"/>
      <c r="Q88" s="131"/>
      <c r="R88" s="6"/>
      <c r="S88" s="825"/>
      <c r="T88" s="825"/>
      <c r="U88" s="308"/>
      <c r="V88" s="5"/>
      <c r="W88" s="308"/>
      <c r="X88" s="5"/>
      <c r="Y88" s="5"/>
      <c r="Z88" s="5"/>
      <c r="AA88" s="5"/>
    </row>
    <row r="89" spans="1:27"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27">
      <c r="F90" s="2"/>
      <c r="G90" s="2"/>
      <c r="H90" s="2"/>
      <c r="I90" s="2"/>
      <c r="N90" s="23" t="s">
        <v>88</v>
      </c>
      <c r="O90" s="2">
        <f>SUM(O97:O100)</f>
        <v>10847000</v>
      </c>
      <c r="P90" s="2">
        <f>+O90*(1+$B$105)^((O93-E92)/365)</f>
        <v>24292992.068343677</v>
      </c>
      <c r="Q90" s="5" t="s">
        <v>89</v>
      </c>
    </row>
    <row r="91" spans="1:27">
      <c r="F91" s="2"/>
      <c r="G91" s="2"/>
      <c r="H91" s="2"/>
      <c r="I91" s="2"/>
      <c r="O91" s="2"/>
      <c r="P91" s="2">
        <f>+P90+O103</f>
        <v>15106831.160182964</v>
      </c>
      <c r="Q91" s="1577" t="s">
        <v>90</v>
      </c>
    </row>
    <row r="92" spans="1:27" ht="14.7" customHeight="1" thickBot="1">
      <c r="D92" s="18" t="s">
        <v>91</v>
      </c>
      <c r="E92" s="315">
        <v>45638</v>
      </c>
      <c r="F92" s="2"/>
      <c r="G92" s="2"/>
      <c r="H92" s="2"/>
      <c r="I92" s="2"/>
      <c r="P92" s="2" t="s">
        <v>92</v>
      </c>
      <c r="Q92" s="5" t="s">
        <v>93</v>
      </c>
    </row>
    <row r="93" spans="1:27">
      <c r="E93" s="150">
        <v>45657</v>
      </c>
      <c r="F93" s="362">
        <v>45747</v>
      </c>
      <c r="G93" s="363">
        <v>45838</v>
      </c>
      <c r="H93" s="363">
        <v>45930</v>
      </c>
      <c r="I93" s="363">
        <v>46022</v>
      </c>
      <c r="J93" s="362">
        <v>46112</v>
      </c>
      <c r="K93" s="363">
        <v>46203</v>
      </c>
      <c r="L93" s="363">
        <v>46295</v>
      </c>
      <c r="M93" s="366">
        <v>46387</v>
      </c>
      <c r="N93" s="382">
        <v>46752</v>
      </c>
      <c r="O93" s="382">
        <v>47118</v>
      </c>
      <c r="P93" s="382">
        <v>47483</v>
      </c>
      <c r="Q93" s="382">
        <v>47848</v>
      </c>
    </row>
    <row r="94" spans="1:27">
      <c r="A94" s="10" t="s">
        <v>94</v>
      </c>
      <c r="D94" t="s">
        <v>95</v>
      </c>
      <c r="E94" s="3"/>
      <c r="F94" s="148" t="s">
        <v>3</v>
      </c>
      <c r="G94" s="3" t="s">
        <v>4</v>
      </c>
      <c r="H94" s="3" t="s">
        <v>5</v>
      </c>
      <c r="I94" s="3" t="s">
        <v>2</v>
      </c>
      <c r="J94" s="148"/>
      <c r="K94" s="3"/>
      <c r="L94" s="3"/>
      <c r="M94" s="149"/>
      <c r="N94" s="383"/>
      <c r="O94" s="383"/>
      <c r="P94" s="383"/>
      <c r="Q94" s="383"/>
    </row>
    <row r="95" spans="1:27">
      <c r="C95" s="18" t="s">
        <v>96</v>
      </c>
      <c r="D95" s="196">
        <f>+I95/$E$101</f>
        <v>0</v>
      </c>
      <c r="E95" s="17"/>
      <c r="F95" s="468">
        <f t="shared" ref="F95:Q95" si="31">+E95</f>
        <v>0</v>
      </c>
      <c r="G95" s="11">
        <f t="shared" si="31"/>
        <v>0</v>
      </c>
      <c r="H95" s="11">
        <f t="shared" si="31"/>
        <v>0</v>
      </c>
      <c r="I95" s="11">
        <f t="shared" si="31"/>
        <v>0</v>
      </c>
      <c r="J95" s="468">
        <f t="shared" si="31"/>
        <v>0</v>
      </c>
      <c r="K95" s="11">
        <f t="shared" si="31"/>
        <v>0</v>
      </c>
      <c r="L95" s="11">
        <f t="shared" si="31"/>
        <v>0</v>
      </c>
      <c r="M95" s="469">
        <f t="shared" si="31"/>
        <v>0</v>
      </c>
      <c r="N95" s="470">
        <f t="shared" si="31"/>
        <v>0</v>
      </c>
      <c r="O95" s="470">
        <f t="shared" si="31"/>
        <v>0</v>
      </c>
      <c r="P95" s="470">
        <f t="shared" si="31"/>
        <v>0</v>
      </c>
      <c r="Q95" s="470">
        <f t="shared" si="31"/>
        <v>0</v>
      </c>
    </row>
    <row r="96" spans="1:27">
      <c r="C96" s="18" t="s">
        <v>97</v>
      </c>
      <c r="D96" s="196">
        <f>+E96/$E$101</f>
        <v>0.66604244036461402</v>
      </c>
      <c r="E96" s="17">
        <v>11062895</v>
      </c>
      <c r="F96" s="467">
        <f>+E96-5300000</f>
        <v>5762895</v>
      </c>
      <c r="G96" s="11">
        <f t="shared" ref="G96:O96" si="32">+F96</f>
        <v>5762895</v>
      </c>
      <c r="H96" s="11">
        <f t="shared" si="32"/>
        <v>5762895</v>
      </c>
      <c r="I96" s="11">
        <f t="shared" si="32"/>
        <v>5762895</v>
      </c>
      <c r="J96" s="468">
        <f t="shared" si="32"/>
        <v>5762895</v>
      </c>
      <c r="K96" s="11">
        <f t="shared" si="32"/>
        <v>5762895</v>
      </c>
      <c r="L96" s="11">
        <f t="shared" si="32"/>
        <v>5762895</v>
      </c>
      <c r="M96" s="469">
        <f t="shared" si="32"/>
        <v>5762895</v>
      </c>
      <c r="N96" s="470">
        <f t="shared" si="32"/>
        <v>5762895</v>
      </c>
      <c r="O96" s="470">
        <f t="shared" si="32"/>
        <v>5762895</v>
      </c>
      <c r="P96" s="470">
        <v>16609895</v>
      </c>
      <c r="Q96" s="470">
        <f>+P96</f>
        <v>16609895</v>
      </c>
    </row>
    <row r="97" spans="1:21">
      <c r="C97" s="18" t="s">
        <v>98</v>
      </c>
      <c r="D97" s="196">
        <f>+E97/$E$101</f>
        <v>0.16255370669110189</v>
      </c>
      <c r="E97" s="17">
        <v>2700000</v>
      </c>
      <c r="F97" s="467">
        <f>+E97+3000000</f>
        <v>5700000</v>
      </c>
      <c r="G97" s="11">
        <f t="shared" ref="G97:O97" si="33">+F97</f>
        <v>5700000</v>
      </c>
      <c r="H97" s="11">
        <f t="shared" si="33"/>
        <v>5700000</v>
      </c>
      <c r="I97" s="11">
        <f t="shared" si="33"/>
        <v>5700000</v>
      </c>
      <c r="J97" s="468">
        <f t="shared" si="33"/>
        <v>5700000</v>
      </c>
      <c r="K97" s="11">
        <f t="shared" si="33"/>
        <v>5700000</v>
      </c>
      <c r="L97" s="11">
        <f t="shared" si="33"/>
        <v>5700000</v>
      </c>
      <c r="M97" s="469">
        <f t="shared" si="33"/>
        <v>5700000</v>
      </c>
      <c r="N97" s="470">
        <f t="shared" si="33"/>
        <v>5700000</v>
      </c>
      <c r="O97" s="470">
        <f t="shared" si="33"/>
        <v>5700000</v>
      </c>
      <c r="P97" s="470"/>
      <c r="Q97" s="470"/>
    </row>
    <row r="98" spans="1:21">
      <c r="A98" s="11"/>
      <c r="C98" s="18" t="s">
        <v>99</v>
      </c>
      <c r="D98" s="196">
        <f>+E98/$E$101</f>
        <v>8.4287107173163942E-2</v>
      </c>
      <c r="E98" s="17">
        <v>1400000</v>
      </c>
      <c r="F98" s="467">
        <f>+E98+1770000</f>
        <v>3170000</v>
      </c>
      <c r="G98" s="11">
        <f t="shared" ref="G98:O98" si="34">+F98</f>
        <v>3170000</v>
      </c>
      <c r="H98" s="11">
        <f t="shared" si="34"/>
        <v>3170000</v>
      </c>
      <c r="I98" s="11">
        <f t="shared" si="34"/>
        <v>3170000</v>
      </c>
      <c r="J98" s="468">
        <f t="shared" si="34"/>
        <v>3170000</v>
      </c>
      <c r="K98" s="11">
        <f t="shared" si="34"/>
        <v>3170000</v>
      </c>
      <c r="L98" s="11">
        <f t="shared" si="34"/>
        <v>3170000</v>
      </c>
      <c r="M98" s="469">
        <f t="shared" si="34"/>
        <v>3170000</v>
      </c>
      <c r="N98" s="470">
        <f t="shared" si="34"/>
        <v>3170000</v>
      </c>
      <c r="O98" s="470">
        <f t="shared" si="34"/>
        <v>3170000</v>
      </c>
      <c r="P98" s="470"/>
      <c r="Q98" s="470"/>
    </row>
    <row r="99" spans="1:21">
      <c r="C99" s="18" t="s">
        <v>100</v>
      </c>
      <c r="D99" s="196">
        <f>+E99/$E$101</f>
        <v>2.4082030620903985E-2</v>
      </c>
      <c r="E99" s="17">
        <v>400000</v>
      </c>
      <c r="F99" s="467">
        <f>+E99+530000</f>
        <v>930000</v>
      </c>
      <c r="G99" s="11">
        <f t="shared" ref="G99:O99" si="35">+F99</f>
        <v>930000</v>
      </c>
      <c r="H99" s="11">
        <f t="shared" si="35"/>
        <v>930000</v>
      </c>
      <c r="I99" s="11">
        <f t="shared" si="35"/>
        <v>930000</v>
      </c>
      <c r="J99" s="468">
        <f t="shared" si="35"/>
        <v>930000</v>
      </c>
      <c r="K99" s="11">
        <f t="shared" si="35"/>
        <v>930000</v>
      </c>
      <c r="L99" s="11">
        <f t="shared" si="35"/>
        <v>930000</v>
      </c>
      <c r="M99" s="469">
        <f t="shared" si="35"/>
        <v>930000</v>
      </c>
      <c r="N99" s="470">
        <f t="shared" si="35"/>
        <v>930000</v>
      </c>
      <c r="O99" s="470">
        <f t="shared" si="35"/>
        <v>930000</v>
      </c>
      <c r="P99" s="470"/>
      <c r="Q99" s="470"/>
    </row>
    <row r="100" spans="1:21">
      <c r="C100" s="18" t="s">
        <v>101</v>
      </c>
      <c r="D100" s="196">
        <f>+E100/$E$101</f>
        <v>6.3034715150216178E-2</v>
      </c>
      <c r="E100" s="17">
        <v>1047000</v>
      </c>
      <c r="F100" s="468">
        <f>+E100</f>
        <v>1047000</v>
      </c>
      <c r="G100" s="11">
        <f t="shared" ref="G100:O100" si="36">+F100</f>
        <v>1047000</v>
      </c>
      <c r="H100" s="11">
        <f t="shared" si="36"/>
        <v>1047000</v>
      </c>
      <c r="I100" s="11">
        <f t="shared" si="36"/>
        <v>1047000</v>
      </c>
      <c r="J100" s="468">
        <f t="shared" si="36"/>
        <v>1047000</v>
      </c>
      <c r="K100" s="11">
        <f t="shared" si="36"/>
        <v>1047000</v>
      </c>
      <c r="L100" s="11">
        <f t="shared" si="36"/>
        <v>1047000</v>
      </c>
      <c r="M100" s="469">
        <f t="shared" si="36"/>
        <v>1047000</v>
      </c>
      <c r="N100" s="470">
        <f t="shared" si="36"/>
        <v>1047000</v>
      </c>
      <c r="O100" s="470">
        <f t="shared" si="36"/>
        <v>1047000</v>
      </c>
      <c r="P100" s="470"/>
      <c r="Q100" s="470"/>
    </row>
    <row r="101" spans="1:21">
      <c r="B101" s="5"/>
      <c r="C101" s="23" t="s">
        <v>102</v>
      </c>
      <c r="D101" s="196">
        <f t="shared" ref="D101:Q101" si="37">SUM(D95:D100)</f>
        <v>1</v>
      </c>
      <c r="E101" s="286">
        <f t="shared" si="37"/>
        <v>16609895</v>
      </c>
      <c r="F101" s="364">
        <f t="shared" si="37"/>
        <v>16609895</v>
      </c>
      <c r="G101" s="286">
        <f t="shared" si="37"/>
        <v>16609895</v>
      </c>
      <c r="H101" s="286">
        <f t="shared" si="37"/>
        <v>16609895</v>
      </c>
      <c r="I101" s="286">
        <f t="shared" si="37"/>
        <v>16609895</v>
      </c>
      <c r="J101" s="364">
        <f t="shared" si="37"/>
        <v>16609895</v>
      </c>
      <c r="K101" s="286">
        <f t="shared" si="37"/>
        <v>16609895</v>
      </c>
      <c r="L101" s="286">
        <f t="shared" si="37"/>
        <v>16609895</v>
      </c>
      <c r="M101" s="367">
        <f t="shared" si="37"/>
        <v>16609895</v>
      </c>
      <c r="N101" s="384">
        <f t="shared" si="37"/>
        <v>16609895</v>
      </c>
      <c r="O101" s="384">
        <f t="shared" si="37"/>
        <v>16609895</v>
      </c>
      <c r="P101" s="384">
        <f t="shared" si="37"/>
        <v>16609895</v>
      </c>
      <c r="Q101" s="384">
        <f t="shared" si="37"/>
        <v>16609895</v>
      </c>
    </row>
    <row r="102" spans="1:21">
      <c r="B102" s="5"/>
      <c r="C102" s="5"/>
      <c r="D102" s="23"/>
      <c r="E102" s="306"/>
      <c r="F102" s="365"/>
      <c r="G102" s="306"/>
      <c r="H102" s="306"/>
      <c r="I102" s="306"/>
      <c r="J102" s="51">
        <f>(J96/J101)*J105</f>
        <v>1724794.335193814</v>
      </c>
      <c r="K102" s="306"/>
      <c r="L102" s="306"/>
      <c r="M102" s="1081"/>
      <c r="N102" s="1080"/>
      <c r="O102" s="1080">
        <f>+SUM(O97:O100)/O101</f>
        <v>0.65304446536236382</v>
      </c>
      <c r="P102" s="385"/>
      <c r="Q102" s="385"/>
      <c r="R102" t="s">
        <v>103</v>
      </c>
    </row>
    <row r="103" spans="1:21">
      <c r="A103" s="10" t="s">
        <v>104</v>
      </c>
      <c r="B103" s="5"/>
      <c r="C103" s="5"/>
      <c r="D103" s="307"/>
      <c r="E103" s="306"/>
      <c r="F103" s="365"/>
      <c r="G103" s="306"/>
      <c r="H103" s="306"/>
      <c r="I103" s="306"/>
      <c r="J103" s="365"/>
      <c r="K103" s="306"/>
      <c r="L103" s="306"/>
      <c r="M103" s="368"/>
      <c r="N103" s="385"/>
      <c r="O103" s="385">
        <f>+O55-(O64*(1+$T$64))</f>
        <v>-9186160.9081607126</v>
      </c>
      <c r="P103" s="385"/>
      <c r="Q103" s="385"/>
      <c r="R103" t="s">
        <v>105</v>
      </c>
    </row>
    <row r="104" spans="1:21">
      <c r="A104" s="309" t="s">
        <v>106</v>
      </c>
      <c r="B104" s="150">
        <v>46732</v>
      </c>
      <c r="C104" t="s">
        <v>107</v>
      </c>
      <c r="D104" s="309"/>
      <c r="E104" s="146">
        <f t="shared" ref="E104:N104" si="38">E101*(1+$B$105)^((E93-$E$92)/360)</f>
        <v>16785132.234663036</v>
      </c>
      <c r="F104" s="206">
        <f t="shared" si="38"/>
        <v>17640655.737796567</v>
      </c>
      <c r="G104" s="146">
        <f t="shared" si="38"/>
        <v>18550028.054328371</v>
      </c>
      <c r="H104" s="146">
        <f t="shared" si="38"/>
        <v>19517055.866424315</v>
      </c>
      <c r="I104" s="146">
        <f t="shared" si="38"/>
        <v>20534495.612487592</v>
      </c>
      <c r="J104" s="206">
        <f t="shared" si="38"/>
        <v>21581120.886323463</v>
      </c>
      <c r="K104" s="146">
        <f t="shared" si="38"/>
        <v>22693623.402411912</v>
      </c>
      <c r="L104" s="146">
        <f t="shared" si="38"/>
        <v>23876660.157024425</v>
      </c>
      <c r="M104" s="207">
        <f t="shared" si="38"/>
        <v>25121369.564696625</v>
      </c>
      <c r="N104" s="386">
        <f t="shared" si="38"/>
        <v>30732832.240704596</v>
      </c>
      <c r="O104" s="386">
        <f>O101*(1+$B$105)^((O93-$E$92)/360)+O103</f>
        <v>28432362.65170062</v>
      </c>
      <c r="P104" s="386">
        <f>+O104*1.22</f>
        <v>34687482.435074754</v>
      </c>
      <c r="Q104" s="1087">
        <f>+P104*1.22</f>
        <v>42318728.5707912</v>
      </c>
    </row>
    <row r="105" spans="1:21" ht="14.7" customHeight="1" thickBot="1">
      <c r="A105" s="23" t="s">
        <v>108</v>
      </c>
      <c r="B105" s="161">
        <v>0.22</v>
      </c>
      <c r="C105" t="s">
        <v>109</v>
      </c>
      <c r="D105" s="23"/>
      <c r="E105" s="140">
        <f t="shared" ref="E105:P105" si="39">+E104-E101</f>
        <v>175237.23466303572</v>
      </c>
      <c r="F105" s="141">
        <f t="shared" si="39"/>
        <v>1030760.7377965674</v>
      </c>
      <c r="G105" s="140">
        <f t="shared" si="39"/>
        <v>1940133.0543283708</v>
      </c>
      <c r="H105" s="140">
        <f t="shared" si="39"/>
        <v>2907160.8664243147</v>
      </c>
      <c r="I105" s="140">
        <f t="shared" si="39"/>
        <v>3924600.6124875918</v>
      </c>
      <c r="J105" s="141">
        <f t="shared" si="39"/>
        <v>4971225.8863234632</v>
      </c>
      <c r="K105" s="140">
        <f t="shared" si="39"/>
        <v>6083728.4024119116</v>
      </c>
      <c r="L105" s="140">
        <f t="shared" si="39"/>
        <v>7266765.1570244245</v>
      </c>
      <c r="M105" s="142">
        <f t="shared" si="39"/>
        <v>8511474.5646966249</v>
      </c>
      <c r="N105" s="377">
        <f t="shared" si="39"/>
        <v>14122937.240704596</v>
      </c>
      <c r="O105" s="377">
        <f t="shared" si="39"/>
        <v>11822467.65170062</v>
      </c>
      <c r="P105" s="377">
        <f t="shared" si="39"/>
        <v>18077587.435074754</v>
      </c>
      <c r="Q105" s="377">
        <f>+Q104-Q101+Q103</f>
        <v>25708833.5707912</v>
      </c>
    </row>
    <row r="106" spans="1:21">
      <c r="A106" s="10"/>
      <c r="F106" s="43"/>
      <c r="O106" s="43"/>
    </row>
    <row r="107" spans="1:21" ht="14.7" customHeight="1" thickBot="1">
      <c r="A107" s="10" t="s">
        <v>110</v>
      </c>
    </row>
    <row r="108" spans="1:21">
      <c r="C108" s="150">
        <v>44377</v>
      </c>
      <c r="D108" s="150">
        <v>44561</v>
      </c>
      <c r="E108" s="150">
        <v>44926</v>
      </c>
      <c r="F108" s="150">
        <v>45291</v>
      </c>
      <c r="G108" s="350">
        <v>45411</v>
      </c>
      <c r="H108" s="359">
        <v>45411</v>
      </c>
      <c r="I108" s="351">
        <v>45657</v>
      </c>
      <c r="J108" s="350">
        <v>45747</v>
      </c>
      <c r="K108" s="359">
        <v>45838</v>
      </c>
      <c r="L108" s="359">
        <v>45930</v>
      </c>
      <c r="M108" s="351">
        <v>46022</v>
      </c>
      <c r="N108" s="350">
        <v>46112</v>
      </c>
      <c r="O108" s="359">
        <v>46203</v>
      </c>
      <c r="P108" s="359">
        <v>46295</v>
      </c>
      <c r="Q108" s="351">
        <v>46387</v>
      </c>
      <c r="R108" s="394">
        <v>46752</v>
      </c>
      <c r="S108" s="394">
        <v>47118</v>
      </c>
      <c r="T108" s="394">
        <v>47483</v>
      </c>
      <c r="U108" s="394">
        <v>47848</v>
      </c>
    </row>
    <row r="109" spans="1:21">
      <c r="A109" s="5" t="s">
        <v>111</v>
      </c>
      <c r="B109" s="5"/>
      <c r="C109" s="8">
        <f>+C114+C120</f>
        <v>4912206.4325397154</v>
      </c>
      <c r="D109" s="8">
        <f>+D114+D120</f>
        <v>5247626.1877933284</v>
      </c>
      <c r="E109" s="8">
        <f>+E114+E120</f>
        <v>5982293.8540843949</v>
      </c>
      <c r="F109" s="8">
        <f>+F114+F120</f>
        <v>6819814.9936562106</v>
      </c>
      <c r="G109" s="288">
        <f>+G114+G120</f>
        <v>7120017.1160334758</v>
      </c>
      <c r="H109" s="8">
        <f t="shared" ref="H109:U109" si="40">+H114+H120+H123+H128</f>
        <v>7134255.6465220274</v>
      </c>
      <c r="I109" s="352">
        <f t="shared" si="40"/>
        <v>7777380.5277468348</v>
      </c>
      <c r="J109" s="288">
        <f t="shared" si="40"/>
        <v>8032757.9684618833</v>
      </c>
      <c r="K109" s="8">
        <f t="shared" si="40"/>
        <v>8299499.794774903</v>
      </c>
      <c r="L109" s="8">
        <f t="shared" si="40"/>
        <v>8578178.106513653</v>
      </c>
      <c r="M109" s="352">
        <f t="shared" si="40"/>
        <v>8866213.8016313929</v>
      </c>
      <c r="N109" s="288">
        <f t="shared" si="40"/>
        <v>9157344.0840465482</v>
      </c>
      <c r="O109" s="8">
        <f t="shared" si="40"/>
        <v>9461429.7660433892</v>
      </c>
      <c r="P109" s="8">
        <f t="shared" si="40"/>
        <v>9779123.0414255653</v>
      </c>
      <c r="Q109" s="352">
        <f t="shared" si="40"/>
        <v>10107483.733859789</v>
      </c>
      <c r="R109" s="395">
        <f t="shared" si="40"/>
        <v>11522531.456600159</v>
      </c>
      <c r="S109" s="395">
        <f t="shared" si="40"/>
        <v>13140402.175758786</v>
      </c>
      <c r="T109" s="395">
        <f t="shared" si="40"/>
        <v>14980058.480365019</v>
      </c>
      <c r="U109" s="395">
        <f t="shared" si="40"/>
        <v>17077266.667616121</v>
      </c>
    </row>
    <row r="110" spans="1:21">
      <c r="C110" s="2"/>
      <c r="D110" s="2"/>
      <c r="E110" s="2"/>
      <c r="F110" s="2"/>
      <c r="G110" s="353"/>
      <c r="H110" s="2"/>
      <c r="I110" s="354"/>
      <c r="J110" s="56"/>
      <c r="M110" s="57"/>
      <c r="N110" s="56"/>
      <c r="Q110" s="57"/>
      <c r="R110" s="396"/>
      <c r="S110" s="396"/>
      <c r="T110" s="396"/>
      <c r="U110" s="396"/>
    </row>
    <row r="111" spans="1:21">
      <c r="B111" s="150">
        <v>44039</v>
      </c>
      <c r="C111" s="150">
        <f t="shared" ref="C111:U111" si="41">+C108</f>
        <v>44377</v>
      </c>
      <c r="D111" s="150">
        <f t="shared" si="41"/>
        <v>44561</v>
      </c>
      <c r="E111" s="150">
        <f t="shared" si="41"/>
        <v>44926</v>
      </c>
      <c r="F111" s="150">
        <f t="shared" si="41"/>
        <v>45291</v>
      </c>
      <c r="G111" s="355">
        <f t="shared" si="41"/>
        <v>45411</v>
      </c>
      <c r="H111" s="150">
        <f t="shared" si="41"/>
        <v>45411</v>
      </c>
      <c r="I111" s="356">
        <f t="shared" si="41"/>
        <v>45657</v>
      </c>
      <c r="J111" s="355">
        <f t="shared" si="41"/>
        <v>45747</v>
      </c>
      <c r="K111" s="150">
        <f t="shared" si="41"/>
        <v>45838</v>
      </c>
      <c r="L111" s="150">
        <f t="shared" si="41"/>
        <v>45930</v>
      </c>
      <c r="M111" s="356">
        <f t="shared" si="41"/>
        <v>46022</v>
      </c>
      <c r="N111" s="355">
        <f t="shared" si="41"/>
        <v>46112</v>
      </c>
      <c r="O111" s="150">
        <f t="shared" si="41"/>
        <v>46203</v>
      </c>
      <c r="P111" s="150">
        <f t="shared" si="41"/>
        <v>46295</v>
      </c>
      <c r="Q111" s="356">
        <f t="shared" si="41"/>
        <v>46387</v>
      </c>
      <c r="R111" s="373">
        <f t="shared" si="41"/>
        <v>46752</v>
      </c>
      <c r="S111" s="373">
        <f t="shared" si="41"/>
        <v>47118</v>
      </c>
      <c r="T111" s="373">
        <f t="shared" si="41"/>
        <v>47483</v>
      </c>
      <c r="U111" s="373">
        <f t="shared" si="41"/>
        <v>47848</v>
      </c>
    </row>
    <row r="112" spans="1:21">
      <c r="A112" t="s">
        <v>112</v>
      </c>
      <c r="B112" s="1">
        <v>2000000</v>
      </c>
      <c r="C112" s="1">
        <f t="shared" ref="C112:H112" si="42">+B112</f>
        <v>2000000</v>
      </c>
      <c r="D112" s="1">
        <f t="shared" si="42"/>
        <v>2000000</v>
      </c>
      <c r="E112" s="1">
        <f t="shared" si="42"/>
        <v>2000000</v>
      </c>
      <c r="F112" s="1">
        <f t="shared" si="42"/>
        <v>2000000</v>
      </c>
      <c r="G112" s="47">
        <f t="shared" si="42"/>
        <v>2000000</v>
      </c>
      <c r="H112" s="1">
        <f t="shared" si="42"/>
        <v>2000000</v>
      </c>
      <c r="I112" s="50">
        <f>+G112</f>
        <v>2000000</v>
      </c>
      <c r="J112" s="47">
        <f t="shared" ref="J112:U112" si="43">+I112</f>
        <v>2000000</v>
      </c>
      <c r="K112" s="1">
        <f t="shared" si="43"/>
        <v>2000000</v>
      </c>
      <c r="L112" s="1">
        <f t="shared" si="43"/>
        <v>2000000</v>
      </c>
      <c r="M112" s="50">
        <f t="shared" si="43"/>
        <v>2000000</v>
      </c>
      <c r="N112" s="47">
        <f t="shared" si="43"/>
        <v>2000000</v>
      </c>
      <c r="O112" s="1">
        <f t="shared" si="43"/>
        <v>2000000</v>
      </c>
      <c r="P112" s="1">
        <f t="shared" si="43"/>
        <v>2000000</v>
      </c>
      <c r="Q112" s="50">
        <f t="shared" si="43"/>
        <v>2000000</v>
      </c>
      <c r="R112" s="319">
        <f t="shared" si="43"/>
        <v>2000000</v>
      </c>
      <c r="S112" s="319">
        <f t="shared" si="43"/>
        <v>2000000</v>
      </c>
      <c r="T112" s="319">
        <f t="shared" si="43"/>
        <v>2000000</v>
      </c>
      <c r="U112" s="319">
        <f t="shared" si="43"/>
        <v>2000000</v>
      </c>
    </row>
    <row r="113" spans="1:21">
      <c r="A113" t="s">
        <v>113</v>
      </c>
      <c r="C113" s="2">
        <f t="shared" ref="C113:U113" si="44">+C114-C112</f>
        <v>258007.84800020885</v>
      </c>
      <c r="D113" s="2">
        <f t="shared" si="44"/>
        <v>412191.19720147317</v>
      </c>
      <c r="E113" s="2">
        <f t="shared" si="44"/>
        <v>749897.96480967989</v>
      </c>
      <c r="F113" s="2">
        <f t="shared" si="44"/>
        <v>1134883.6798830354</v>
      </c>
      <c r="G113" s="353">
        <f t="shared" si="44"/>
        <v>1272878.4400022095</v>
      </c>
      <c r="H113" s="2">
        <f t="shared" si="44"/>
        <v>1272878.4400022095</v>
      </c>
      <c r="I113" s="354">
        <f t="shared" si="44"/>
        <v>1575050.5418919763</v>
      </c>
      <c r="J113" s="353">
        <f t="shared" si="44"/>
        <v>1692440.6135951821</v>
      </c>
      <c r="K113" s="2">
        <f t="shared" si="44"/>
        <v>1815054.5846235333</v>
      </c>
      <c r="L113" s="2">
        <f t="shared" si="44"/>
        <v>1943155.4337257175</v>
      </c>
      <c r="M113" s="354">
        <f t="shared" si="44"/>
        <v>2075557.6177568533</v>
      </c>
      <c r="N113" s="353">
        <f t="shared" si="44"/>
        <v>2209382.2994985087</v>
      </c>
      <c r="O113" s="2">
        <f t="shared" si="44"/>
        <v>2349162.2264708281</v>
      </c>
      <c r="P113" s="2">
        <f t="shared" si="44"/>
        <v>2495197.194447319</v>
      </c>
      <c r="Q113" s="354">
        <f t="shared" si="44"/>
        <v>2646135.6842428129</v>
      </c>
      <c r="R113" s="397">
        <f t="shared" si="44"/>
        <v>3296594.6800368074</v>
      </c>
      <c r="S113" s="397">
        <f t="shared" si="44"/>
        <v>4040285.8972280109</v>
      </c>
      <c r="T113" s="397">
        <f t="shared" si="44"/>
        <v>4885925.922839934</v>
      </c>
      <c r="U113" s="397">
        <f t="shared" si="44"/>
        <v>5849955.552037525</v>
      </c>
    </row>
    <row r="114" spans="1:21">
      <c r="A114" s="66" t="s">
        <v>23</v>
      </c>
      <c r="B114" s="67"/>
      <c r="C114" s="102">
        <f t="shared" ref="C114:U114" si="45">($B$112*(1+14%)^((C111-$B$111)/365))</f>
        <v>2258007.8480002088</v>
      </c>
      <c r="D114" s="102">
        <f t="shared" si="45"/>
        <v>2412191.1972014732</v>
      </c>
      <c r="E114" s="102">
        <f t="shared" si="45"/>
        <v>2749897.9648096799</v>
      </c>
      <c r="F114" s="102">
        <f t="shared" si="45"/>
        <v>3134883.6798830354</v>
      </c>
      <c r="G114" s="135">
        <f t="shared" si="45"/>
        <v>3272878.4400022095</v>
      </c>
      <c r="H114" s="102">
        <f t="shared" si="45"/>
        <v>3272878.4400022095</v>
      </c>
      <c r="I114" s="136">
        <f t="shared" si="45"/>
        <v>3575050.5418919763</v>
      </c>
      <c r="J114" s="135">
        <f t="shared" si="45"/>
        <v>3692440.6135951821</v>
      </c>
      <c r="K114" s="102">
        <f t="shared" si="45"/>
        <v>3815054.5846235333</v>
      </c>
      <c r="L114" s="102">
        <f t="shared" si="45"/>
        <v>3943155.4337257175</v>
      </c>
      <c r="M114" s="136">
        <f t="shared" si="45"/>
        <v>4075557.6177568533</v>
      </c>
      <c r="N114" s="135">
        <f t="shared" si="45"/>
        <v>4209382.2994985087</v>
      </c>
      <c r="O114" s="102">
        <f t="shared" si="45"/>
        <v>4349162.2264708281</v>
      </c>
      <c r="P114" s="102">
        <f t="shared" si="45"/>
        <v>4495197.194447319</v>
      </c>
      <c r="Q114" s="136">
        <f t="shared" si="45"/>
        <v>4646135.6842428129</v>
      </c>
      <c r="R114" s="378">
        <f t="shared" si="45"/>
        <v>5296594.6800368074</v>
      </c>
      <c r="S114" s="378">
        <f t="shared" si="45"/>
        <v>6040285.8972280109</v>
      </c>
      <c r="T114" s="378">
        <f t="shared" si="45"/>
        <v>6885925.922839934</v>
      </c>
      <c r="U114" s="378">
        <f t="shared" si="45"/>
        <v>7849955.552037525</v>
      </c>
    </row>
    <row r="115" spans="1:21">
      <c r="G115" s="56"/>
      <c r="I115" s="57"/>
      <c r="J115" s="56"/>
      <c r="M115" s="57"/>
      <c r="N115" s="56"/>
      <c r="Q115" s="57"/>
      <c r="R115" s="396"/>
      <c r="S115" s="396"/>
      <c r="T115" s="396"/>
      <c r="U115" s="396"/>
    </row>
    <row r="116" spans="1:21">
      <c r="G116" s="56"/>
      <c r="I116" s="57"/>
      <c r="J116" s="56"/>
      <c r="M116" s="57"/>
      <c r="N116" s="56"/>
      <c r="Q116" s="57"/>
      <c r="R116" s="396"/>
      <c r="S116" s="396"/>
      <c r="T116" s="396"/>
      <c r="U116" s="396"/>
    </row>
    <row r="117" spans="1:21">
      <c r="B117" s="150">
        <v>43978</v>
      </c>
      <c r="C117" s="150">
        <f t="shared" ref="C117:U117" si="46">+C108</f>
        <v>44377</v>
      </c>
      <c r="D117" s="150">
        <f t="shared" si="46"/>
        <v>44561</v>
      </c>
      <c r="E117" s="150">
        <f t="shared" si="46"/>
        <v>44926</v>
      </c>
      <c r="F117" s="150">
        <f t="shared" si="46"/>
        <v>45291</v>
      </c>
      <c r="G117" s="355">
        <f t="shared" si="46"/>
        <v>45411</v>
      </c>
      <c r="H117" s="150">
        <f t="shared" si="46"/>
        <v>45411</v>
      </c>
      <c r="I117" s="356">
        <f t="shared" si="46"/>
        <v>45657</v>
      </c>
      <c r="J117" s="355">
        <f t="shared" si="46"/>
        <v>45747</v>
      </c>
      <c r="K117" s="150">
        <f t="shared" si="46"/>
        <v>45838</v>
      </c>
      <c r="L117" s="150">
        <f t="shared" si="46"/>
        <v>45930</v>
      </c>
      <c r="M117" s="356">
        <f t="shared" si="46"/>
        <v>46022</v>
      </c>
      <c r="N117" s="355">
        <f t="shared" si="46"/>
        <v>46112</v>
      </c>
      <c r="O117" s="150">
        <f t="shared" si="46"/>
        <v>46203</v>
      </c>
      <c r="P117" s="150">
        <f t="shared" si="46"/>
        <v>46295</v>
      </c>
      <c r="Q117" s="356">
        <f t="shared" si="46"/>
        <v>46387</v>
      </c>
      <c r="R117" s="373">
        <f t="shared" si="46"/>
        <v>46752</v>
      </c>
      <c r="S117" s="373">
        <f t="shared" si="46"/>
        <v>47118</v>
      </c>
      <c r="T117" s="373">
        <f t="shared" si="46"/>
        <v>47483</v>
      </c>
      <c r="U117" s="373">
        <f t="shared" si="46"/>
        <v>47848</v>
      </c>
    </row>
    <row r="118" spans="1:21">
      <c r="A118" t="s">
        <v>112</v>
      </c>
      <c r="B118" s="1">
        <v>2300000</v>
      </c>
      <c r="C118" s="1">
        <f>+B118</f>
        <v>2300000</v>
      </c>
      <c r="D118" s="1">
        <f>+C118</f>
        <v>2300000</v>
      </c>
      <c r="E118" s="1">
        <f>+D118</f>
        <v>2300000</v>
      </c>
      <c r="F118" s="1">
        <f>+E118</f>
        <v>2300000</v>
      </c>
      <c r="G118" s="47">
        <f>+F118</f>
        <v>2300000</v>
      </c>
      <c r="H118" s="6">
        <f>(+G118)-H123</f>
        <v>1112818.5900000001</v>
      </c>
      <c r="I118" s="50">
        <f t="shared" ref="I118:U118" si="47">+H118</f>
        <v>1112818.5900000001</v>
      </c>
      <c r="J118" s="47">
        <f t="shared" si="47"/>
        <v>1112818.5900000001</v>
      </c>
      <c r="K118" s="1">
        <f t="shared" si="47"/>
        <v>1112818.5900000001</v>
      </c>
      <c r="L118" s="1">
        <f t="shared" si="47"/>
        <v>1112818.5900000001</v>
      </c>
      <c r="M118" s="50">
        <f t="shared" si="47"/>
        <v>1112818.5900000001</v>
      </c>
      <c r="N118" s="47">
        <f t="shared" si="47"/>
        <v>1112818.5900000001</v>
      </c>
      <c r="O118" s="1">
        <f t="shared" si="47"/>
        <v>1112818.5900000001</v>
      </c>
      <c r="P118" s="1">
        <f t="shared" si="47"/>
        <v>1112818.5900000001</v>
      </c>
      <c r="Q118" s="50">
        <f t="shared" si="47"/>
        <v>1112818.5900000001</v>
      </c>
      <c r="R118" s="319">
        <f t="shared" si="47"/>
        <v>1112818.5900000001</v>
      </c>
      <c r="S118" s="319">
        <f t="shared" si="47"/>
        <v>1112818.5900000001</v>
      </c>
      <c r="T118" s="319">
        <f t="shared" si="47"/>
        <v>1112818.5900000001</v>
      </c>
      <c r="U118" s="319">
        <f t="shared" si="47"/>
        <v>1112818.5900000001</v>
      </c>
    </row>
    <row r="119" spans="1:21">
      <c r="A119" t="s">
        <v>113</v>
      </c>
      <c r="C119" s="2">
        <f t="shared" ref="C119:U119" si="48">+C120-C118</f>
        <v>354198.58453950658</v>
      </c>
      <c r="D119" s="2">
        <f t="shared" si="48"/>
        <v>535434.99059185525</v>
      </c>
      <c r="E119" s="2">
        <f t="shared" si="48"/>
        <v>932395.88927471545</v>
      </c>
      <c r="F119" s="2">
        <f t="shared" si="48"/>
        <v>1384931.3137731757</v>
      </c>
      <c r="G119" s="353">
        <f t="shared" si="48"/>
        <v>1547138.6760312659</v>
      </c>
      <c r="H119" s="2">
        <f t="shared" si="48"/>
        <v>748558.55651981733</v>
      </c>
      <c r="I119" s="354">
        <f t="shared" si="48"/>
        <v>920412.24894509744</v>
      </c>
      <c r="J119" s="353">
        <f t="shared" si="48"/>
        <v>987175.25304143107</v>
      </c>
      <c r="K119" s="2">
        <f t="shared" si="48"/>
        <v>1056909.2342143042</v>
      </c>
      <c r="L119" s="2">
        <f t="shared" si="48"/>
        <v>1129763.7558043047</v>
      </c>
      <c r="M119" s="354">
        <f t="shared" si="48"/>
        <v>1205064.5663974111</v>
      </c>
      <c r="N119" s="353">
        <f t="shared" si="48"/>
        <v>1281174.3910672322</v>
      </c>
      <c r="O119" s="2">
        <f t="shared" si="48"/>
        <v>1360671.1296043072</v>
      </c>
      <c r="P119" s="2">
        <f t="shared" si="48"/>
        <v>1443725.284216908</v>
      </c>
      <c r="Q119" s="354">
        <f t="shared" si="48"/>
        <v>1529568.2082930489</v>
      </c>
      <c r="R119" s="397">
        <f t="shared" si="48"/>
        <v>1899502.3600540764</v>
      </c>
      <c r="S119" s="397">
        <f t="shared" si="48"/>
        <v>2322460.2734394195</v>
      </c>
      <c r="T119" s="397">
        <f t="shared" si="48"/>
        <v>2803399.3143209387</v>
      </c>
      <c r="U119" s="397">
        <f t="shared" si="48"/>
        <v>3351669.8209258709</v>
      </c>
    </row>
    <row r="120" spans="1:21">
      <c r="A120" s="66" t="s">
        <v>23</v>
      </c>
      <c r="B120" s="67"/>
      <c r="C120" s="102">
        <f>($B$118*(1+14%)^((C117-$B$117)/365))</f>
        <v>2654198.5845395066</v>
      </c>
      <c r="D120" s="102">
        <f>($B$118*(1+14%)^((D117-$B$117)/365))</f>
        <v>2835434.9905918553</v>
      </c>
      <c r="E120" s="102">
        <f>($B$118*(1+14%)^((E117-$B$117)/365))</f>
        <v>3232395.8892747154</v>
      </c>
      <c r="F120" s="102">
        <f>($B$118*(1+14%)^((F117-$B$117)/365))</f>
        <v>3684931.3137731757</v>
      </c>
      <c r="G120" s="135">
        <f>($B$118*(1+14%)^((G117-$B$117)/365))</f>
        <v>3847138.6760312659</v>
      </c>
      <c r="H120" s="102">
        <f t="shared" ref="H120:U120" si="49">($H$118*(1+14%)^((H117-$B$117)/365))</f>
        <v>1861377.1465198174</v>
      </c>
      <c r="I120" s="136">
        <f t="shared" si="49"/>
        <v>2033230.8389450975</v>
      </c>
      <c r="J120" s="135">
        <f t="shared" si="49"/>
        <v>2099993.8430414312</v>
      </c>
      <c r="K120" s="102">
        <f t="shared" si="49"/>
        <v>2169727.8242143043</v>
      </c>
      <c r="L120" s="102">
        <f t="shared" si="49"/>
        <v>2242582.3458043048</v>
      </c>
      <c r="M120" s="136">
        <f t="shared" si="49"/>
        <v>2317883.1563974111</v>
      </c>
      <c r="N120" s="135">
        <f t="shared" si="49"/>
        <v>2393992.9810672323</v>
      </c>
      <c r="O120" s="102">
        <f t="shared" si="49"/>
        <v>2473489.7196043073</v>
      </c>
      <c r="P120" s="102">
        <f t="shared" si="49"/>
        <v>2556543.8742169081</v>
      </c>
      <c r="Q120" s="136">
        <f t="shared" si="49"/>
        <v>2642386.798293049</v>
      </c>
      <c r="R120" s="378">
        <f t="shared" si="49"/>
        <v>3012320.9500540765</v>
      </c>
      <c r="S120" s="378">
        <f t="shared" si="49"/>
        <v>3435278.8634394198</v>
      </c>
      <c r="T120" s="378">
        <f t="shared" si="49"/>
        <v>3916217.904320939</v>
      </c>
      <c r="U120" s="378">
        <f t="shared" si="49"/>
        <v>4464488.4109258708</v>
      </c>
    </row>
    <row r="121" spans="1:21">
      <c r="G121" s="56"/>
      <c r="I121" s="57"/>
      <c r="J121" s="56"/>
      <c r="M121" s="57"/>
      <c r="N121" s="56"/>
      <c r="Q121" s="57"/>
      <c r="R121" s="396"/>
      <c r="S121" s="396"/>
      <c r="T121" s="396"/>
      <c r="U121" s="396"/>
    </row>
    <row r="122" spans="1:21">
      <c r="A122" t="s">
        <v>114</v>
      </c>
      <c r="B122" s="150">
        <v>43978</v>
      </c>
      <c r="C122" s="150">
        <f t="shared" ref="C122:U122" si="50">+C108</f>
        <v>44377</v>
      </c>
      <c r="D122" s="150">
        <f t="shared" si="50"/>
        <v>44561</v>
      </c>
      <c r="E122" s="150">
        <f t="shared" si="50"/>
        <v>44926</v>
      </c>
      <c r="F122" s="150">
        <f t="shared" si="50"/>
        <v>45291</v>
      </c>
      <c r="G122" s="355">
        <f t="shared" si="50"/>
        <v>45411</v>
      </c>
      <c r="H122" s="150">
        <f t="shared" si="50"/>
        <v>45411</v>
      </c>
      <c r="I122" s="356">
        <f t="shared" si="50"/>
        <v>45657</v>
      </c>
      <c r="J122" s="355">
        <f t="shared" si="50"/>
        <v>45747</v>
      </c>
      <c r="K122" s="150">
        <f t="shared" si="50"/>
        <v>45838</v>
      </c>
      <c r="L122" s="150">
        <f t="shared" si="50"/>
        <v>45930</v>
      </c>
      <c r="M122" s="356">
        <f t="shared" si="50"/>
        <v>46022</v>
      </c>
      <c r="N122" s="355">
        <f t="shared" si="50"/>
        <v>46112</v>
      </c>
      <c r="O122" s="150">
        <f t="shared" si="50"/>
        <v>46203</v>
      </c>
      <c r="P122" s="150">
        <f t="shared" si="50"/>
        <v>46295</v>
      </c>
      <c r="Q122" s="356">
        <f t="shared" si="50"/>
        <v>46387</v>
      </c>
      <c r="R122" s="373">
        <f t="shared" si="50"/>
        <v>46752</v>
      </c>
      <c r="S122" s="373">
        <f t="shared" si="50"/>
        <v>47118</v>
      </c>
      <c r="T122" s="373">
        <f t="shared" si="50"/>
        <v>47483</v>
      </c>
      <c r="U122" s="373">
        <f t="shared" si="50"/>
        <v>47848</v>
      </c>
    </row>
    <row r="123" spans="1:21">
      <c r="A123" s="39" t="s">
        <v>115</v>
      </c>
      <c r="B123" s="310">
        <f>SUM(B124:B126)</f>
        <v>1187181.4099999999</v>
      </c>
      <c r="C123" s="310"/>
      <c r="D123" s="310"/>
      <c r="E123" s="310"/>
      <c r="F123" s="310"/>
      <c r="G123" s="357"/>
      <c r="H123" s="310">
        <f t="shared" ref="H123:U123" si="51">SUM(H124:H126)</f>
        <v>1187181.4099999999</v>
      </c>
      <c r="I123" s="52">
        <f t="shared" si="51"/>
        <v>1187181.4099999999</v>
      </c>
      <c r="J123" s="51">
        <f t="shared" si="51"/>
        <v>1187181.4099999999</v>
      </c>
      <c r="K123" s="6">
        <f t="shared" si="51"/>
        <v>1187181.4099999999</v>
      </c>
      <c r="L123" s="6">
        <f t="shared" si="51"/>
        <v>1187181.4099999999</v>
      </c>
      <c r="M123" s="52">
        <f t="shared" si="51"/>
        <v>1187181.4099999999</v>
      </c>
      <c r="N123" s="51">
        <f t="shared" si="51"/>
        <v>1187181.4099999999</v>
      </c>
      <c r="O123" s="6">
        <f t="shared" si="51"/>
        <v>1187181.4099999999</v>
      </c>
      <c r="P123" s="6">
        <f t="shared" si="51"/>
        <v>1187181.4099999999</v>
      </c>
      <c r="Q123" s="52">
        <f t="shared" si="51"/>
        <v>1187181.4099999999</v>
      </c>
      <c r="R123" s="322">
        <f t="shared" si="51"/>
        <v>1187181.4099999999</v>
      </c>
      <c r="S123" s="322">
        <f t="shared" si="51"/>
        <v>1187181.4099999999</v>
      </c>
      <c r="T123" s="322">
        <f t="shared" si="51"/>
        <v>1187181.4099999999</v>
      </c>
      <c r="U123" s="322">
        <f t="shared" si="51"/>
        <v>1187181.4099999999</v>
      </c>
    </row>
    <row r="124" spans="1:21">
      <c r="A124" t="s">
        <v>116</v>
      </c>
      <c r="B124" s="1">
        <v>722632.16</v>
      </c>
      <c r="C124" s="1"/>
      <c r="D124" s="1"/>
      <c r="E124" s="1"/>
      <c r="F124" s="1"/>
      <c r="G124" s="47"/>
      <c r="H124" s="1">
        <v>722632.16</v>
      </c>
      <c r="I124" s="64">
        <f t="shared" ref="I124:U124" si="52">+H124</f>
        <v>722632.16</v>
      </c>
      <c r="J124" s="63">
        <f t="shared" si="52"/>
        <v>722632.16</v>
      </c>
      <c r="K124" s="46">
        <f t="shared" si="52"/>
        <v>722632.16</v>
      </c>
      <c r="L124" s="46">
        <f t="shared" si="52"/>
        <v>722632.16</v>
      </c>
      <c r="M124" s="64">
        <f t="shared" si="52"/>
        <v>722632.16</v>
      </c>
      <c r="N124" s="63">
        <f t="shared" si="52"/>
        <v>722632.16</v>
      </c>
      <c r="O124" s="46">
        <f t="shared" si="52"/>
        <v>722632.16</v>
      </c>
      <c r="P124" s="46">
        <f t="shared" si="52"/>
        <v>722632.16</v>
      </c>
      <c r="Q124" s="64">
        <f t="shared" si="52"/>
        <v>722632.16</v>
      </c>
      <c r="R124" s="374">
        <f t="shared" si="52"/>
        <v>722632.16</v>
      </c>
      <c r="S124" s="374">
        <f t="shared" si="52"/>
        <v>722632.16</v>
      </c>
      <c r="T124" s="374">
        <f t="shared" si="52"/>
        <v>722632.16</v>
      </c>
      <c r="U124" s="374">
        <f t="shared" si="52"/>
        <v>722632.16</v>
      </c>
    </row>
    <row r="125" spans="1:21">
      <c r="A125" t="s">
        <v>117</v>
      </c>
      <c r="B125" s="1">
        <v>361316.08</v>
      </c>
      <c r="C125" s="1"/>
      <c r="D125" s="1"/>
      <c r="E125" s="1"/>
      <c r="F125" s="1"/>
      <c r="G125" s="47"/>
      <c r="H125" s="1">
        <v>361316.08</v>
      </c>
      <c r="I125" s="50">
        <f t="shared" ref="I125:U125" si="53">+H125</f>
        <v>361316.08</v>
      </c>
      <c r="J125" s="47">
        <f t="shared" si="53"/>
        <v>361316.08</v>
      </c>
      <c r="K125" s="1">
        <f t="shared" si="53"/>
        <v>361316.08</v>
      </c>
      <c r="L125" s="1">
        <f t="shared" si="53"/>
        <v>361316.08</v>
      </c>
      <c r="M125" s="50">
        <f t="shared" si="53"/>
        <v>361316.08</v>
      </c>
      <c r="N125" s="47">
        <f t="shared" si="53"/>
        <v>361316.08</v>
      </c>
      <c r="O125" s="1">
        <f t="shared" si="53"/>
        <v>361316.08</v>
      </c>
      <c r="P125" s="1">
        <f t="shared" si="53"/>
        <v>361316.08</v>
      </c>
      <c r="Q125" s="50">
        <f t="shared" si="53"/>
        <v>361316.08</v>
      </c>
      <c r="R125" s="319">
        <f t="shared" si="53"/>
        <v>361316.08</v>
      </c>
      <c r="S125" s="319">
        <f t="shared" si="53"/>
        <v>361316.08</v>
      </c>
      <c r="T125" s="319">
        <f t="shared" si="53"/>
        <v>361316.08</v>
      </c>
      <c r="U125" s="319">
        <f t="shared" si="53"/>
        <v>361316.08</v>
      </c>
    </row>
    <row r="126" spans="1:21">
      <c r="A126" t="s">
        <v>118</v>
      </c>
      <c r="B126" s="1">
        <v>103233.17</v>
      </c>
      <c r="C126" s="1"/>
      <c r="D126" s="1"/>
      <c r="E126" s="1"/>
      <c r="F126" s="1"/>
      <c r="G126" s="47"/>
      <c r="H126" s="1">
        <v>103233.17</v>
      </c>
      <c r="I126" s="50">
        <f t="shared" ref="I126:U126" si="54">+H126</f>
        <v>103233.17</v>
      </c>
      <c r="J126" s="47">
        <f t="shared" si="54"/>
        <v>103233.17</v>
      </c>
      <c r="K126" s="1">
        <f t="shared" si="54"/>
        <v>103233.17</v>
      </c>
      <c r="L126" s="1">
        <f t="shared" si="54"/>
        <v>103233.17</v>
      </c>
      <c r="M126" s="50">
        <f t="shared" si="54"/>
        <v>103233.17</v>
      </c>
      <c r="N126" s="47">
        <f t="shared" si="54"/>
        <v>103233.17</v>
      </c>
      <c r="O126" s="1">
        <f t="shared" si="54"/>
        <v>103233.17</v>
      </c>
      <c r="P126" s="1">
        <f t="shared" si="54"/>
        <v>103233.17</v>
      </c>
      <c r="Q126" s="50">
        <f t="shared" si="54"/>
        <v>103233.17</v>
      </c>
      <c r="R126" s="319">
        <f t="shared" si="54"/>
        <v>103233.17</v>
      </c>
      <c r="S126" s="319">
        <f t="shared" si="54"/>
        <v>103233.17</v>
      </c>
      <c r="T126" s="319">
        <f t="shared" si="54"/>
        <v>103233.17</v>
      </c>
      <c r="U126" s="319">
        <f t="shared" si="54"/>
        <v>103233.17</v>
      </c>
    </row>
    <row r="127" spans="1:21">
      <c r="B127" s="1"/>
      <c r="C127" s="1"/>
      <c r="D127" s="1"/>
      <c r="E127" s="1"/>
      <c r="F127" s="1"/>
      <c r="G127" s="47"/>
      <c r="H127" s="1"/>
      <c r="I127" s="50"/>
      <c r="J127" s="56"/>
      <c r="M127" s="57"/>
      <c r="N127" s="56"/>
      <c r="Q127" s="57"/>
      <c r="R127" s="396"/>
      <c r="S127" s="396"/>
      <c r="T127" s="396"/>
      <c r="U127" s="396"/>
    </row>
    <row r="128" spans="1:21">
      <c r="A128" s="39" t="s">
        <v>119</v>
      </c>
      <c r="B128" s="39"/>
      <c r="C128" s="311"/>
      <c r="D128" s="311"/>
      <c r="E128" s="311"/>
      <c r="F128" s="311"/>
      <c r="G128" s="358"/>
      <c r="H128" s="311">
        <f t="shared" ref="H128:U128" si="55">SUM(H129:H131)</f>
        <v>812818.65</v>
      </c>
      <c r="I128" s="352">
        <f t="shared" si="55"/>
        <v>981917.73690976144</v>
      </c>
      <c r="J128" s="288">
        <f t="shared" si="55"/>
        <v>1053142.1018252696</v>
      </c>
      <c r="K128" s="8">
        <f t="shared" si="55"/>
        <v>1127535.9759370647</v>
      </c>
      <c r="L128" s="8">
        <f t="shared" si="55"/>
        <v>1205258.91698363</v>
      </c>
      <c r="M128" s="352">
        <f t="shared" si="55"/>
        <v>1285591.617477128</v>
      </c>
      <c r="N128" s="288">
        <f t="shared" si="55"/>
        <v>1366787.3934808078</v>
      </c>
      <c r="O128" s="8">
        <f t="shared" si="55"/>
        <v>1451596.4099682535</v>
      </c>
      <c r="P128" s="8">
        <f t="shared" si="55"/>
        <v>1540200.5627613389</v>
      </c>
      <c r="Q128" s="352">
        <f t="shared" si="55"/>
        <v>1631779.8413239266</v>
      </c>
      <c r="R128" s="395">
        <f t="shared" si="55"/>
        <v>2026434.4165092765</v>
      </c>
      <c r="S128" s="395">
        <f t="shared" si="55"/>
        <v>2477656.0050913561</v>
      </c>
      <c r="T128" s="395">
        <f t="shared" si="55"/>
        <v>2990733.2432041466</v>
      </c>
      <c r="U128" s="395">
        <f t="shared" si="55"/>
        <v>3575641.2946527274</v>
      </c>
    </row>
    <row r="129" spans="1:21">
      <c r="A129" t="s">
        <v>116</v>
      </c>
      <c r="C129" s="2"/>
      <c r="D129" s="2"/>
      <c r="E129" s="2"/>
      <c r="F129" s="2"/>
      <c r="G129" s="353"/>
      <c r="H129" s="2">
        <v>494759.18</v>
      </c>
      <c r="I129" s="360">
        <f t="shared" ref="I129:U129" si="56">($B$124*(1+14%)^((I$117-$B$117)/365))-I124</f>
        <v>597689.05509176792</v>
      </c>
      <c r="J129" s="361">
        <f t="shared" si="56"/>
        <v>641043.01618817856</v>
      </c>
      <c r="K129" s="92">
        <f t="shared" si="56"/>
        <v>686326.24374492944</v>
      </c>
      <c r="L129" s="92">
        <f t="shared" si="56"/>
        <v>733635.85986335587</v>
      </c>
      <c r="M129" s="360">
        <f t="shared" si="56"/>
        <v>782534.02520461532</v>
      </c>
      <c r="N129" s="361">
        <f t="shared" si="56"/>
        <v>831957.54085452377</v>
      </c>
      <c r="O129" s="92">
        <f t="shared" si="56"/>
        <v>883580.42026921955</v>
      </c>
      <c r="P129" s="92">
        <f t="shared" si="56"/>
        <v>937513.38264422619</v>
      </c>
      <c r="Q129" s="360">
        <f t="shared" si="56"/>
        <v>993257.29113326187</v>
      </c>
      <c r="R129" s="398">
        <f t="shared" si="56"/>
        <v>1233481.8142919187</v>
      </c>
      <c r="S129" s="398">
        <f t="shared" si="56"/>
        <v>1508138.4324373286</v>
      </c>
      <c r="T129" s="398">
        <f t="shared" si="56"/>
        <v>1820446.3153785551</v>
      </c>
      <c r="U129" s="398">
        <f t="shared" si="56"/>
        <v>2176477.3019315531</v>
      </c>
    </row>
    <row r="130" spans="1:21">
      <c r="A130" t="s">
        <v>117</v>
      </c>
      <c r="C130" s="2"/>
      <c r="D130" s="2"/>
      <c r="E130" s="2"/>
      <c r="F130" s="2"/>
      <c r="G130" s="353"/>
      <c r="H130" s="2">
        <v>247379.59</v>
      </c>
      <c r="I130" s="354">
        <f t="shared" ref="I130:U130" si="57">($B$125*(1+14%)^((I$117-$B$117)/365))-I125</f>
        <v>298844.52754588396</v>
      </c>
      <c r="J130" s="353">
        <f t="shared" si="57"/>
        <v>320521.50809408928</v>
      </c>
      <c r="K130" s="2">
        <f t="shared" si="57"/>
        <v>343163.12187246472</v>
      </c>
      <c r="L130" s="2">
        <f t="shared" si="57"/>
        <v>366817.92993167794</v>
      </c>
      <c r="M130" s="354">
        <f t="shared" si="57"/>
        <v>391267.01260230766</v>
      </c>
      <c r="N130" s="353">
        <f t="shared" si="57"/>
        <v>415978.77042726189</v>
      </c>
      <c r="O130" s="2">
        <f t="shared" si="57"/>
        <v>441790.21013460978</v>
      </c>
      <c r="P130" s="2">
        <f t="shared" si="57"/>
        <v>468756.6913221131</v>
      </c>
      <c r="Q130" s="354">
        <f t="shared" si="57"/>
        <v>496628.64556663093</v>
      </c>
      <c r="R130" s="397">
        <f t="shared" si="57"/>
        <v>616740.90714595933</v>
      </c>
      <c r="S130" s="397">
        <f t="shared" si="57"/>
        <v>754069.21621866431</v>
      </c>
      <c r="T130" s="397">
        <f t="shared" si="57"/>
        <v>910223.15768927755</v>
      </c>
      <c r="U130" s="397">
        <f t="shared" si="57"/>
        <v>1088238.6509657765</v>
      </c>
    </row>
    <row r="131" spans="1:21">
      <c r="A131" t="s">
        <v>118</v>
      </c>
      <c r="C131" s="2"/>
      <c r="D131" s="2"/>
      <c r="E131" s="2"/>
      <c r="F131" s="2"/>
      <c r="G131" s="353"/>
      <c r="H131" s="2">
        <v>70679.88</v>
      </c>
      <c r="I131" s="354">
        <f t="shared" ref="I131:U131" si="58">($B$126*(1+14%)^((I$117-$B$117)/365))-I126</f>
        <v>85384.154272109663</v>
      </c>
      <c r="J131" s="353">
        <f t="shared" si="58"/>
        <v>91577.577543001928</v>
      </c>
      <c r="K131" s="2">
        <f t="shared" si="58"/>
        <v>98046.610319670421</v>
      </c>
      <c r="L131" s="2">
        <f t="shared" si="58"/>
        <v>104805.12718859619</v>
      </c>
      <c r="M131" s="354">
        <f t="shared" si="58"/>
        <v>111790.57967020503</v>
      </c>
      <c r="N131" s="353">
        <f t="shared" si="58"/>
        <v>118851.08219902225</v>
      </c>
      <c r="O131" s="2">
        <f t="shared" si="58"/>
        <v>126225.77956442429</v>
      </c>
      <c r="P131" s="2">
        <f t="shared" si="58"/>
        <v>133930.48879499972</v>
      </c>
      <c r="Q131" s="354">
        <f t="shared" si="58"/>
        <v>141893.90462403378</v>
      </c>
      <c r="R131" s="397">
        <f t="shared" si="58"/>
        <v>176211.69507139857</v>
      </c>
      <c r="S131" s="397">
        <f t="shared" si="58"/>
        <v>215448.35643536301</v>
      </c>
      <c r="T131" s="397">
        <f t="shared" si="58"/>
        <v>260063.77013631386</v>
      </c>
      <c r="U131" s="397">
        <f t="shared" si="58"/>
        <v>310925.34175539785</v>
      </c>
    </row>
    <row r="132" spans="1:21" ht="14.7" customHeight="1" thickBot="1">
      <c r="A132" s="66" t="s">
        <v>23</v>
      </c>
      <c r="B132" s="67"/>
      <c r="C132" s="102">
        <f>($B$123*(1+14%)^((C122-$B$117)/365))</f>
        <v>1370006.6165276589</v>
      </c>
      <c r="D132" s="102">
        <f>($B$123*(1+14%)^((D122-$B$117)/365))</f>
        <v>1463554.6565626848</v>
      </c>
      <c r="E132" s="102">
        <f>($B$123*(1+14%)^((E122-$B$117)/365))</f>
        <v>1668452.3084814609</v>
      </c>
      <c r="F132" s="102">
        <f>($B$123*(1+14%)^((F122-$B$117)/365))</f>
        <v>1902035.6316688657</v>
      </c>
      <c r="G132" s="141">
        <f>($B$123*(1+14%)^((G122-$B$117)/365))</f>
        <v>1985761.5295114482</v>
      </c>
      <c r="H132" s="140">
        <f t="shared" ref="H132:U132" si="59">+H128+H123</f>
        <v>2000000.06</v>
      </c>
      <c r="I132" s="142">
        <f t="shared" si="59"/>
        <v>2169099.1469097612</v>
      </c>
      <c r="J132" s="141">
        <f t="shared" si="59"/>
        <v>2240323.5118252696</v>
      </c>
      <c r="K132" s="140">
        <f t="shared" si="59"/>
        <v>2314717.3859370649</v>
      </c>
      <c r="L132" s="140">
        <f t="shared" si="59"/>
        <v>2392440.3269836297</v>
      </c>
      <c r="M132" s="142">
        <f t="shared" si="59"/>
        <v>2472773.027477128</v>
      </c>
      <c r="N132" s="141">
        <f t="shared" si="59"/>
        <v>2553968.8034808077</v>
      </c>
      <c r="O132" s="140">
        <f t="shared" si="59"/>
        <v>2638777.8199682534</v>
      </c>
      <c r="P132" s="140">
        <f t="shared" si="59"/>
        <v>2727381.9727613386</v>
      </c>
      <c r="Q132" s="142">
        <f t="shared" si="59"/>
        <v>2818961.2513239263</v>
      </c>
      <c r="R132" s="377">
        <f t="shared" si="59"/>
        <v>3213615.8265092764</v>
      </c>
      <c r="S132" s="377">
        <f t="shared" si="59"/>
        <v>3664837.4150913563</v>
      </c>
      <c r="T132" s="377">
        <f t="shared" si="59"/>
        <v>4177914.6532041468</v>
      </c>
      <c r="U132" s="377">
        <f t="shared" si="59"/>
        <v>4762822.7046527276</v>
      </c>
    </row>
    <row r="133" spans="1:21">
      <c r="I133" s="1"/>
    </row>
    <row r="135" spans="1:21">
      <c r="I135" s="161">
        <f t="shared" ref="I135:U135" si="60">+SUM(I114,I120)/I109</f>
        <v>0.72110157923079465</v>
      </c>
      <c r="J135" s="161">
        <f t="shared" si="60"/>
        <v>0.72110157923079454</v>
      </c>
      <c r="K135" s="161">
        <f t="shared" si="60"/>
        <v>0.72110157923079454</v>
      </c>
      <c r="L135" s="161">
        <f t="shared" si="60"/>
        <v>0.72110157923079454</v>
      </c>
      <c r="M135" s="161">
        <f t="shared" si="60"/>
        <v>0.72110157923079465</v>
      </c>
      <c r="N135" s="161">
        <f t="shared" si="60"/>
        <v>0.72110157923079465</v>
      </c>
      <c r="O135" s="161">
        <f t="shared" si="60"/>
        <v>0.72110157923079465</v>
      </c>
      <c r="P135" s="161">
        <f t="shared" si="60"/>
        <v>0.72110157923079465</v>
      </c>
      <c r="Q135" s="161">
        <f t="shared" si="60"/>
        <v>0.72110157923079454</v>
      </c>
      <c r="R135" s="161">
        <f t="shared" si="60"/>
        <v>0.72110157923079465</v>
      </c>
      <c r="S135" s="161">
        <f t="shared" si="60"/>
        <v>0.72110157923079454</v>
      </c>
      <c r="T135" s="161">
        <f t="shared" si="60"/>
        <v>0.72110157923079465</v>
      </c>
      <c r="U135" s="161">
        <f t="shared" si="60"/>
        <v>0.72110157923079465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rgb="FFB4C6E7"/>
  </sheetPr>
  <dimension ref="A1:U105"/>
  <sheetViews>
    <sheetView showGridLines="0" zoomScale="85" zoomScaleNormal="85" workbookViewId="0">
      <pane xSplit="1" ySplit="2" topLeftCell="B25" activePane="bottomRight" state="frozen"/>
      <selection pane="topRight" activeCell="B1" sqref="B1"/>
      <selection pane="bottomLeft" activeCell="A3" sqref="A3"/>
      <selection pane="bottomRight" activeCell="D1" sqref="B1:D1048576"/>
    </sheetView>
  </sheetViews>
  <sheetFormatPr defaultRowHeight="14.4"/>
  <cols>
    <col min="1" max="1" width="35.41796875" bestFit="1" customWidth="1"/>
    <col min="2" max="5" width="17.26171875" bestFit="1" customWidth="1"/>
    <col min="6" max="6" width="17.68359375" bestFit="1" customWidth="1"/>
    <col min="7" max="7" width="24.41796875" bestFit="1" customWidth="1"/>
    <col min="8" max="9" width="16.68359375" bestFit="1" customWidth="1"/>
    <col min="10" max="10" width="20.578125" bestFit="1" customWidth="1"/>
    <col min="11" max="11" width="17.26171875" bestFit="1" customWidth="1"/>
    <col min="12" max="12" width="16.68359375" bestFit="1" customWidth="1"/>
    <col min="13" max="13" width="17.68359375" bestFit="1" customWidth="1"/>
    <col min="14" max="14" width="17.26171875" bestFit="1" customWidth="1"/>
    <col min="15" max="15" width="23.41796875" bestFit="1" customWidth="1"/>
    <col min="16" max="16" width="19.68359375" bestFit="1" customWidth="1"/>
    <col min="17" max="17" width="11.26171875" bestFit="1" customWidth="1"/>
    <col min="18" max="21" width="12.578125" bestFit="1" customWidth="1"/>
  </cols>
  <sheetData>
    <row r="1" spans="1:21" s="25" customFormat="1" ht="18.3" customHeight="1">
      <c r="A1" s="521" t="s">
        <v>136</v>
      </c>
      <c r="B1" s="499">
        <v>45657</v>
      </c>
      <c r="C1" s="500">
        <v>45747</v>
      </c>
      <c r="D1" s="501">
        <v>45838</v>
      </c>
      <c r="E1" s="501">
        <v>45930</v>
      </c>
      <c r="F1" s="502">
        <v>46022</v>
      </c>
      <c r="G1" s="500">
        <v>46112</v>
      </c>
      <c r="H1" s="501">
        <v>46203</v>
      </c>
      <c r="I1" s="501">
        <v>46295</v>
      </c>
      <c r="J1" s="502">
        <v>46387</v>
      </c>
      <c r="K1" s="503">
        <v>46752</v>
      </c>
      <c r="L1" s="503">
        <v>47118</v>
      </c>
      <c r="M1" s="503">
        <v>47483</v>
      </c>
      <c r="N1" s="503">
        <v>47848</v>
      </c>
      <c r="O1" s="122"/>
    </row>
    <row r="2" spans="1:21" ht="15.6" customHeight="1">
      <c r="A2" s="522" t="s">
        <v>710</v>
      </c>
      <c r="B2" s="329" t="s">
        <v>2</v>
      </c>
      <c r="C2" s="328" t="s">
        <v>3</v>
      </c>
      <c r="D2" s="329" t="s">
        <v>4</v>
      </c>
      <c r="E2" s="329" t="s">
        <v>5</v>
      </c>
      <c r="F2" s="331" t="s">
        <v>2</v>
      </c>
      <c r="G2" s="328" t="s">
        <v>3</v>
      </c>
      <c r="H2" s="329" t="s">
        <v>4</v>
      </c>
      <c r="I2" s="329" t="s">
        <v>5</v>
      </c>
      <c r="J2" s="331" t="s">
        <v>2</v>
      </c>
      <c r="K2" s="380" t="s">
        <v>2</v>
      </c>
      <c r="L2" s="380" t="s">
        <v>2</v>
      </c>
      <c r="M2" s="380" t="s">
        <v>2</v>
      </c>
      <c r="N2" s="380" t="s">
        <v>2</v>
      </c>
      <c r="O2" s="1"/>
    </row>
    <row r="3" spans="1:21" ht="15.6" customHeight="1">
      <c r="A3" s="506"/>
      <c r="B3" s="217"/>
      <c r="C3" s="507"/>
      <c r="D3" s="217"/>
      <c r="E3" s="217"/>
      <c r="F3" s="508"/>
      <c r="G3" s="507"/>
      <c r="H3" s="217"/>
      <c r="I3" s="217"/>
      <c r="J3" s="508"/>
      <c r="K3" s="509"/>
      <c r="L3" s="509"/>
      <c r="M3" s="509"/>
      <c r="N3" s="509"/>
      <c r="O3" s="1"/>
    </row>
    <row r="4" spans="1:21">
      <c r="A4" s="162" t="s">
        <v>668</v>
      </c>
      <c r="B4" s="1"/>
      <c r="C4" s="58"/>
      <c r="D4" s="36"/>
      <c r="E4" s="36"/>
      <c r="F4" s="59"/>
      <c r="G4" s="47"/>
      <c r="H4" s="1"/>
      <c r="I4" s="1"/>
      <c r="J4" s="50"/>
      <c r="K4" s="319"/>
      <c r="L4" s="319"/>
      <c r="M4" s="319"/>
      <c r="N4" s="319"/>
      <c r="O4" s="1"/>
    </row>
    <row r="5" spans="1:21" ht="14.7" customHeight="1" thickBot="1">
      <c r="A5" s="896" t="s">
        <v>8</v>
      </c>
      <c r="B5" s="427">
        <v>0</v>
      </c>
      <c r="C5" s="478">
        <v>0</v>
      </c>
      <c r="D5" s="479">
        <v>0</v>
      </c>
      <c r="E5" s="479">
        <v>0</v>
      </c>
      <c r="F5" s="480">
        <v>0</v>
      </c>
      <c r="G5" s="428">
        <v>0</v>
      </c>
      <c r="H5" s="427"/>
      <c r="I5" s="427"/>
      <c r="J5" s="429"/>
      <c r="K5" s="447">
        <v>0</v>
      </c>
      <c r="L5" s="447">
        <v>3348930</v>
      </c>
      <c r="M5" s="447">
        <v>7372674.5376320239</v>
      </c>
      <c r="N5" s="447">
        <v>8142574</v>
      </c>
      <c r="O5" s="1" t="s">
        <v>711</v>
      </c>
      <c r="P5" s="5"/>
      <c r="Q5" s="156"/>
    </row>
    <row r="6" spans="1:21" ht="14.7" customHeight="1" thickBot="1">
      <c r="A6" s="13" t="s">
        <v>11</v>
      </c>
      <c r="B6" s="427"/>
      <c r="C6" s="478"/>
      <c r="D6" s="479"/>
      <c r="E6" s="479"/>
      <c r="F6" s="480"/>
      <c r="G6" s="428"/>
      <c r="H6" s="427"/>
      <c r="I6" s="427"/>
      <c r="J6" s="429"/>
      <c r="K6" s="447">
        <f>-K54*$P$6*(Q37-DATE(YEAR(K1),12,31))/365</f>
        <v>-2722191.7808219176</v>
      </c>
      <c r="L6" s="447">
        <f>+L54*$P$6</f>
        <v>-5400000</v>
      </c>
      <c r="M6" s="447">
        <f>+M54*$P$6</f>
        <v>-5400000</v>
      </c>
      <c r="N6" s="447">
        <f>+N54*$P$6</f>
        <v>-5400000</v>
      </c>
      <c r="O6" s="1" t="s">
        <v>712</v>
      </c>
      <c r="P6" s="625">
        <v>0.09</v>
      </c>
      <c r="Q6" s="157"/>
    </row>
    <row r="7" spans="1:21">
      <c r="A7" s="65" t="s">
        <v>12</v>
      </c>
      <c r="B7" s="427"/>
      <c r="C7" s="478"/>
      <c r="D7" s="479"/>
      <c r="E7" s="479"/>
      <c r="F7" s="480"/>
      <c r="G7" s="428"/>
      <c r="H7" s="427"/>
      <c r="I7" s="427"/>
      <c r="J7" s="429"/>
      <c r="K7" s="447"/>
      <c r="L7" s="447"/>
      <c r="M7" s="447"/>
      <c r="N7" s="447"/>
      <c r="O7" s="1"/>
      <c r="P7" s="5"/>
      <c r="Q7" s="158"/>
    </row>
    <row r="8" spans="1:21">
      <c r="A8" s="65" t="s">
        <v>13</v>
      </c>
      <c r="B8" s="46">
        <f t="shared" ref="B8:N8" si="0">SUM(B5:B7)</f>
        <v>0</v>
      </c>
      <c r="C8" s="168">
        <f t="shared" si="0"/>
        <v>0</v>
      </c>
      <c r="D8" s="169">
        <f t="shared" si="0"/>
        <v>0</v>
      </c>
      <c r="E8" s="169">
        <f t="shared" si="0"/>
        <v>0</v>
      </c>
      <c r="F8" s="170">
        <f t="shared" si="0"/>
        <v>0</v>
      </c>
      <c r="G8" s="63">
        <f t="shared" si="0"/>
        <v>0</v>
      </c>
      <c r="H8" s="46">
        <f t="shared" si="0"/>
        <v>0</v>
      </c>
      <c r="I8" s="46">
        <f t="shared" si="0"/>
        <v>0</v>
      </c>
      <c r="J8" s="64">
        <f t="shared" si="0"/>
        <v>0</v>
      </c>
      <c r="K8" s="374">
        <f t="shared" si="0"/>
        <v>-2722191.7808219176</v>
      </c>
      <c r="L8" s="374">
        <f t="shared" si="0"/>
        <v>-2051070</v>
      </c>
      <c r="M8" s="374">
        <f t="shared" si="0"/>
        <v>1972674.5376320239</v>
      </c>
      <c r="N8" s="374">
        <f t="shared" si="0"/>
        <v>2742574</v>
      </c>
      <c r="O8" s="1"/>
      <c r="P8" s="33"/>
      <c r="Q8" s="33"/>
      <c r="R8" s="33"/>
      <c r="S8" s="33"/>
    </row>
    <row r="9" spans="1:21">
      <c r="A9" s="65" t="s">
        <v>14</v>
      </c>
      <c r="B9" s="427"/>
      <c r="C9" s="478"/>
      <c r="D9" s="479"/>
      <c r="E9" s="479"/>
      <c r="F9" s="480"/>
      <c r="G9" s="428"/>
      <c r="H9" s="427">
        <v>0</v>
      </c>
      <c r="I9" s="427">
        <v>0</v>
      </c>
      <c r="J9" s="429"/>
      <c r="K9" s="447"/>
      <c r="L9" s="447"/>
      <c r="M9" s="447">
        <f>-M8</f>
        <v>-1972674.5376320239</v>
      </c>
      <c r="N9" s="447">
        <f>-N8</f>
        <v>-2742574</v>
      </c>
      <c r="O9" s="1"/>
    </row>
    <row r="10" spans="1:21">
      <c r="A10" s="65" t="s">
        <v>15</v>
      </c>
      <c r="B10" s="1">
        <f t="shared" ref="B10:N10" si="1">SUM(B8:B9)</f>
        <v>0</v>
      </c>
      <c r="C10" s="58">
        <f t="shared" si="1"/>
        <v>0</v>
      </c>
      <c r="D10" s="36">
        <f t="shared" si="1"/>
        <v>0</v>
      </c>
      <c r="E10" s="36">
        <f t="shared" si="1"/>
        <v>0</v>
      </c>
      <c r="F10" s="59">
        <f t="shared" si="1"/>
        <v>0</v>
      </c>
      <c r="G10" s="47">
        <f t="shared" si="1"/>
        <v>0</v>
      </c>
      <c r="H10" s="1">
        <f t="shared" si="1"/>
        <v>0</v>
      </c>
      <c r="I10" s="1">
        <f t="shared" si="1"/>
        <v>0</v>
      </c>
      <c r="J10" s="50">
        <f t="shared" si="1"/>
        <v>0</v>
      </c>
      <c r="K10" s="319">
        <f t="shared" si="1"/>
        <v>-2722191.7808219176</v>
      </c>
      <c r="L10" s="319">
        <f t="shared" si="1"/>
        <v>-2051070</v>
      </c>
      <c r="M10" s="319">
        <f t="shared" si="1"/>
        <v>0</v>
      </c>
      <c r="N10" s="319">
        <f t="shared" si="1"/>
        <v>0</v>
      </c>
      <c r="O10" s="1"/>
      <c r="P10" s="1"/>
      <c r="Q10" s="1"/>
      <c r="R10" s="1"/>
      <c r="S10" s="1"/>
      <c r="T10" s="1"/>
      <c r="U10" s="54"/>
    </row>
    <row r="11" spans="1:21">
      <c r="A11" s="65" t="s">
        <v>16</v>
      </c>
      <c r="B11" s="84" t="e">
        <f>+#REF!+B10</f>
        <v>#REF!</v>
      </c>
      <c r="C11" s="171" t="e">
        <f t="shared" ref="C11:N11" si="2">+B11+C10</f>
        <v>#REF!</v>
      </c>
      <c r="D11" s="172" t="e">
        <f t="shared" si="2"/>
        <v>#REF!</v>
      </c>
      <c r="E11" s="172" t="e">
        <f t="shared" si="2"/>
        <v>#REF!</v>
      </c>
      <c r="F11" s="173" t="e">
        <f t="shared" si="2"/>
        <v>#REF!</v>
      </c>
      <c r="G11" s="119" t="e">
        <f t="shared" si="2"/>
        <v>#REF!</v>
      </c>
      <c r="H11" s="84" t="e">
        <f t="shared" si="2"/>
        <v>#REF!</v>
      </c>
      <c r="I11" s="84" t="e">
        <f t="shared" si="2"/>
        <v>#REF!</v>
      </c>
      <c r="J11" s="120" t="e">
        <f t="shared" si="2"/>
        <v>#REF!</v>
      </c>
      <c r="K11" s="376" t="e">
        <f t="shared" si="2"/>
        <v>#REF!</v>
      </c>
      <c r="L11" s="376" t="e">
        <f t="shared" si="2"/>
        <v>#REF!</v>
      </c>
      <c r="M11" s="376" t="e">
        <f t="shared" si="2"/>
        <v>#REF!</v>
      </c>
      <c r="N11" s="376" t="e">
        <f t="shared" si="2"/>
        <v>#REF!</v>
      </c>
      <c r="O11" s="1"/>
      <c r="P11" s="1"/>
      <c r="Q11" s="1"/>
      <c r="R11" s="1"/>
      <c r="S11" s="1"/>
      <c r="T11" s="1"/>
      <c r="U11" s="1"/>
    </row>
    <row r="12" spans="1:21" s="5" customFormat="1">
      <c r="A12" s="95"/>
      <c r="B12" s="46"/>
      <c r="C12" s="36"/>
      <c r="D12" s="36"/>
      <c r="E12" s="36"/>
      <c r="F12" s="169"/>
      <c r="G12" s="1"/>
      <c r="H12" s="1"/>
      <c r="I12" s="1"/>
      <c r="J12" s="46"/>
      <c r="K12" s="46"/>
      <c r="L12" s="46"/>
      <c r="M12" s="46"/>
      <c r="N12" s="46"/>
      <c r="O12" s="1"/>
      <c r="P12" s="1"/>
      <c r="Q12" s="1"/>
      <c r="R12" s="1"/>
      <c r="S12" s="1"/>
      <c r="T12" s="1"/>
      <c r="U12" s="1"/>
    </row>
    <row r="13" spans="1:21">
      <c r="A13" s="10" t="s">
        <v>17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21" ht="14.7" customHeight="1" thickBot="1">
      <c r="A14" s="5" t="s">
        <v>18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21">
      <c r="A15" s="56" t="s">
        <v>713</v>
      </c>
      <c r="B15" s="697">
        <f t="shared" ref="B15:N15" si="3">+B9*-B61</f>
        <v>0</v>
      </c>
      <c r="C15" s="698">
        <f t="shared" si="3"/>
        <v>0</v>
      </c>
      <c r="D15" s="697">
        <f t="shared" si="3"/>
        <v>0</v>
      </c>
      <c r="E15" s="697">
        <f t="shared" si="3"/>
        <v>0</v>
      </c>
      <c r="F15" s="699">
        <f t="shared" si="3"/>
        <v>0</v>
      </c>
      <c r="G15" s="698">
        <f t="shared" si="3"/>
        <v>0</v>
      </c>
      <c r="H15" s="697">
        <f t="shared" si="3"/>
        <v>0</v>
      </c>
      <c r="I15" s="697">
        <f t="shared" si="3"/>
        <v>0</v>
      </c>
      <c r="J15" s="699">
        <f t="shared" si="3"/>
        <v>0</v>
      </c>
      <c r="K15" s="700">
        <f t="shared" si="3"/>
        <v>0</v>
      </c>
      <c r="L15" s="700">
        <f t="shared" si="3"/>
        <v>0</v>
      </c>
      <c r="M15" s="700">
        <f t="shared" si="3"/>
        <v>986337.26881601196</v>
      </c>
      <c r="N15" s="700">
        <f t="shared" si="3"/>
        <v>1371287</v>
      </c>
      <c r="O15" s="1"/>
    </row>
    <row r="16" spans="1:21">
      <c r="A16" s="56" t="s">
        <v>10</v>
      </c>
      <c r="B16" s="427"/>
      <c r="C16" s="428"/>
      <c r="D16" s="427"/>
      <c r="E16" s="427"/>
      <c r="F16" s="429"/>
      <c r="G16" s="428"/>
      <c r="H16" s="427"/>
      <c r="I16" s="427"/>
      <c r="J16" s="429"/>
      <c r="K16" s="647"/>
      <c r="L16" s="447"/>
      <c r="M16" s="447"/>
      <c r="N16" s="447"/>
      <c r="O16" s="1"/>
    </row>
    <row r="17" spans="1:16">
      <c r="A17" s="56" t="s">
        <v>714</v>
      </c>
      <c r="B17" s="427"/>
      <c r="C17" s="428"/>
      <c r="D17" s="427"/>
      <c r="E17" s="427"/>
      <c r="F17" s="429"/>
      <c r="G17" s="428"/>
      <c r="H17" s="427"/>
      <c r="I17" s="427"/>
      <c r="J17" s="429"/>
      <c r="K17" s="447">
        <f>+-K56*K61</f>
        <v>24375000</v>
      </c>
      <c r="L17" s="447"/>
      <c r="M17" s="447"/>
      <c r="N17" s="447">
        <f>+-N56*N61</f>
        <v>0</v>
      </c>
      <c r="O17" s="1"/>
    </row>
    <row r="18" spans="1:16">
      <c r="A18" s="56" t="s">
        <v>715</v>
      </c>
      <c r="B18" s="427"/>
      <c r="C18" s="428"/>
      <c r="D18" s="427"/>
      <c r="E18" s="427"/>
      <c r="F18" s="429"/>
      <c r="G18" s="428"/>
      <c r="H18" s="494">
        <v>350000</v>
      </c>
      <c r="I18" s="427"/>
      <c r="J18" s="429"/>
      <c r="K18" s="447"/>
      <c r="L18" s="447"/>
      <c r="M18" s="447"/>
      <c r="N18" s="447"/>
      <c r="O18" s="1"/>
    </row>
    <row r="19" spans="1:16">
      <c r="A19" s="988" t="s">
        <v>716</v>
      </c>
      <c r="B19" s="427">
        <v>0</v>
      </c>
      <c r="C19" s="428"/>
      <c r="D19" s="427"/>
      <c r="E19" s="427">
        <v>0</v>
      </c>
      <c r="F19" s="495">
        <v>350000</v>
      </c>
      <c r="G19" s="428">
        <v>0</v>
      </c>
      <c r="H19" s="985">
        <v>0</v>
      </c>
      <c r="I19" s="985">
        <v>0</v>
      </c>
      <c r="J19" s="986">
        <v>0</v>
      </c>
      <c r="K19" s="987">
        <v>0</v>
      </c>
      <c r="L19" s="987">
        <v>0</v>
      </c>
      <c r="M19" s="987">
        <v>0</v>
      </c>
      <c r="N19" s="987">
        <v>0</v>
      </c>
      <c r="O19" s="897"/>
    </row>
    <row r="20" spans="1:16">
      <c r="A20" s="145" t="s">
        <v>23</v>
      </c>
      <c r="B20" s="46">
        <f t="shared" ref="B20:N20" si="4">SUM(B15:B19)</f>
        <v>0</v>
      </c>
      <c r="C20" s="63">
        <f t="shared" si="4"/>
        <v>0</v>
      </c>
      <c r="D20" s="46">
        <f t="shared" si="4"/>
        <v>0</v>
      </c>
      <c r="E20" s="46">
        <f t="shared" si="4"/>
        <v>0</v>
      </c>
      <c r="F20" s="64">
        <f t="shared" si="4"/>
        <v>350000</v>
      </c>
      <c r="G20" s="63">
        <f t="shared" si="4"/>
        <v>0</v>
      </c>
      <c r="H20" s="46">
        <f t="shared" si="4"/>
        <v>350000</v>
      </c>
      <c r="I20" s="1016">
        <f t="shared" si="4"/>
        <v>0</v>
      </c>
      <c r="J20" s="1018">
        <f t="shared" si="4"/>
        <v>0</v>
      </c>
      <c r="K20" s="1017">
        <f t="shared" si="4"/>
        <v>24375000</v>
      </c>
      <c r="L20" s="1017">
        <f t="shared" si="4"/>
        <v>0</v>
      </c>
      <c r="M20" s="1017">
        <f t="shared" si="4"/>
        <v>986337.26881601196</v>
      </c>
      <c r="N20" s="1017">
        <f t="shared" si="4"/>
        <v>1371287</v>
      </c>
      <c r="O20" s="897"/>
    </row>
    <row r="21" spans="1:16">
      <c r="A21" s="134"/>
      <c r="B21" s="6"/>
      <c r="C21" s="51"/>
      <c r="D21" s="6"/>
      <c r="E21" s="6"/>
      <c r="F21" s="52"/>
      <c r="G21" s="51"/>
      <c r="H21" s="6"/>
      <c r="I21" s="6"/>
      <c r="J21" s="52"/>
      <c r="K21" s="322"/>
      <c r="L21" s="322"/>
      <c r="M21" s="322"/>
      <c r="N21" s="322"/>
      <c r="O21" s="6"/>
    </row>
    <row r="22" spans="1:16">
      <c r="A22" s="134" t="s">
        <v>24</v>
      </c>
      <c r="B22" s="1"/>
      <c r="C22" s="47"/>
      <c r="D22" s="1"/>
      <c r="E22" s="1"/>
      <c r="F22" s="50"/>
      <c r="G22" s="47"/>
      <c r="H22" s="1"/>
      <c r="I22" s="1"/>
      <c r="J22" s="50"/>
      <c r="K22" s="319"/>
      <c r="L22" s="319"/>
      <c r="M22" s="319"/>
      <c r="N22" s="319"/>
      <c r="O22" s="1"/>
    </row>
    <row r="23" spans="1:16">
      <c r="A23" t="s">
        <v>717</v>
      </c>
      <c r="B23" s="427"/>
      <c r="C23" s="428"/>
      <c r="D23" s="427"/>
      <c r="E23" s="427"/>
      <c r="F23" s="429">
        <v>0</v>
      </c>
      <c r="G23" s="428"/>
      <c r="H23" s="427"/>
      <c r="I23" s="427"/>
      <c r="J23" s="429"/>
      <c r="K23" s="447"/>
      <c r="L23" s="447"/>
      <c r="M23" s="447"/>
      <c r="N23" s="447"/>
      <c r="O23" s="1"/>
    </row>
    <row r="24" spans="1:16">
      <c r="A24" t="s">
        <v>718</v>
      </c>
      <c r="B24" s="427"/>
      <c r="C24" s="428"/>
      <c r="D24" s="427"/>
      <c r="E24" s="427"/>
      <c r="F24" s="429"/>
      <c r="G24" s="428"/>
      <c r="H24" s="427"/>
      <c r="I24" s="427"/>
      <c r="J24" s="429"/>
      <c r="K24" s="447">
        <f>+K8*0.5</f>
        <v>-1361095.8904109588</v>
      </c>
      <c r="L24" s="447"/>
      <c r="M24" s="447"/>
      <c r="N24" s="447"/>
      <c r="O24" s="1"/>
    </row>
    <row r="25" spans="1:16">
      <c r="A25" t="s">
        <v>719</v>
      </c>
      <c r="B25" s="427">
        <v>0</v>
      </c>
      <c r="C25" s="493">
        <v>-382967</v>
      </c>
      <c r="D25" s="494">
        <v>-2326328</v>
      </c>
      <c r="E25" s="494">
        <v>-3292886</v>
      </c>
      <c r="F25" s="495">
        <v>-4878986</v>
      </c>
      <c r="G25" s="428"/>
      <c r="H25" s="427">
        <v>0</v>
      </c>
      <c r="I25" s="427">
        <v>0</v>
      </c>
      <c r="J25" s="429">
        <v>0</v>
      </c>
      <c r="K25" s="447">
        <v>0</v>
      </c>
      <c r="L25" s="447">
        <v>0</v>
      </c>
      <c r="M25" s="447">
        <v>0</v>
      </c>
      <c r="N25" s="447">
        <v>0</v>
      </c>
      <c r="O25" s="1"/>
    </row>
    <row r="26" spans="1:16">
      <c r="A26" t="s">
        <v>720</v>
      </c>
      <c r="B26" s="427"/>
      <c r="C26" s="428"/>
      <c r="D26" s="427"/>
      <c r="E26" s="427"/>
      <c r="F26" s="495">
        <v>-227636</v>
      </c>
      <c r="G26" s="493">
        <v>-420000</v>
      </c>
      <c r="H26" s="494">
        <v>-200000</v>
      </c>
      <c r="I26" s="494">
        <v>-150000</v>
      </c>
      <c r="J26" s="495">
        <v>-550000</v>
      </c>
      <c r="K26" s="447"/>
      <c r="L26" s="447"/>
      <c r="M26" s="447"/>
      <c r="N26" s="447"/>
      <c r="O26" s="1"/>
    </row>
    <row r="27" spans="1:16" ht="14.7" customHeight="1" thickBot="1">
      <c r="A27" s="23" t="s">
        <v>23</v>
      </c>
      <c r="B27" s="142">
        <f t="shared" ref="B27:N27" si="5">SUM(B23:B26)</f>
        <v>0</v>
      </c>
      <c r="C27" s="141">
        <f t="shared" si="5"/>
        <v>-382967</v>
      </c>
      <c r="D27" s="140">
        <f t="shared" si="5"/>
        <v>-2326328</v>
      </c>
      <c r="E27" s="140">
        <f t="shared" si="5"/>
        <v>-3292886</v>
      </c>
      <c r="F27" s="142">
        <f t="shared" si="5"/>
        <v>-5106622</v>
      </c>
      <c r="G27" s="141">
        <f t="shared" si="5"/>
        <v>-420000</v>
      </c>
      <c r="H27" s="140">
        <f t="shared" si="5"/>
        <v>-200000</v>
      </c>
      <c r="I27" s="140">
        <f t="shared" si="5"/>
        <v>-150000</v>
      </c>
      <c r="J27" s="142">
        <f t="shared" si="5"/>
        <v>-550000</v>
      </c>
      <c r="K27" s="377">
        <f t="shared" si="5"/>
        <v>-1361095.8904109588</v>
      </c>
      <c r="L27" s="377">
        <f t="shared" si="5"/>
        <v>0</v>
      </c>
      <c r="M27" s="377">
        <f t="shared" si="5"/>
        <v>0</v>
      </c>
      <c r="N27" s="377">
        <f t="shared" si="5"/>
        <v>0</v>
      </c>
      <c r="O27" s="1"/>
    </row>
    <row r="28" spans="1:16">
      <c r="A28" s="23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1"/>
    </row>
    <row r="29" spans="1:16">
      <c r="A29" s="23" t="s">
        <v>32</v>
      </c>
      <c r="B29" s="146">
        <f t="shared" ref="B29:N29" si="6">+B20+B27</f>
        <v>0</v>
      </c>
      <c r="C29" s="146">
        <f t="shared" si="6"/>
        <v>-382967</v>
      </c>
      <c r="D29" s="146">
        <f t="shared" si="6"/>
        <v>-2326328</v>
      </c>
      <c r="E29" s="146">
        <f t="shared" si="6"/>
        <v>-3292886</v>
      </c>
      <c r="F29" s="146">
        <f t="shared" si="6"/>
        <v>-4756622</v>
      </c>
      <c r="G29" s="146">
        <f t="shared" si="6"/>
        <v>-420000</v>
      </c>
      <c r="H29" s="146">
        <f t="shared" si="6"/>
        <v>150000</v>
      </c>
      <c r="I29" s="146">
        <f t="shared" si="6"/>
        <v>-150000</v>
      </c>
      <c r="J29" s="146">
        <f t="shared" si="6"/>
        <v>-550000</v>
      </c>
      <c r="K29" s="146">
        <f t="shared" si="6"/>
        <v>23013904.10958904</v>
      </c>
      <c r="L29" s="146">
        <f t="shared" si="6"/>
        <v>0</v>
      </c>
      <c r="M29" s="146">
        <f t="shared" si="6"/>
        <v>986337.26881601196</v>
      </c>
      <c r="N29" s="146">
        <f t="shared" si="6"/>
        <v>1371287</v>
      </c>
      <c r="O29" s="1"/>
    </row>
    <row r="30" spans="1:16">
      <c r="A30" s="23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1"/>
    </row>
    <row r="31" spans="1:16">
      <c r="A31" s="18" t="s">
        <v>33</v>
      </c>
      <c r="B31" s="427">
        <v>0</v>
      </c>
      <c r="C31" s="1458">
        <v>250000</v>
      </c>
      <c r="D31" s="1458">
        <v>250000</v>
      </c>
      <c r="E31" s="1458">
        <v>250000</v>
      </c>
      <c r="F31" s="1458">
        <v>250000</v>
      </c>
      <c r="G31" s="1458">
        <v>250000</v>
      </c>
      <c r="H31" s="1458">
        <v>250000</v>
      </c>
      <c r="I31" s="1458">
        <v>250000</v>
      </c>
      <c r="J31" s="1458">
        <v>250000</v>
      </c>
      <c r="K31" s="1458">
        <v>1000000</v>
      </c>
      <c r="L31" s="1458">
        <v>1000000</v>
      </c>
      <c r="M31" s="1458">
        <v>1000000</v>
      </c>
      <c r="N31" s="1458">
        <v>1000000</v>
      </c>
      <c r="O31" s="1"/>
      <c r="P31" s="825"/>
    </row>
    <row r="32" spans="1:16">
      <c r="A32" s="18" t="s">
        <v>34</v>
      </c>
      <c r="B32" s="427"/>
      <c r="C32" s="1458"/>
      <c r="D32" s="1458"/>
      <c r="E32" s="1458"/>
      <c r="F32" s="1458"/>
      <c r="G32" s="1458"/>
      <c r="H32" s="1458"/>
      <c r="I32" s="1458"/>
      <c r="J32" s="1458"/>
      <c r="K32" s="1458">
        <v>-2300000</v>
      </c>
      <c r="L32" s="1458"/>
      <c r="M32" s="1458"/>
      <c r="N32" s="1458"/>
      <c r="O32" s="1"/>
      <c r="P32" s="825"/>
    </row>
    <row r="33" spans="1:21">
      <c r="A33" s="18" t="s">
        <v>35</v>
      </c>
      <c r="B33" s="1"/>
      <c r="C33" s="6">
        <f t="shared" ref="C33:N33" si="7">B33+C31+C32</f>
        <v>250000</v>
      </c>
      <c r="D33" s="8">
        <f t="shared" si="7"/>
        <v>500000</v>
      </c>
      <c r="E33" s="8">
        <f t="shared" si="7"/>
        <v>750000</v>
      </c>
      <c r="F33" s="8">
        <f t="shared" si="7"/>
        <v>1000000</v>
      </c>
      <c r="G33" s="8">
        <f t="shared" si="7"/>
        <v>1250000</v>
      </c>
      <c r="H33" s="8">
        <f t="shared" si="7"/>
        <v>1500000</v>
      </c>
      <c r="I33" s="8">
        <f t="shared" si="7"/>
        <v>1750000</v>
      </c>
      <c r="J33" s="8">
        <f t="shared" si="7"/>
        <v>2000000</v>
      </c>
      <c r="K33" s="8">
        <f t="shared" si="7"/>
        <v>700000</v>
      </c>
      <c r="L33" s="8">
        <f t="shared" si="7"/>
        <v>1700000</v>
      </c>
      <c r="M33" s="8">
        <f t="shared" si="7"/>
        <v>2700000</v>
      </c>
      <c r="N33" s="8">
        <f t="shared" si="7"/>
        <v>3700000</v>
      </c>
      <c r="O33" s="1473"/>
      <c r="P33" s="1473"/>
      <c r="Q33" s="1473"/>
      <c r="R33" s="1473"/>
      <c r="S33" s="1473"/>
      <c r="T33" s="1473"/>
    </row>
    <row r="34" spans="1:21">
      <c r="A34" s="23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1"/>
    </row>
    <row r="35" spans="1:21" ht="14.7" customHeight="1" thickBot="1">
      <c r="A35" s="162" t="s">
        <v>36</v>
      </c>
      <c r="B35" s="125"/>
      <c r="C35" s="36"/>
      <c r="D35" s="195"/>
      <c r="E35" s="195"/>
      <c r="F35" s="379"/>
      <c r="G35" s="43"/>
      <c r="H35" s="1"/>
      <c r="I35" s="1"/>
      <c r="J35" s="1"/>
      <c r="K35" s="125"/>
      <c r="L35" s="684">
        <f>+L5/L36</f>
        <v>2.9159164127122335E-2</v>
      </c>
      <c r="M35" s="684">
        <f>+M5/M36</f>
        <v>6.2960499894381072E-2</v>
      </c>
      <c r="N35" s="684">
        <f>+N5/N36</f>
        <v>6.7509920157860268E-2</v>
      </c>
      <c r="O35" s="1" t="s">
        <v>721</v>
      </c>
      <c r="P35" s="1"/>
      <c r="Q35" s="1"/>
      <c r="R35" s="1"/>
      <c r="S35" s="1"/>
      <c r="T35" s="1"/>
      <c r="U35" s="1"/>
    </row>
    <row r="36" spans="1:21" ht="14.7" customHeight="1" thickBot="1">
      <c r="A36" s="981" t="s">
        <v>677</v>
      </c>
      <c r="B36" s="452">
        <v>95600000</v>
      </c>
      <c r="C36" s="456">
        <v>95600000</v>
      </c>
      <c r="D36" s="452">
        <v>95600000</v>
      </c>
      <c r="E36" s="452">
        <v>95600000</v>
      </c>
      <c r="F36" s="457">
        <v>95600000</v>
      </c>
      <c r="G36" s="452">
        <v>95600000</v>
      </c>
      <c r="H36" s="452">
        <v>95600000</v>
      </c>
      <c r="I36" s="452">
        <v>95600000</v>
      </c>
      <c r="J36" s="474">
        <v>108100000</v>
      </c>
      <c r="K36" s="458">
        <f>AVERAGE(J36,M36)</f>
        <v>112600000</v>
      </c>
      <c r="L36" s="457">
        <f>+AVERAGE(M36,K36)</f>
        <v>114850000</v>
      </c>
      <c r="M36" s="475">
        <v>117100000</v>
      </c>
      <c r="N36" s="457">
        <f>+M36*1.03</f>
        <v>120613000</v>
      </c>
      <c r="P36" s="1" t="s">
        <v>45</v>
      </c>
      <c r="Q36" s="485">
        <v>0.03</v>
      </c>
      <c r="R36" s="1"/>
      <c r="S36" s="1"/>
      <c r="T36" s="1"/>
      <c r="U36" s="1"/>
    </row>
    <row r="37" spans="1:21" ht="14.7" customHeight="1" thickBot="1">
      <c r="A37" s="981" t="s">
        <v>722</v>
      </c>
      <c r="B37" s="445"/>
      <c r="C37" s="428">
        <v>0</v>
      </c>
      <c r="D37" s="427">
        <v>0</v>
      </c>
      <c r="E37" s="427">
        <v>0</v>
      </c>
      <c r="F37" s="429">
        <v>0</v>
      </c>
      <c r="G37" s="427">
        <v>0</v>
      </c>
      <c r="H37" s="427">
        <v>0</v>
      </c>
      <c r="I37" s="427">
        <v>0</v>
      </c>
      <c r="J37" s="427">
        <v>0</v>
      </c>
      <c r="K37" s="447">
        <v>0</v>
      </c>
      <c r="L37" s="429">
        <v>0</v>
      </c>
      <c r="M37" s="429">
        <v>0</v>
      </c>
      <c r="N37" s="429">
        <v>0</v>
      </c>
      <c r="O37" s="1"/>
      <c r="P37" s="1" t="s">
        <v>723</v>
      </c>
      <c r="Q37" s="510">
        <v>46568</v>
      </c>
      <c r="R37" s="1"/>
      <c r="S37" s="1"/>
      <c r="T37" s="1"/>
      <c r="U37" s="1"/>
    </row>
    <row r="38" spans="1:21">
      <c r="A38" s="981" t="s">
        <v>724</v>
      </c>
      <c r="B38" s="445"/>
      <c r="C38" s="428">
        <v>0</v>
      </c>
      <c r="D38" s="427">
        <v>0</v>
      </c>
      <c r="E38" s="427">
        <v>0</v>
      </c>
      <c r="F38" s="429">
        <v>0</v>
      </c>
      <c r="G38" s="427">
        <v>0</v>
      </c>
      <c r="H38" s="427">
        <v>0</v>
      </c>
      <c r="I38" s="427">
        <v>0</v>
      </c>
      <c r="J38" s="427">
        <v>0</v>
      </c>
      <c r="K38" s="447">
        <v>0</v>
      </c>
      <c r="L38" s="429">
        <v>0</v>
      </c>
      <c r="M38" s="429">
        <v>0</v>
      </c>
      <c r="N38" s="429">
        <v>0</v>
      </c>
      <c r="O38" s="1"/>
      <c r="P38" s="1"/>
      <c r="Q38" s="1"/>
      <c r="R38" s="1"/>
      <c r="S38" s="1"/>
      <c r="T38" s="1"/>
      <c r="U38" s="1"/>
    </row>
    <row r="39" spans="1:21">
      <c r="A39" s="981" t="s">
        <v>725</v>
      </c>
      <c r="B39" s="445"/>
      <c r="C39" s="428">
        <v>0</v>
      </c>
      <c r="D39" s="427">
        <v>0</v>
      </c>
      <c r="E39" s="427">
        <v>0</v>
      </c>
      <c r="F39" s="429">
        <v>0</v>
      </c>
      <c r="G39" s="427">
        <v>0</v>
      </c>
      <c r="H39" s="427">
        <v>0</v>
      </c>
      <c r="I39" s="427">
        <v>0</v>
      </c>
      <c r="J39" s="427">
        <v>0</v>
      </c>
      <c r="K39" s="447">
        <v>0</v>
      </c>
      <c r="L39" s="429">
        <v>0</v>
      </c>
      <c r="M39" s="429">
        <v>0</v>
      </c>
      <c r="N39" s="429">
        <v>0</v>
      </c>
      <c r="O39" s="1"/>
      <c r="P39" s="1"/>
      <c r="Q39" s="1"/>
      <c r="R39" s="1"/>
      <c r="S39" s="1"/>
      <c r="T39" s="1"/>
      <c r="U39" s="1"/>
    </row>
    <row r="40" spans="1:21">
      <c r="A40" s="981" t="s">
        <v>726</v>
      </c>
      <c r="B40" s="445"/>
      <c r="C40" s="428">
        <v>0</v>
      </c>
      <c r="D40" s="427">
        <v>0</v>
      </c>
      <c r="E40" s="427">
        <v>0</v>
      </c>
      <c r="F40" s="429">
        <v>0</v>
      </c>
      <c r="G40" s="427">
        <v>0</v>
      </c>
      <c r="H40" s="427">
        <v>0</v>
      </c>
      <c r="I40" s="427">
        <v>0</v>
      </c>
      <c r="J40" s="427">
        <v>0</v>
      </c>
      <c r="K40" s="447">
        <v>0</v>
      </c>
      <c r="L40" s="429">
        <v>0</v>
      </c>
      <c r="M40" s="429">
        <v>0</v>
      </c>
      <c r="N40" s="429">
        <v>0</v>
      </c>
      <c r="O40" s="1"/>
      <c r="P40" s="1"/>
      <c r="Q40" s="1"/>
      <c r="R40" s="1"/>
      <c r="S40" s="1"/>
      <c r="T40" s="1"/>
      <c r="U40" s="1"/>
    </row>
    <row r="41" spans="1:21">
      <c r="A41" s="996" t="s">
        <v>727</v>
      </c>
      <c r="B41" s="427">
        <v>12305000</v>
      </c>
      <c r="C41" s="428">
        <f>(12305000+5500000)/2</f>
        <v>8902500</v>
      </c>
      <c r="D41" s="427">
        <v>12305000</v>
      </c>
      <c r="E41" s="427">
        <v>12305000</v>
      </c>
      <c r="F41" s="429">
        <v>12305000</v>
      </c>
      <c r="G41" s="427">
        <v>12305000</v>
      </c>
      <c r="H41" s="427">
        <v>12305000</v>
      </c>
      <c r="I41" s="427">
        <v>12305000</v>
      </c>
      <c r="J41" s="445">
        <v>12305000</v>
      </c>
      <c r="K41" s="447">
        <f>J41*(1+$Q$36)</f>
        <v>12674150</v>
      </c>
      <c r="L41" s="429">
        <f>K41*(1+$Q$36)</f>
        <v>13054374.5</v>
      </c>
      <c r="M41" s="429">
        <f>L41*(1+$Q$36)</f>
        <v>13446005.735000001</v>
      </c>
      <c r="N41" s="429">
        <f>M41*(1+$Q$36)</f>
        <v>13849385.907050002</v>
      </c>
      <c r="O41" s="131"/>
      <c r="P41" s="1"/>
      <c r="Q41" s="9"/>
      <c r="R41" s="9"/>
      <c r="S41" s="9"/>
      <c r="T41" s="9"/>
      <c r="U41" s="9"/>
    </row>
    <row r="42" spans="1:21">
      <c r="A42" s="996" t="s">
        <v>682</v>
      </c>
      <c r="B42" s="131">
        <f t="shared" ref="B42:N42" si="8">+B94</f>
        <v>14414873.863486797</v>
      </c>
      <c r="C42" s="132">
        <f t="shared" si="8"/>
        <v>14414873.863486797</v>
      </c>
      <c r="D42" s="131">
        <f t="shared" si="8"/>
        <v>14414873.863486797</v>
      </c>
      <c r="E42" s="131">
        <f t="shared" si="8"/>
        <v>14414873.863486797</v>
      </c>
      <c r="F42" s="133">
        <f t="shared" si="8"/>
        <v>3914873.8634867966</v>
      </c>
      <c r="G42" s="131">
        <f t="shared" si="8"/>
        <v>1831980</v>
      </c>
      <c r="H42" s="131">
        <f t="shared" si="8"/>
        <v>1831980</v>
      </c>
      <c r="I42" s="131">
        <f t="shared" si="8"/>
        <v>1831980</v>
      </c>
      <c r="J42" s="147">
        <f t="shared" si="8"/>
        <v>1831980</v>
      </c>
      <c r="K42" s="321">
        <f t="shared" si="8"/>
        <v>0</v>
      </c>
      <c r="L42" s="133">
        <f t="shared" si="8"/>
        <v>0</v>
      </c>
      <c r="M42" s="133">
        <f t="shared" si="8"/>
        <v>0</v>
      </c>
      <c r="N42" s="133">
        <f t="shared" si="8"/>
        <v>0</v>
      </c>
      <c r="O42" s="131"/>
      <c r="P42" s="1"/>
      <c r="Q42" s="9"/>
      <c r="R42" s="9"/>
      <c r="S42" s="9"/>
      <c r="T42" s="9"/>
      <c r="U42" s="9"/>
    </row>
    <row r="43" spans="1:21">
      <c r="A43" s="981" t="s">
        <v>728</v>
      </c>
      <c r="B43" s="985">
        <v>0</v>
      </c>
      <c r="C43" s="1000">
        <v>-3700000</v>
      </c>
      <c r="D43" s="985">
        <v>-3700000</v>
      </c>
      <c r="E43" s="985">
        <v>-3700000</v>
      </c>
      <c r="F43" s="986">
        <v>-3700000</v>
      </c>
      <c r="G43" s="985">
        <v>-3700000</v>
      </c>
      <c r="H43" s="985">
        <v>-3700000</v>
      </c>
      <c r="I43" s="985">
        <v>-3700000</v>
      </c>
      <c r="J43" s="985">
        <v>-3700000</v>
      </c>
      <c r="K43" s="987"/>
      <c r="L43" s="986"/>
      <c r="M43" s="986"/>
      <c r="N43" s="986"/>
      <c r="O43" s="897"/>
      <c r="P43" s="1"/>
      <c r="Q43" s="1"/>
      <c r="R43" s="1"/>
      <c r="S43" s="1"/>
      <c r="T43" s="1"/>
      <c r="U43" s="4"/>
    </row>
    <row r="44" spans="1:21">
      <c r="A44" s="981" t="s">
        <v>729</v>
      </c>
      <c r="B44" s="985"/>
      <c r="C44" s="1000">
        <v>-250000</v>
      </c>
      <c r="D44" s="985">
        <v>-250000</v>
      </c>
      <c r="E44" s="985">
        <v>-250000</v>
      </c>
      <c r="F44" s="986">
        <v>-250000</v>
      </c>
      <c r="G44" s="985">
        <v>-250000</v>
      </c>
      <c r="H44" s="985">
        <v>-250000</v>
      </c>
      <c r="I44" s="985">
        <v>-250000</v>
      </c>
      <c r="J44" s="985">
        <v>-250000</v>
      </c>
      <c r="K44" s="987"/>
      <c r="L44" s="986"/>
      <c r="M44" s="986"/>
      <c r="N44" s="986"/>
      <c r="O44" s="897"/>
      <c r="P44" s="1"/>
      <c r="Q44" s="1"/>
      <c r="R44" s="1"/>
      <c r="S44" s="1"/>
      <c r="T44" s="1"/>
      <c r="U44" s="4"/>
    </row>
    <row r="45" spans="1:21">
      <c r="A45" s="981" t="s">
        <v>692</v>
      </c>
      <c r="B45" s="985">
        <v>0</v>
      </c>
      <c r="C45" s="1000">
        <v>-7300000</v>
      </c>
      <c r="D45" s="985">
        <v>-7300000</v>
      </c>
      <c r="E45" s="985">
        <v>-7300000</v>
      </c>
      <c r="F45" s="986">
        <v>-7300000</v>
      </c>
      <c r="G45" s="985">
        <v>-7300000</v>
      </c>
      <c r="H45" s="985">
        <v>-7300000</v>
      </c>
      <c r="I45" s="985">
        <v>-7300000</v>
      </c>
      <c r="J45" s="985">
        <v>-7300000</v>
      </c>
      <c r="K45" s="987"/>
      <c r="L45" s="986"/>
      <c r="M45" s="986"/>
      <c r="N45" s="986"/>
      <c r="O45" s="897"/>
    </row>
    <row r="46" spans="1:21" ht="14.7" customHeight="1" thickBot="1">
      <c r="A46" s="1004" t="s">
        <v>685</v>
      </c>
      <c r="B46" s="20">
        <f t="shared" ref="B46:N46" si="9">SUM(B36:B45)</f>
        <v>122319873.8634868</v>
      </c>
      <c r="C46" s="61">
        <f t="shared" si="9"/>
        <v>107667373.8634868</v>
      </c>
      <c r="D46" s="20">
        <f t="shared" si="9"/>
        <v>111069873.8634868</v>
      </c>
      <c r="E46" s="20">
        <f t="shared" si="9"/>
        <v>111069873.8634868</v>
      </c>
      <c r="F46" s="62">
        <f t="shared" si="9"/>
        <v>100569873.8634868</v>
      </c>
      <c r="G46" s="20">
        <f t="shared" si="9"/>
        <v>98486980</v>
      </c>
      <c r="H46" s="20">
        <f t="shared" si="9"/>
        <v>98486980</v>
      </c>
      <c r="I46" s="20">
        <f t="shared" si="9"/>
        <v>98486980</v>
      </c>
      <c r="J46" s="20">
        <f t="shared" si="9"/>
        <v>110986980</v>
      </c>
      <c r="K46" s="372">
        <f t="shared" si="9"/>
        <v>125274150</v>
      </c>
      <c r="L46" s="62">
        <f t="shared" si="9"/>
        <v>127904374.5</v>
      </c>
      <c r="M46" s="62">
        <f t="shared" si="9"/>
        <v>130546005.735</v>
      </c>
      <c r="N46" s="62">
        <f t="shared" si="9"/>
        <v>134462385.90705001</v>
      </c>
      <c r="O46" s="6"/>
      <c r="P46" s="1"/>
      <c r="Q46" s="55"/>
      <c r="R46" s="55"/>
      <c r="S46" s="55"/>
      <c r="T46" s="55"/>
      <c r="U46" s="9"/>
    </row>
    <row r="47" spans="1:21" ht="14.7" customHeight="1" thickTop="1">
      <c r="A47" s="981"/>
      <c r="B47" s="1"/>
      <c r="C47" s="47"/>
      <c r="D47" s="1"/>
      <c r="E47" s="1"/>
      <c r="F47" s="50"/>
      <c r="G47" s="1"/>
      <c r="H47" s="1"/>
      <c r="I47" s="1"/>
      <c r="J47" s="1"/>
      <c r="K47" s="477"/>
      <c r="L47" s="477"/>
      <c r="M47" s="50"/>
      <c r="N47" s="50"/>
      <c r="O47" s="1"/>
      <c r="P47" s="1"/>
      <c r="Q47" s="1"/>
      <c r="R47" s="1"/>
      <c r="S47" s="1"/>
      <c r="T47" s="1"/>
    </row>
    <row r="48" spans="1:21">
      <c r="A48" s="999" t="s">
        <v>686</v>
      </c>
      <c r="B48" s="1"/>
      <c r="C48" s="47"/>
      <c r="D48" s="1"/>
      <c r="E48" s="1"/>
      <c r="F48" s="50"/>
      <c r="G48" s="1"/>
      <c r="H48" s="1"/>
      <c r="I48" s="1"/>
      <c r="J48" s="1"/>
      <c r="K48" s="504"/>
      <c r="L48" s="373"/>
      <c r="M48" s="50"/>
      <c r="N48" s="50"/>
      <c r="O48" s="1"/>
      <c r="P48" s="1"/>
      <c r="Q48" s="1"/>
      <c r="R48" s="1"/>
      <c r="S48" s="1"/>
      <c r="T48" s="1"/>
    </row>
    <row r="49" spans="1:21">
      <c r="A49" s="981" t="s">
        <v>687</v>
      </c>
      <c r="B49" s="471">
        <v>0.2</v>
      </c>
      <c r="C49" s="472">
        <v>0.2</v>
      </c>
      <c r="D49" s="471">
        <v>0.2</v>
      </c>
      <c r="E49" s="471">
        <v>0.2</v>
      </c>
      <c r="F49" s="473">
        <v>0.2</v>
      </c>
      <c r="G49" s="1579">
        <v>0.32500000000000001</v>
      </c>
      <c r="H49" s="1579">
        <v>0.32500000000000001</v>
      </c>
      <c r="I49" s="1579">
        <v>0.32500000000000001</v>
      </c>
      <c r="J49" s="1579">
        <v>0.32500000000000001</v>
      </c>
      <c r="K49" s="447">
        <v>0</v>
      </c>
      <c r="L49" s="429">
        <v>0</v>
      </c>
      <c r="M49" s="429">
        <v>0</v>
      </c>
      <c r="N49" s="429">
        <v>0</v>
      </c>
      <c r="O49" s="1"/>
      <c r="P49" s="1"/>
      <c r="Q49" s="1"/>
      <c r="R49" s="1"/>
      <c r="S49" s="1"/>
      <c r="T49" s="1"/>
    </row>
    <row r="50" spans="1:21">
      <c r="A50" s="981" t="s">
        <v>688</v>
      </c>
      <c r="B50" s="43">
        <f t="shared" ref="B50:N50" si="10">MAX(0,($Q$37-B1)/365)</f>
        <v>2.495890410958904</v>
      </c>
      <c r="C50" s="370">
        <f t="shared" si="10"/>
        <v>2.2493150684931509</v>
      </c>
      <c r="D50" s="43">
        <f t="shared" si="10"/>
        <v>2</v>
      </c>
      <c r="E50" s="43">
        <f t="shared" si="10"/>
        <v>1.747945205479452</v>
      </c>
      <c r="F50" s="371">
        <f t="shared" si="10"/>
        <v>1.4958904109589042</v>
      </c>
      <c r="G50" s="43">
        <f t="shared" si="10"/>
        <v>1.2493150684931507</v>
      </c>
      <c r="H50" s="43">
        <f t="shared" si="10"/>
        <v>1</v>
      </c>
      <c r="I50" s="43">
        <f t="shared" si="10"/>
        <v>0.74794520547945209</v>
      </c>
      <c r="J50" s="43">
        <f t="shared" si="10"/>
        <v>0.49589041095890413</v>
      </c>
      <c r="K50" s="319">
        <f t="shared" si="10"/>
        <v>0</v>
      </c>
      <c r="L50" s="50">
        <f t="shared" si="10"/>
        <v>0</v>
      </c>
      <c r="M50" s="50">
        <f t="shared" si="10"/>
        <v>0</v>
      </c>
      <c r="N50" s="50">
        <f t="shared" si="10"/>
        <v>0</v>
      </c>
      <c r="O50" s="1"/>
      <c r="P50" s="1"/>
      <c r="Q50" s="1"/>
      <c r="R50" s="1"/>
      <c r="S50" s="1"/>
      <c r="T50" s="1"/>
    </row>
    <row r="51" spans="1:21">
      <c r="A51" s="1005" t="s">
        <v>730</v>
      </c>
      <c r="B51" s="102">
        <f t="shared" ref="B51:N51" si="11">+B46/(1+B49)^B50</f>
        <v>77601356.298205227</v>
      </c>
      <c r="C51" s="135">
        <f t="shared" si="11"/>
        <v>71446432.843541861</v>
      </c>
      <c r="D51" s="102">
        <f t="shared" si="11"/>
        <v>77131856.849643618</v>
      </c>
      <c r="E51" s="102">
        <f t="shared" si="11"/>
        <v>80759161.152772069</v>
      </c>
      <c r="F51" s="136">
        <f t="shared" si="11"/>
        <v>76563440.115276083</v>
      </c>
      <c r="G51" s="102">
        <f t="shared" si="11"/>
        <v>69293529.37761943</v>
      </c>
      <c r="H51" s="102">
        <f t="shared" si="11"/>
        <v>74329796.226415098</v>
      </c>
      <c r="I51" s="102">
        <f t="shared" si="11"/>
        <v>79793596.502069578</v>
      </c>
      <c r="J51" s="102">
        <f t="shared" si="11"/>
        <v>96530899.288759202</v>
      </c>
      <c r="K51" s="378">
        <f t="shared" si="11"/>
        <v>125274150</v>
      </c>
      <c r="L51" s="136">
        <f t="shared" si="11"/>
        <v>127904374.5</v>
      </c>
      <c r="M51" s="136">
        <f t="shared" si="11"/>
        <v>130546005.735</v>
      </c>
      <c r="N51" s="136">
        <f t="shared" si="11"/>
        <v>134462385.90705001</v>
      </c>
      <c r="O51" s="1"/>
      <c r="P51" s="1"/>
      <c r="Q51" s="1"/>
      <c r="R51" s="1"/>
      <c r="S51" s="1"/>
      <c r="T51" s="1"/>
    </row>
    <row r="52" spans="1:21">
      <c r="A52" s="981"/>
      <c r="B52" s="1"/>
      <c r="C52" s="47"/>
      <c r="D52" s="1"/>
      <c r="E52" s="1"/>
      <c r="F52" s="50"/>
      <c r="G52" s="1"/>
      <c r="H52" s="1"/>
      <c r="I52" s="1"/>
      <c r="J52" s="1"/>
      <c r="K52" s="319"/>
      <c r="L52" s="50"/>
      <c r="M52" s="50"/>
      <c r="N52" s="50"/>
      <c r="O52" s="1"/>
      <c r="P52" s="1"/>
      <c r="Q52" s="1"/>
      <c r="R52" s="1"/>
      <c r="S52" s="1"/>
      <c r="T52" s="1"/>
    </row>
    <row r="53" spans="1:21">
      <c r="A53" s="999" t="s">
        <v>55</v>
      </c>
      <c r="B53" s="1"/>
      <c r="C53" s="47"/>
      <c r="D53" s="1"/>
      <c r="E53" s="1"/>
      <c r="F53" s="50"/>
      <c r="G53" s="1"/>
      <c r="H53" s="1"/>
      <c r="I53" s="1"/>
      <c r="J53" s="1"/>
      <c r="K53" s="678">
        <f>-K54/K46</f>
        <v>0.47894956780788372</v>
      </c>
      <c r="L53" s="679">
        <f>-L54/L46</f>
        <v>0.46910045285433144</v>
      </c>
      <c r="M53" s="50"/>
      <c r="N53" s="679"/>
      <c r="O53" s="1" t="s">
        <v>56</v>
      </c>
      <c r="P53" s="1"/>
      <c r="Q53" s="1"/>
      <c r="R53" s="1"/>
      <c r="S53" s="1"/>
      <c r="T53" s="1"/>
      <c r="U53" s="4"/>
    </row>
    <row r="54" spans="1:21">
      <c r="A54" s="981" t="s">
        <v>731</v>
      </c>
      <c r="B54" s="427"/>
      <c r="C54" s="428"/>
      <c r="D54" s="427"/>
      <c r="E54" s="427"/>
      <c r="F54" s="429"/>
      <c r="G54" s="427"/>
      <c r="H54" s="427"/>
      <c r="I54" s="427"/>
      <c r="J54" s="427"/>
      <c r="K54" s="447">
        <v>-60000000</v>
      </c>
      <c r="L54" s="429">
        <v>-60000000</v>
      </c>
      <c r="M54" s="429">
        <v>-60000000</v>
      </c>
      <c r="N54" s="429">
        <v>-60000000</v>
      </c>
      <c r="O54" s="1"/>
      <c r="P54" s="1"/>
      <c r="Q54" s="1"/>
      <c r="R54" s="1"/>
      <c r="S54" s="1"/>
      <c r="T54" s="1"/>
      <c r="U54" s="4"/>
    </row>
    <row r="55" spans="1:21" s="5" customFormat="1">
      <c r="A55" s="1006" t="s">
        <v>66</v>
      </c>
      <c r="B55" s="1007">
        <v>0</v>
      </c>
      <c r="C55" s="1008">
        <f t="shared" ref="C55:N55" si="12">C54</f>
        <v>0</v>
      </c>
      <c r="D55" s="1007">
        <f t="shared" si="12"/>
        <v>0</v>
      </c>
      <c r="E55" s="1007">
        <f t="shared" si="12"/>
        <v>0</v>
      </c>
      <c r="F55" s="1009">
        <f t="shared" si="12"/>
        <v>0</v>
      </c>
      <c r="G55" s="1007">
        <f t="shared" si="12"/>
        <v>0</v>
      </c>
      <c r="H55" s="1007">
        <f t="shared" si="12"/>
        <v>0</v>
      </c>
      <c r="I55" s="1007">
        <f t="shared" si="12"/>
        <v>0</v>
      </c>
      <c r="J55" s="1007">
        <f t="shared" si="12"/>
        <v>0</v>
      </c>
      <c r="K55" s="1010">
        <f t="shared" si="12"/>
        <v>-60000000</v>
      </c>
      <c r="L55" s="1009">
        <f t="shared" si="12"/>
        <v>-60000000</v>
      </c>
      <c r="M55" s="1009">
        <f t="shared" si="12"/>
        <v>-60000000</v>
      </c>
      <c r="N55" s="1009">
        <f t="shared" si="12"/>
        <v>-60000000</v>
      </c>
      <c r="O55" s="897"/>
    </row>
    <row r="56" spans="1:21" s="5" customFormat="1">
      <c r="A56" s="381" t="s">
        <v>732</v>
      </c>
      <c r="B56" s="897"/>
      <c r="C56" s="1011"/>
      <c r="D56" s="897"/>
      <c r="E56" s="897"/>
      <c r="F56" s="979"/>
      <c r="G56" s="897"/>
      <c r="H56" s="897"/>
      <c r="I56" s="897"/>
      <c r="J56" s="897"/>
      <c r="K56" s="1012">
        <f>+K55-J55-SUM(J43:J45)</f>
        <v>-48750000</v>
      </c>
      <c r="L56" s="979">
        <f>+L55-K55-SUM(K42:K45)</f>
        <v>0</v>
      </c>
      <c r="M56" s="979">
        <f>+M55-L55-SUM(L42:L45)</f>
        <v>0</v>
      </c>
      <c r="N56" s="979">
        <f>+N55-M55-SUM(M42:M45)</f>
        <v>0</v>
      </c>
      <c r="O56" s="897"/>
    </row>
    <row r="57" spans="1:21" s="5" customFormat="1">
      <c r="A57" s="143"/>
      <c r="B57" s="897"/>
      <c r="C57" s="1011"/>
      <c r="D57" s="897"/>
      <c r="E57" s="897"/>
      <c r="F57" s="979"/>
      <c r="G57" s="897"/>
      <c r="H57" s="897"/>
      <c r="I57" s="897"/>
      <c r="J57" s="897"/>
      <c r="K57" s="1012"/>
      <c r="L57" s="979"/>
      <c r="M57" s="979"/>
      <c r="N57" s="979"/>
      <c r="O57" s="897"/>
    </row>
    <row r="58" spans="1:21" s="5" customFormat="1">
      <c r="A58" s="134" t="s">
        <v>693</v>
      </c>
      <c r="B58" s="6">
        <f t="shared" ref="B58:N58" si="13">+B51+B55</f>
        <v>77601356.298205227</v>
      </c>
      <c r="C58" s="51">
        <f t="shared" si="13"/>
        <v>71446432.843541861</v>
      </c>
      <c r="D58" s="6">
        <f t="shared" si="13"/>
        <v>77131856.849643618</v>
      </c>
      <c r="E58" s="6">
        <f t="shared" si="13"/>
        <v>80759161.152772069</v>
      </c>
      <c r="F58" s="52">
        <f t="shared" si="13"/>
        <v>76563440.115276083</v>
      </c>
      <c r="G58" s="6">
        <f t="shared" si="13"/>
        <v>69293529.37761943</v>
      </c>
      <c r="H58" s="6">
        <f t="shared" si="13"/>
        <v>74329796.226415098</v>
      </c>
      <c r="I58" s="6">
        <f t="shared" si="13"/>
        <v>79793596.502069578</v>
      </c>
      <c r="J58" s="6">
        <f t="shared" si="13"/>
        <v>96530899.288759202</v>
      </c>
      <c r="K58" s="322">
        <f t="shared" si="13"/>
        <v>65274150</v>
      </c>
      <c r="L58" s="52">
        <f t="shared" si="13"/>
        <v>67904374.5</v>
      </c>
      <c r="M58" s="52">
        <f t="shared" si="13"/>
        <v>70546005.734999999</v>
      </c>
      <c r="N58" s="52">
        <f t="shared" si="13"/>
        <v>74462385.907050014</v>
      </c>
      <c r="O58" s="151"/>
    </row>
    <row r="59" spans="1:21" s="5" customFormat="1">
      <c r="A59" s="56" t="s">
        <v>208</v>
      </c>
      <c r="B59" s="427"/>
      <c r="C59" s="428">
        <v>0</v>
      </c>
      <c r="D59" s="427">
        <v>0</v>
      </c>
      <c r="E59" s="427">
        <v>0</v>
      </c>
      <c r="F59" s="429">
        <v>0</v>
      </c>
      <c r="G59" s="427">
        <v>0</v>
      </c>
      <c r="H59" s="427">
        <v>0</v>
      </c>
      <c r="I59" s="427">
        <v>0</v>
      </c>
      <c r="J59" s="427">
        <v>0</v>
      </c>
      <c r="K59" s="447">
        <v>0</v>
      </c>
      <c r="L59" s="429">
        <v>0</v>
      </c>
      <c r="M59" s="429">
        <v>0</v>
      </c>
      <c r="N59" s="429">
        <v>0</v>
      </c>
      <c r="O59" s="1"/>
    </row>
    <row r="60" spans="1:21">
      <c r="A60" s="56"/>
      <c r="B60" s="17"/>
      <c r="C60" s="48"/>
      <c r="D60" s="17"/>
      <c r="E60" s="17"/>
      <c r="F60" s="49"/>
      <c r="G60" s="17"/>
      <c r="H60" s="17"/>
      <c r="I60" s="17"/>
      <c r="J60" s="17"/>
      <c r="K60" s="375"/>
      <c r="L60" s="49"/>
      <c r="M60" s="49"/>
      <c r="N60" s="49"/>
      <c r="O60" s="17"/>
    </row>
    <row r="61" spans="1:21">
      <c r="A61" s="56" t="s">
        <v>694</v>
      </c>
      <c r="B61" s="486">
        <v>0.5</v>
      </c>
      <c r="C61" s="487">
        <v>0.5</v>
      </c>
      <c r="D61" s="486">
        <v>0.5</v>
      </c>
      <c r="E61" s="486">
        <v>0.5</v>
      </c>
      <c r="F61" s="488">
        <v>0.5</v>
      </c>
      <c r="G61" s="486">
        <v>0.5</v>
      </c>
      <c r="H61" s="486">
        <v>0.5</v>
      </c>
      <c r="I61" s="486">
        <v>0.5</v>
      </c>
      <c r="J61" s="486">
        <v>0.5</v>
      </c>
      <c r="K61" s="489">
        <v>0.5</v>
      </c>
      <c r="L61" s="488">
        <v>0.5</v>
      </c>
      <c r="M61" s="488">
        <v>0.5</v>
      </c>
      <c r="N61" s="488">
        <v>0.5</v>
      </c>
      <c r="O61" s="118"/>
    </row>
    <row r="62" spans="1:21">
      <c r="A62" s="145" t="s">
        <v>695</v>
      </c>
      <c r="B62" s="84">
        <f t="shared" ref="B62:N62" si="14">SUM(B58:B59)*B61</f>
        <v>38800678.149102613</v>
      </c>
      <c r="C62" s="490">
        <f t="shared" si="14"/>
        <v>35723216.42177093</v>
      </c>
      <c r="D62" s="84">
        <f t="shared" si="14"/>
        <v>38565928.424821809</v>
      </c>
      <c r="E62" s="84">
        <f t="shared" si="14"/>
        <v>40379580.576386034</v>
      </c>
      <c r="F62" s="120">
        <f t="shared" si="14"/>
        <v>38281720.057638042</v>
      </c>
      <c r="G62" s="84">
        <f t="shared" si="14"/>
        <v>34646764.688809715</v>
      </c>
      <c r="H62" s="84">
        <f t="shared" si="14"/>
        <v>37164898.113207549</v>
      </c>
      <c r="I62" s="84">
        <f t="shared" si="14"/>
        <v>39896798.251034789</v>
      </c>
      <c r="J62" s="84">
        <f t="shared" si="14"/>
        <v>48265449.644379601</v>
      </c>
      <c r="K62" s="376">
        <f t="shared" si="14"/>
        <v>32637075</v>
      </c>
      <c r="L62" s="120">
        <f t="shared" si="14"/>
        <v>33952187.25</v>
      </c>
      <c r="M62" s="120">
        <f t="shared" si="14"/>
        <v>35273002.8675</v>
      </c>
      <c r="N62" s="120">
        <f t="shared" si="14"/>
        <v>37231192.953525007</v>
      </c>
      <c r="O62" s="1"/>
    </row>
    <row r="63" spans="1:21">
      <c r="A63" s="56"/>
      <c r="B63" s="1"/>
      <c r="C63" s="47"/>
      <c r="D63" s="1"/>
      <c r="E63" s="1"/>
      <c r="F63" s="50"/>
      <c r="G63" s="1"/>
      <c r="H63" s="1"/>
      <c r="I63" s="1"/>
      <c r="J63" s="1"/>
      <c r="K63" s="319"/>
      <c r="L63" s="50"/>
      <c r="M63" s="50"/>
      <c r="N63" s="50"/>
      <c r="O63" s="1"/>
    </row>
    <row r="64" spans="1:21">
      <c r="A64" s="56" t="s">
        <v>696</v>
      </c>
      <c r="B64" s="427">
        <v>30000000</v>
      </c>
      <c r="C64" s="428">
        <v>35000000</v>
      </c>
      <c r="D64" s="427">
        <f t="shared" ref="D64:N64" si="15">+C64</f>
        <v>35000000</v>
      </c>
      <c r="E64" s="427">
        <f t="shared" si="15"/>
        <v>35000000</v>
      </c>
      <c r="F64" s="429">
        <f t="shared" si="15"/>
        <v>35000000</v>
      </c>
      <c r="G64" s="427">
        <f t="shared" si="15"/>
        <v>35000000</v>
      </c>
      <c r="H64" s="427">
        <f t="shared" si="15"/>
        <v>35000000</v>
      </c>
      <c r="I64" s="427">
        <f t="shared" si="15"/>
        <v>35000000</v>
      </c>
      <c r="J64" s="427">
        <f t="shared" si="15"/>
        <v>35000000</v>
      </c>
      <c r="K64" s="447">
        <f t="shared" si="15"/>
        <v>35000000</v>
      </c>
      <c r="L64" s="429">
        <f t="shared" si="15"/>
        <v>35000000</v>
      </c>
      <c r="M64" s="429">
        <f t="shared" si="15"/>
        <v>35000000</v>
      </c>
      <c r="N64" s="429">
        <f t="shared" si="15"/>
        <v>35000000</v>
      </c>
      <c r="O64" s="1"/>
    </row>
    <row r="65" spans="1:21">
      <c r="A65" s="56" t="s">
        <v>697</v>
      </c>
      <c r="B65" s="427">
        <v>-21801980</v>
      </c>
      <c r="C65" s="428">
        <v>-35000000</v>
      </c>
      <c r="D65" s="427">
        <v>-35000000</v>
      </c>
      <c r="E65" s="427">
        <v>-35000000</v>
      </c>
      <c r="F65" s="429">
        <v>-35000000</v>
      </c>
      <c r="G65" s="427">
        <f t="shared" ref="G65:N65" si="16">+F65</f>
        <v>-35000000</v>
      </c>
      <c r="H65" s="427">
        <f t="shared" si="16"/>
        <v>-35000000</v>
      </c>
      <c r="I65" s="427">
        <f t="shared" si="16"/>
        <v>-35000000</v>
      </c>
      <c r="J65" s="427">
        <f t="shared" si="16"/>
        <v>-35000000</v>
      </c>
      <c r="K65" s="447">
        <f t="shared" si="16"/>
        <v>-35000000</v>
      </c>
      <c r="L65" s="429">
        <f t="shared" si="16"/>
        <v>-35000000</v>
      </c>
      <c r="M65" s="429">
        <f t="shared" si="16"/>
        <v>-35000000</v>
      </c>
      <c r="N65" s="429">
        <f t="shared" si="16"/>
        <v>-35000000</v>
      </c>
      <c r="O65" s="1"/>
    </row>
    <row r="66" spans="1:21">
      <c r="A66" s="56" t="s">
        <v>733</v>
      </c>
      <c r="B66" s="1">
        <f t="shared" ref="B66:N66" si="17">+B64+B65</f>
        <v>8198020</v>
      </c>
      <c r="C66" s="47">
        <f t="shared" si="17"/>
        <v>0</v>
      </c>
      <c r="D66" s="1">
        <f t="shared" si="17"/>
        <v>0</v>
      </c>
      <c r="E66" s="1">
        <f t="shared" si="17"/>
        <v>0</v>
      </c>
      <c r="F66" s="50">
        <f t="shared" si="17"/>
        <v>0</v>
      </c>
      <c r="G66" s="1">
        <f t="shared" si="17"/>
        <v>0</v>
      </c>
      <c r="H66" s="1">
        <f t="shared" si="17"/>
        <v>0</v>
      </c>
      <c r="I66" s="1">
        <f t="shared" si="17"/>
        <v>0</v>
      </c>
      <c r="J66" s="1">
        <f t="shared" si="17"/>
        <v>0</v>
      </c>
      <c r="K66" s="319">
        <f t="shared" si="17"/>
        <v>0</v>
      </c>
      <c r="L66" s="50">
        <f t="shared" si="17"/>
        <v>0</v>
      </c>
      <c r="M66" s="50">
        <f t="shared" si="17"/>
        <v>0</v>
      </c>
      <c r="N66" s="50">
        <f t="shared" si="17"/>
        <v>0</v>
      </c>
      <c r="O66" s="1"/>
    </row>
    <row r="67" spans="1:21">
      <c r="A67" s="56" t="s">
        <v>734</v>
      </c>
      <c r="B67" s="1"/>
      <c r="C67" s="47"/>
      <c r="D67" s="1"/>
      <c r="E67" s="1"/>
      <c r="F67" s="50"/>
      <c r="G67" s="1"/>
      <c r="H67" s="1"/>
      <c r="I67" s="1"/>
      <c r="J67" s="1"/>
      <c r="K67" s="319"/>
      <c r="L67" s="50"/>
      <c r="M67" s="50"/>
      <c r="N67" s="50"/>
      <c r="O67" s="1"/>
    </row>
    <row r="68" spans="1:21">
      <c r="A68" s="56" t="s">
        <v>735</v>
      </c>
      <c r="B68" s="1">
        <v>0</v>
      </c>
      <c r="C68" s="47">
        <v>0</v>
      </c>
      <c r="D68" s="1">
        <v>0</v>
      </c>
      <c r="E68" s="1"/>
      <c r="F68" s="50"/>
      <c r="G68" s="1"/>
      <c r="H68" s="1">
        <v>0</v>
      </c>
      <c r="I68" s="1">
        <v>0</v>
      </c>
      <c r="J68" s="1">
        <v>0</v>
      </c>
      <c r="K68" s="319">
        <v>0</v>
      </c>
      <c r="L68" s="50">
        <v>0</v>
      </c>
      <c r="M68" s="50">
        <v>0</v>
      </c>
      <c r="N68" s="50">
        <v>0</v>
      </c>
      <c r="O68" s="1"/>
    </row>
    <row r="69" spans="1:21">
      <c r="A69" s="56"/>
      <c r="B69" s="84"/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1"/>
    </row>
    <row r="70" spans="1:21" ht="14.7" customHeight="1" thickBot="1">
      <c r="A70" s="145" t="s">
        <v>698</v>
      </c>
      <c r="B70" s="1084">
        <f t="shared" ref="B70:N70" si="18">+B62-SUM(B66:B68)+B75</f>
        <v>30602658.149102613</v>
      </c>
      <c r="C70" s="141">
        <f t="shared" si="18"/>
        <v>35723216.42177093</v>
      </c>
      <c r="D70" s="140">
        <f t="shared" si="18"/>
        <v>38565928.424821809</v>
      </c>
      <c r="E70" s="140">
        <f t="shared" si="18"/>
        <v>40379580.576386034</v>
      </c>
      <c r="F70" s="142">
        <f t="shared" si="18"/>
        <v>40032700.798691444</v>
      </c>
      <c r="G70" s="140">
        <f t="shared" si="18"/>
        <v>36265000.089758396</v>
      </c>
      <c r="H70" s="140">
        <f t="shared" si="18"/>
        <v>38900747.169811323</v>
      </c>
      <c r="I70" s="140">
        <f t="shared" si="18"/>
        <v>41760245.297078438</v>
      </c>
      <c r="J70" s="140">
        <f t="shared" si="18"/>
        <v>50265874.093843371</v>
      </c>
      <c r="K70" s="377">
        <f t="shared" si="18"/>
        <v>32637075</v>
      </c>
      <c r="L70" s="142">
        <f t="shared" si="18"/>
        <v>33952187.25</v>
      </c>
      <c r="M70" s="142">
        <f t="shared" si="18"/>
        <v>35273002.8675</v>
      </c>
      <c r="N70" s="142">
        <f t="shared" si="18"/>
        <v>37231192.953525007</v>
      </c>
      <c r="O70" s="6"/>
    </row>
    <row r="71" spans="1:21">
      <c r="A71" s="134" t="s">
        <v>86</v>
      </c>
      <c r="B71" s="6"/>
      <c r="C71" s="6"/>
      <c r="D71" s="6"/>
      <c r="E71" s="6"/>
      <c r="F71" s="6"/>
      <c r="G71" s="6"/>
      <c r="H71" s="6"/>
      <c r="I71" s="6"/>
      <c r="J71" s="1079">
        <f>((J70+SUM($G$29:J29))/$G$70)^(365/(J1-$G$1))-1</f>
        <v>0.5029891114971623</v>
      </c>
      <c r="K71" s="1079">
        <f>((K70+K29)/J70)^(365/(K1-J1))-1</f>
        <v>0.10713242558344849</v>
      </c>
      <c r="L71" s="1079">
        <f>((L70+L29)/K70)^(365/(L1-K1))-1</f>
        <v>4.0182761599024897E-2</v>
      </c>
      <c r="M71" s="1079">
        <f>((M70+M29)/L70)^(365/(M1-L1))-1</f>
        <v>6.7952997234839607E-2</v>
      </c>
      <c r="N71" s="1079">
        <f>((N70+N29)/M70)^(365/(N1-M1))-1</f>
        <v>9.4391654108154643E-2</v>
      </c>
      <c r="O71" s="6"/>
    </row>
    <row r="72" spans="1:21">
      <c r="A72" s="5" t="s">
        <v>87</v>
      </c>
      <c r="B72" s="6"/>
      <c r="C72" s="6"/>
      <c r="D72" s="6"/>
      <c r="E72" s="6"/>
      <c r="F72" s="6"/>
      <c r="G72" s="6"/>
      <c r="H72" s="6"/>
      <c r="I72" s="6"/>
      <c r="J72" s="1078">
        <f>XIRR(CHOOSE({1,2,3,4,5},-$G$70,$G$29,$H$29,$I$29,J29+J70),CHOOSE({1,2,3,4,5},$G$1,$G$1,$H$1,$I$1,J1))</f>
        <v>0.49766618609428404</v>
      </c>
      <c r="K72" s="1078">
        <f>XIRR(CHOOSE({1,2,3,4,5,6},-$G$70,$G$29,$H$29,$I$29,$J$29,$K$29+K70),CHOOSE({1,2,3,4,5,6},$G$1,$G$1,$H$1,$I$1,$J$1,K1))</f>
        <v>0.25941651463508619</v>
      </c>
      <c r="L72" s="1078">
        <f>XIRR(CHOOSE({1,2,3,4,5,6,7},-$G$70,$G$29,$H$29,$I$29,$J$29,$K$29,L29+L70),CHOOSE({1,2,3,4,5,6,7},$G$1,$G$1,$H$1,$I$1,$J$1,$K$1,L1))</f>
        <v>0.20140915513038635</v>
      </c>
      <c r="M72" s="1078">
        <f>XIRR(CHOOSE({1,2,3,4,5,6,7,8},-$G$70,$G$29,$H$29,$I$29,$J$29,$K$29,$L$29,M29+M70),CHOOSE({1,2,3,4,5,6,7,8},$G$1,$G$1,$H$1,$I$1,$J$1,$K$1,$L$1,M1))</f>
        <v>0.17460070252418522</v>
      </c>
      <c r="N72" s="1078">
        <f>XIRR(CHOOSE({1,2,3,4,5,6,7,8,9},-$G$70,$G$29,$H$29,$I$29,$J$29,$K$29,$L$29,$M$29,N29+N70),CHOOSE({1,2,3,4,5,6,7,8,9},$G$1,$G$1,$H$1,$I$1,$J$1,$K$1,$L$1,$M$1,N1))</f>
        <v>0.16179564595222473</v>
      </c>
      <c r="O72" s="6"/>
    </row>
    <row r="73" spans="1:21">
      <c r="A73" s="5"/>
      <c r="B73" s="6"/>
      <c r="C73" s="6"/>
      <c r="D73" s="6"/>
      <c r="E73" s="6"/>
      <c r="F73" s="6"/>
      <c r="G73" s="6"/>
      <c r="H73" s="6"/>
      <c r="I73" s="6"/>
      <c r="J73" s="6"/>
      <c r="K73" s="689"/>
      <c r="L73" s="6"/>
      <c r="M73" s="6"/>
      <c r="N73" s="689"/>
      <c r="O73" s="6"/>
    </row>
    <row r="74" spans="1:21" s="5" customFormat="1">
      <c r="A74" t="s">
        <v>736</v>
      </c>
      <c r="B74" s="165"/>
      <c r="C74" s="165"/>
      <c r="D74" s="165"/>
      <c r="E74" s="165"/>
      <c r="F74" s="165">
        <v>2300000</v>
      </c>
      <c r="G74" s="165">
        <v>2300000</v>
      </c>
      <c r="H74" s="165">
        <v>2300000</v>
      </c>
      <c r="I74" s="165">
        <v>2300000</v>
      </c>
      <c r="J74" s="165">
        <v>2300000</v>
      </c>
      <c r="K74" s="165"/>
      <c r="L74" s="165"/>
      <c r="M74" s="165"/>
      <c r="N74" s="165"/>
      <c r="O74" s="739" t="s">
        <v>737</v>
      </c>
      <c r="P74" s="1"/>
      <c r="Q74" s="9"/>
      <c r="R74" s="55"/>
      <c r="S74" s="55"/>
      <c r="T74" s="55"/>
      <c r="U74" s="9"/>
    </row>
    <row r="75" spans="1:21">
      <c r="A75" s="23" t="s">
        <v>738</v>
      </c>
      <c r="B75" s="6"/>
      <c r="C75" s="6"/>
      <c r="D75" s="6"/>
      <c r="E75" s="6"/>
      <c r="F75" s="6">
        <f>+F74/(1+F49)^F50</f>
        <v>1750980.7410533992</v>
      </c>
      <c r="G75" s="6">
        <f>+G74/(1+G49)^G50</f>
        <v>1618235.4009486807</v>
      </c>
      <c r="H75" s="6">
        <f>+H74/(1+H49)^H50</f>
        <v>1735849.0566037737</v>
      </c>
      <c r="I75" s="6">
        <f>+I74/(1+I49)^I50</f>
        <v>1863447.0460436498</v>
      </c>
      <c r="J75" s="6">
        <f>+J74/(1+J49)^J50</f>
        <v>2000424.4494637675</v>
      </c>
      <c r="K75" s="6"/>
      <c r="L75" s="6"/>
      <c r="M75" s="6"/>
      <c r="N75" s="690"/>
      <c r="O75" s="6"/>
    </row>
    <row r="76" spans="1:21">
      <c r="A76" s="13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21">
      <c r="E77" s="1"/>
      <c r="F77" s="1"/>
      <c r="H77" s="1"/>
      <c r="I77" s="1"/>
      <c r="J77" s="1"/>
      <c r="K77" s="1"/>
      <c r="L77" s="1"/>
      <c r="M77" s="1"/>
      <c r="N77" s="1"/>
      <c r="O77" s="1"/>
    </row>
    <row r="78" spans="1:21">
      <c r="E78" s="1"/>
      <c r="F78" s="1"/>
      <c r="H78" s="1"/>
      <c r="I78" s="1"/>
      <c r="J78" s="1"/>
      <c r="K78" s="1"/>
      <c r="L78" s="1"/>
      <c r="M78" s="1"/>
      <c r="N78" s="1"/>
      <c r="O78" s="1"/>
    </row>
    <row r="79" spans="1:21">
      <c r="H79" s="1"/>
      <c r="I79" s="1"/>
      <c r="J79" s="1"/>
      <c r="K79" s="1"/>
      <c r="L79" s="1"/>
      <c r="M79" s="1"/>
      <c r="N79" s="1"/>
      <c r="O79" s="1"/>
    </row>
    <row r="80" spans="1:21">
      <c r="H80" s="1"/>
      <c r="I80" s="1"/>
      <c r="J80" s="1"/>
      <c r="K80" s="1"/>
      <c r="L80" s="1"/>
      <c r="M80" s="1"/>
      <c r="N80" s="1"/>
      <c r="O80" s="1"/>
    </row>
    <row r="81" spans="1:15">
      <c r="H81" s="1"/>
      <c r="I81" s="1"/>
      <c r="J81" s="1"/>
      <c r="K81" s="1"/>
      <c r="L81" s="1"/>
      <c r="M81" s="1"/>
      <c r="N81" s="1"/>
      <c r="O81" s="1"/>
    </row>
    <row r="82" spans="1:15" ht="15.6" customHeight="1">
      <c r="B82" s="483">
        <f t="shared" ref="B82:N82" si="19">+B1</f>
        <v>45657</v>
      </c>
      <c r="C82" s="484">
        <f t="shared" si="19"/>
        <v>45747</v>
      </c>
      <c r="D82" s="484">
        <f t="shared" si="19"/>
        <v>45838</v>
      </c>
      <c r="E82" s="484">
        <f t="shared" si="19"/>
        <v>45930</v>
      </c>
      <c r="F82" s="483">
        <f t="shared" si="19"/>
        <v>46022</v>
      </c>
      <c r="G82" s="484">
        <f t="shared" si="19"/>
        <v>46112</v>
      </c>
      <c r="H82" s="484">
        <f t="shared" si="19"/>
        <v>46203</v>
      </c>
      <c r="I82" s="484">
        <f t="shared" si="19"/>
        <v>46295</v>
      </c>
      <c r="J82" s="483">
        <f t="shared" si="19"/>
        <v>46387</v>
      </c>
      <c r="K82" s="483">
        <f t="shared" si="19"/>
        <v>46752</v>
      </c>
      <c r="L82" s="483">
        <f t="shared" si="19"/>
        <v>47118</v>
      </c>
      <c r="M82" s="483">
        <f t="shared" si="19"/>
        <v>47483</v>
      </c>
      <c r="N82" s="483">
        <f t="shared" si="19"/>
        <v>47848</v>
      </c>
    </row>
    <row r="83" spans="1:15" ht="15.6" customHeight="1">
      <c r="A83" s="481" t="s">
        <v>699</v>
      </c>
      <c r="B83" s="483" t="str">
        <f t="shared" ref="B83:N83" si="20">+B2</f>
        <v>Q4</v>
      </c>
      <c r="C83" s="484" t="str">
        <f t="shared" si="20"/>
        <v>Q1</v>
      </c>
      <c r="D83" s="484" t="str">
        <f t="shared" si="20"/>
        <v>Q2</v>
      </c>
      <c r="E83" s="484" t="str">
        <f t="shared" si="20"/>
        <v>Q3</v>
      </c>
      <c r="F83" s="483" t="str">
        <f t="shared" si="20"/>
        <v>Q4</v>
      </c>
      <c r="G83" s="484" t="str">
        <f t="shared" si="20"/>
        <v>Q1</v>
      </c>
      <c r="H83" s="484" t="str">
        <f t="shared" si="20"/>
        <v>Q2</v>
      </c>
      <c r="I83" s="484" t="str">
        <f t="shared" si="20"/>
        <v>Q3</v>
      </c>
      <c r="J83" s="483" t="str">
        <f t="shared" si="20"/>
        <v>Q4</v>
      </c>
      <c r="K83" s="483" t="str">
        <f t="shared" si="20"/>
        <v>Q4</v>
      </c>
      <c r="L83" s="483" t="str">
        <f t="shared" si="20"/>
        <v>Q4</v>
      </c>
      <c r="M83" s="483" t="str">
        <f t="shared" si="20"/>
        <v>Q4</v>
      </c>
      <c r="N83" s="483" t="str">
        <f t="shared" si="20"/>
        <v>Q4</v>
      </c>
    </row>
    <row r="84" spans="1:15">
      <c r="A84" t="s">
        <v>700</v>
      </c>
      <c r="B84" s="427">
        <f>201500000</f>
        <v>201500000</v>
      </c>
      <c r="C84" s="427">
        <f>201500000</f>
        <v>201500000</v>
      </c>
      <c r="D84" s="427">
        <f>201500000</f>
        <v>201500000</v>
      </c>
      <c r="E84" s="427">
        <f>201500000</f>
        <v>201500000</v>
      </c>
      <c r="F84" s="427">
        <f>217000000</f>
        <v>217000000</v>
      </c>
      <c r="G84" s="427">
        <f>217000000</f>
        <v>217000000</v>
      </c>
      <c r="H84" s="427">
        <f>217000000</f>
        <v>217000000</v>
      </c>
      <c r="I84" s="427">
        <f>217000000</f>
        <v>217000000</v>
      </c>
      <c r="J84" s="427">
        <f>217000000</f>
        <v>217000000</v>
      </c>
      <c r="K84" s="165"/>
    </row>
    <row r="85" spans="1:15">
      <c r="A85" t="s">
        <v>701</v>
      </c>
      <c r="B85" s="427">
        <v>-5500000</v>
      </c>
      <c r="C85" s="427">
        <v>-5500000</v>
      </c>
      <c r="D85" s="427">
        <v>-5500000</v>
      </c>
      <c r="E85" s="427">
        <v>-5500000</v>
      </c>
      <c r="F85" s="427">
        <v>-5500000</v>
      </c>
      <c r="G85" s="427">
        <v>-5500000</v>
      </c>
      <c r="H85" s="427">
        <v>-5500000</v>
      </c>
      <c r="I85" s="427">
        <v>-5500000</v>
      </c>
      <c r="J85" s="427">
        <v>-5500000</v>
      </c>
      <c r="K85" s="165"/>
    </row>
    <row r="86" spans="1:15">
      <c r="A86" t="s">
        <v>226</v>
      </c>
      <c r="B86" s="427">
        <v>30000000</v>
      </c>
      <c r="C86" s="427">
        <v>30000000</v>
      </c>
      <c r="D86" s="427">
        <v>30000000</v>
      </c>
      <c r="E86" s="427">
        <v>30000000</v>
      </c>
      <c r="F86" s="427">
        <v>35000000</v>
      </c>
      <c r="G86" s="427">
        <v>35000000</v>
      </c>
      <c r="H86" s="427">
        <v>35000000</v>
      </c>
      <c r="I86" s="427">
        <v>35000000</v>
      </c>
      <c r="J86" s="427">
        <v>35000000</v>
      </c>
      <c r="K86" s="165"/>
    </row>
    <row r="87" spans="1:15">
      <c r="A87" t="s">
        <v>739</v>
      </c>
      <c r="B87" s="427">
        <v>30000000</v>
      </c>
      <c r="C87" s="427">
        <v>30000000</v>
      </c>
      <c r="D87" s="427">
        <v>30000000</v>
      </c>
      <c r="E87" s="427">
        <v>30000000</v>
      </c>
      <c r="F87" s="427">
        <v>30000000</v>
      </c>
      <c r="G87" s="427">
        <v>30000000</v>
      </c>
      <c r="H87" s="427">
        <v>30000000</v>
      </c>
      <c r="I87" s="427">
        <v>30000000</v>
      </c>
      <c r="J87" s="427">
        <v>30000000</v>
      </c>
      <c r="K87" s="165"/>
    </row>
    <row r="88" spans="1:15">
      <c r="A88" t="s">
        <v>704</v>
      </c>
      <c r="B88" s="427">
        <f>22500000</f>
        <v>22500000</v>
      </c>
      <c r="C88" s="427">
        <f>22500000</f>
        <v>22500000</v>
      </c>
      <c r="D88" s="427">
        <f>22500000</f>
        <v>22500000</v>
      </c>
      <c r="E88" s="427">
        <f>22500000</f>
        <v>22500000</v>
      </c>
      <c r="F88" s="427">
        <v>33000000</v>
      </c>
      <c r="G88" s="427">
        <v>33000000</v>
      </c>
      <c r="H88" s="427">
        <v>33000000</v>
      </c>
      <c r="I88" s="427">
        <v>33000000</v>
      </c>
      <c r="J88" s="427">
        <v>33000000</v>
      </c>
      <c r="K88" s="165"/>
    </row>
    <row r="89" spans="1:15">
      <c r="A89" t="s">
        <v>706</v>
      </c>
      <c r="B89" s="46">
        <f t="shared" ref="B89:J89" si="21">+B84-SUM(B86:B88)+B85</f>
        <v>113500000</v>
      </c>
      <c r="C89" s="46">
        <f t="shared" si="21"/>
        <v>113500000</v>
      </c>
      <c r="D89" s="46">
        <f t="shared" si="21"/>
        <v>113500000</v>
      </c>
      <c r="E89" s="46">
        <f t="shared" si="21"/>
        <v>113500000</v>
      </c>
      <c r="F89" s="46">
        <f t="shared" si="21"/>
        <v>113500000</v>
      </c>
      <c r="G89" s="46">
        <f t="shared" si="21"/>
        <v>113500000</v>
      </c>
      <c r="H89" s="46">
        <f t="shared" si="21"/>
        <v>113500000</v>
      </c>
      <c r="I89" s="46">
        <f t="shared" si="21"/>
        <v>113500000</v>
      </c>
      <c r="J89" s="46">
        <f t="shared" si="21"/>
        <v>113500000</v>
      </c>
      <c r="K89" s="46"/>
    </row>
    <row r="91" spans="1:15">
      <c r="A91" t="s">
        <v>707</v>
      </c>
      <c r="B91" s="427">
        <v>150414873.8634868</v>
      </c>
      <c r="C91" s="427">
        <v>150414873.8634868</v>
      </c>
      <c r="D91" s="427">
        <v>150414873.8634868</v>
      </c>
      <c r="E91" s="427">
        <v>150414873.8634868</v>
      </c>
      <c r="F91" s="427">
        <v>150414873.8634868</v>
      </c>
      <c r="G91" s="427">
        <v>148331980</v>
      </c>
      <c r="H91" s="427">
        <v>148331980</v>
      </c>
      <c r="I91" s="427">
        <v>148331980</v>
      </c>
      <c r="J91" s="427">
        <v>148331980</v>
      </c>
      <c r="K91" s="165"/>
    </row>
    <row r="92" spans="1:15">
      <c r="A92" t="s">
        <v>708</v>
      </c>
      <c r="B92" s="92">
        <f t="shared" ref="B92:J92" si="22">+B91-B88</f>
        <v>127914873.8634868</v>
      </c>
      <c r="C92" s="92">
        <f t="shared" si="22"/>
        <v>127914873.8634868</v>
      </c>
      <c r="D92" s="92">
        <f t="shared" si="22"/>
        <v>127914873.8634868</v>
      </c>
      <c r="E92" s="92">
        <f t="shared" si="22"/>
        <v>127914873.8634868</v>
      </c>
      <c r="F92" s="92">
        <f t="shared" si="22"/>
        <v>117414873.8634868</v>
      </c>
      <c r="G92" s="92">
        <f t="shared" si="22"/>
        <v>115331980</v>
      </c>
      <c r="H92" s="92">
        <f t="shared" si="22"/>
        <v>115331980</v>
      </c>
      <c r="I92" s="92">
        <f t="shared" si="22"/>
        <v>115331980</v>
      </c>
      <c r="J92" s="92">
        <f t="shared" si="22"/>
        <v>115331980</v>
      </c>
      <c r="K92" s="92"/>
    </row>
    <row r="94" spans="1:15">
      <c r="A94" t="s">
        <v>709</v>
      </c>
      <c r="B94" s="482">
        <f t="shared" ref="B94:J94" si="23">+B92-B89</f>
        <v>14414873.863486797</v>
      </c>
      <c r="C94" s="482">
        <f t="shared" si="23"/>
        <v>14414873.863486797</v>
      </c>
      <c r="D94" s="482">
        <f t="shared" si="23"/>
        <v>14414873.863486797</v>
      </c>
      <c r="E94" s="482">
        <f t="shared" si="23"/>
        <v>14414873.863486797</v>
      </c>
      <c r="F94" s="482">
        <f t="shared" si="23"/>
        <v>3914873.8634867966</v>
      </c>
      <c r="G94" s="482">
        <f t="shared" si="23"/>
        <v>1831980</v>
      </c>
      <c r="H94" s="482">
        <f t="shared" si="23"/>
        <v>1831980</v>
      </c>
      <c r="I94" s="482">
        <f t="shared" si="23"/>
        <v>1831980</v>
      </c>
      <c r="J94" s="482">
        <f t="shared" si="23"/>
        <v>1831980</v>
      </c>
      <c r="K94" s="482"/>
    </row>
    <row r="98" spans="6:10">
      <c r="F98" s="523">
        <f>(F91-F99)*$I$98</f>
        <v>42165949.545394719</v>
      </c>
      <c r="G98" t="s">
        <v>740</v>
      </c>
      <c r="I98" s="15">
        <v>0.4</v>
      </c>
      <c r="J98" t="s">
        <v>741</v>
      </c>
    </row>
    <row r="99" spans="6:10">
      <c r="F99" s="523">
        <v>45000000</v>
      </c>
      <c r="G99" t="s">
        <v>742</v>
      </c>
      <c r="I99" s="187">
        <f>+(1-I98)*E91</f>
        <v>90248924.318092078</v>
      </c>
      <c r="J99" t="s">
        <v>743</v>
      </c>
    </row>
    <row r="100" spans="6:10">
      <c r="F100" s="524">
        <f>SUM(F98:F99)</f>
        <v>87165949.545394719</v>
      </c>
      <c r="G100" t="s">
        <v>744</v>
      </c>
    </row>
    <row r="102" spans="6:10">
      <c r="F102" s="524">
        <f>+F84-F100</f>
        <v>129834050.45460528</v>
      </c>
      <c r="G102" t="s">
        <v>745</v>
      </c>
    </row>
    <row r="103" spans="6:10">
      <c r="F103" s="524">
        <f>-F87</f>
        <v>-30000000</v>
      </c>
      <c r="G103" t="s">
        <v>746</v>
      </c>
    </row>
    <row r="104" spans="6:10">
      <c r="F104" s="524">
        <f>-F64</f>
        <v>-35000000</v>
      </c>
      <c r="G104" t="s">
        <v>580</v>
      </c>
    </row>
    <row r="105" spans="6:10">
      <c r="F105" s="525">
        <f>SUM(F102:F104)</f>
        <v>64834050.454605281</v>
      </c>
      <c r="G105" s="117" t="s">
        <v>747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rgb="FFB4C6E7"/>
  </sheetPr>
  <dimension ref="A1:U73"/>
  <sheetViews>
    <sheetView showGridLines="0" zoomScale="85" zoomScaleNormal="85" workbookViewId="0">
      <pane xSplit="1" ySplit="2" topLeftCell="C4" activePane="bottomRight" state="frozen"/>
      <selection pane="topRight" activeCell="B1" sqref="B1"/>
      <selection pane="bottomLeft" activeCell="A3" sqref="A3"/>
      <selection pane="bottomRight" activeCell="E26" sqref="E26"/>
    </sheetView>
  </sheetViews>
  <sheetFormatPr defaultColWidth="8.68359375" defaultRowHeight="14.4"/>
  <cols>
    <col min="1" max="1" width="31.68359375" customWidth="1"/>
    <col min="2" max="4" width="14" customWidth="1"/>
    <col min="5" max="5" width="16.578125" customWidth="1"/>
    <col min="6" max="6" width="14.26171875" customWidth="1"/>
    <col min="7" max="7" width="18.26171875" bestFit="1" customWidth="1"/>
    <col min="8" max="8" width="16.68359375" bestFit="1" customWidth="1"/>
    <col min="9" max="9" width="18.26171875" bestFit="1" customWidth="1"/>
    <col min="10" max="10" width="17.26171875" bestFit="1" customWidth="1"/>
    <col min="11" max="11" width="18" bestFit="1" customWidth="1"/>
    <col min="12" max="12" width="17.26171875" bestFit="1" customWidth="1"/>
    <col min="13" max="13" width="18.26171875" bestFit="1" customWidth="1"/>
    <col min="14" max="17" width="16.578125" customWidth="1"/>
    <col min="18" max="18" width="24.26171875" customWidth="1"/>
    <col min="19" max="19" width="24.68359375" customWidth="1"/>
    <col min="21" max="21" width="15.68359375" customWidth="1"/>
    <col min="22" max="24" width="14.578125" customWidth="1"/>
  </cols>
  <sheetData>
    <row r="1" spans="1:21" s="528" customFormat="1" ht="17.649999999999999" customHeight="1">
      <c r="A1" s="527" t="s">
        <v>748</v>
      </c>
      <c r="B1" s="499">
        <v>45657</v>
      </c>
      <c r="C1" s="500">
        <v>45747</v>
      </c>
      <c r="D1" s="501">
        <v>45838</v>
      </c>
      <c r="E1" s="501">
        <v>45930</v>
      </c>
      <c r="F1" s="502">
        <v>46022</v>
      </c>
      <c r="G1" s="500">
        <v>46112</v>
      </c>
      <c r="H1" s="501">
        <v>46203</v>
      </c>
      <c r="I1" s="501">
        <v>46295</v>
      </c>
      <c r="J1" s="502">
        <v>46387</v>
      </c>
      <c r="K1" s="503">
        <v>46752</v>
      </c>
      <c r="L1" s="503">
        <v>47118</v>
      </c>
      <c r="M1" s="503">
        <v>47483</v>
      </c>
      <c r="N1" s="503">
        <v>47848</v>
      </c>
      <c r="O1" s="122"/>
      <c r="P1" s="25"/>
    </row>
    <row r="2" spans="1:21" ht="15" customHeight="1">
      <c r="A2" s="529" t="s">
        <v>749</v>
      </c>
      <c r="B2" s="329" t="s">
        <v>2</v>
      </c>
      <c r="C2" s="328" t="s">
        <v>3</v>
      </c>
      <c r="D2" s="329" t="s">
        <v>4</v>
      </c>
      <c r="E2" s="329" t="s">
        <v>5</v>
      </c>
      <c r="F2" s="331" t="s">
        <v>2</v>
      </c>
      <c r="G2" s="328" t="s">
        <v>3</v>
      </c>
      <c r="H2" s="329" t="s">
        <v>4</v>
      </c>
      <c r="I2" s="329" t="s">
        <v>5</v>
      </c>
      <c r="J2" s="331" t="s">
        <v>2</v>
      </c>
      <c r="K2" s="380" t="s">
        <v>2</v>
      </c>
      <c r="L2" s="380" t="s">
        <v>2</v>
      </c>
      <c r="M2" s="380" t="s">
        <v>2</v>
      </c>
      <c r="N2" s="380" t="s">
        <v>2</v>
      </c>
      <c r="O2" s="1"/>
    </row>
    <row r="3" spans="1:21" ht="15" customHeight="1">
      <c r="A3" s="530" t="s">
        <v>37</v>
      </c>
      <c r="B3" s="2127"/>
      <c r="C3" s="532"/>
      <c r="D3" s="533"/>
      <c r="E3" s="533"/>
      <c r="F3" s="534"/>
      <c r="G3" s="531"/>
      <c r="H3" s="531"/>
      <c r="I3" s="531"/>
      <c r="J3" s="531"/>
      <c r="K3" s="535"/>
      <c r="L3" s="535"/>
      <c r="M3" s="535"/>
      <c r="N3" s="535"/>
      <c r="O3" s="825"/>
      <c r="P3" s="531"/>
      <c r="Q3" s="531"/>
      <c r="R3" s="531"/>
      <c r="U3" s="531"/>
    </row>
    <row r="4" spans="1:21" ht="15" customHeight="1">
      <c r="A4" s="896" t="s">
        <v>8</v>
      </c>
      <c r="B4" s="639"/>
      <c r="C4" s="537"/>
      <c r="D4" s="538">
        <v>0</v>
      </c>
      <c r="E4" s="538">
        <v>0</v>
      </c>
      <c r="F4" s="539">
        <v>911085.07185736496</v>
      </c>
      <c r="G4" s="536">
        <v>3573869.1709978301</v>
      </c>
      <c r="H4" s="536">
        <v>3681085.2461277698</v>
      </c>
      <c r="I4" s="536">
        <v>0</v>
      </c>
      <c r="J4" s="536">
        <v>0</v>
      </c>
      <c r="K4" s="540">
        <v>0</v>
      </c>
      <c r="L4" s="540">
        <v>0</v>
      </c>
      <c r="M4" s="540">
        <v>0</v>
      </c>
      <c r="N4" s="540">
        <v>0</v>
      </c>
      <c r="O4" s="825"/>
      <c r="P4" s="531"/>
      <c r="Q4" s="531"/>
      <c r="R4" s="531"/>
      <c r="S4" s="531"/>
      <c r="T4" s="531"/>
      <c r="U4" s="531"/>
    </row>
    <row r="5" spans="1:21" s="543" customFormat="1" ht="15" customHeight="1">
      <c r="A5" s="18" t="s">
        <v>11</v>
      </c>
      <c r="B5" s="639"/>
      <c r="C5" s="541"/>
      <c r="D5" s="536"/>
      <c r="E5" s="536"/>
      <c r="F5" s="542"/>
      <c r="G5" s="536">
        <f>-40000000*0.075</f>
        <v>-3000000</v>
      </c>
      <c r="H5" s="536">
        <f>-40000000*0.075</f>
        <v>-3000000</v>
      </c>
      <c r="I5" s="536"/>
      <c r="J5" s="536"/>
      <c r="K5" s="540"/>
      <c r="L5" s="540"/>
      <c r="M5" s="540"/>
      <c r="N5" s="540"/>
      <c r="O5" s="825"/>
    </row>
    <row r="6" spans="1:21" s="543" customFormat="1" ht="15" customHeight="1">
      <c r="A6" s="702" t="s">
        <v>13</v>
      </c>
      <c r="B6" s="2128">
        <v>0</v>
      </c>
      <c r="C6" s="545">
        <f t="shared" ref="C6:N6" si="0">SUM(C4:C5)</f>
        <v>0</v>
      </c>
      <c r="D6" s="544">
        <f t="shared" si="0"/>
        <v>0</v>
      </c>
      <c r="E6" s="544">
        <f t="shared" si="0"/>
        <v>0</v>
      </c>
      <c r="F6" s="546">
        <f t="shared" si="0"/>
        <v>911085.07185736496</v>
      </c>
      <c r="G6" s="544">
        <f t="shared" si="0"/>
        <v>573869.17099783011</v>
      </c>
      <c r="H6" s="544">
        <f t="shared" si="0"/>
        <v>681085.24612776982</v>
      </c>
      <c r="I6" s="544">
        <f t="shared" si="0"/>
        <v>0</v>
      </c>
      <c r="J6" s="544">
        <f t="shared" si="0"/>
        <v>0</v>
      </c>
      <c r="K6" s="547">
        <f t="shared" si="0"/>
        <v>0</v>
      </c>
      <c r="L6" s="547">
        <f t="shared" si="0"/>
        <v>0</v>
      </c>
      <c r="M6" s="547">
        <f t="shared" si="0"/>
        <v>0</v>
      </c>
      <c r="N6" s="547">
        <f t="shared" si="0"/>
        <v>0</v>
      </c>
      <c r="O6" s="825"/>
    </row>
    <row r="7" spans="1:21" s="543" customFormat="1" ht="15" customHeight="1">
      <c r="A7" s="12" t="s">
        <v>14</v>
      </c>
      <c r="B7" s="639"/>
      <c r="C7" s="541"/>
      <c r="D7" s="536"/>
      <c r="E7" s="536"/>
      <c r="F7" s="542"/>
      <c r="G7" s="536"/>
      <c r="H7" s="536"/>
      <c r="I7" s="536"/>
      <c r="J7" s="536"/>
      <c r="K7" s="540"/>
      <c r="L7" s="540"/>
      <c r="M7" s="540"/>
      <c r="N7" s="540"/>
      <c r="O7" s="825"/>
    </row>
    <row r="8" spans="1:21" s="543" customFormat="1" ht="15" customHeight="1">
      <c r="A8" s="12" t="s">
        <v>15</v>
      </c>
      <c r="B8" s="2127">
        <v>0</v>
      </c>
      <c r="C8" s="548">
        <f t="shared" ref="C8:N8" si="1">SUM(C6:C7)</f>
        <v>0</v>
      </c>
      <c r="D8" s="531">
        <f t="shared" si="1"/>
        <v>0</v>
      </c>
      <c r="E8" s="531">
        <f t="shared" si="1"/>
        <v>0</v>
      </c>
      <c r="F8" s="549">
        <f t="shared" si="1"/>
        <v>911085.07185736496</v>
      </c>
      <c r="G8" s="531">
        <f t="shared" si="1"/>
        <v>573869.17099783011</v>
      </c>
      <c r="H8" s="531">
        <f t="shared" si="1"/>
        <v>681085.24612776982</v>
      </c>
      <c r="I8" s="531">
        <f t="shared" si="1"/>
        <v>0</v>
      </c>
      <c r="J8" s="531">
        <f t="shared" si="1"/>
        <v>0</v>
      </c>
      <c r="K8" s="535">
        <f t="shared" si="1"/>
        <v>0</v>
      </c>
      <c r="L8" s="535">
        <f t="shared" si="1"/>
        <v>0</v>
      </c>
      <c r="M8" s="535">
        <f t="shared" si="1"/>
        <v>0</v>
      </c>
      <c r="N8" s="535">
        <f t="shared" si="1"/>
        <v>0</v>
      </c>
      <c r="O8" s="825"/>
    </row>
    <row r="9" spans="1:21" s="543" customFormat="1" ht="15" customHeight="1">
      <c r="A9" s="175" t="s">
        <v>16</v>
      </c>
      <c r="B9" s="2129">
        <v>0</v>
      </c>
      <c r="C9" s="551">
        <f t="shared" ref="C9:N9" si="2">+C8+B9</f>
        <v>0</v>
      </c>
      <c r="D9" s="550">
        <f t="shared" si="2"/>
        <v>0</v>
      </c>
      <c r="E9" s="550">
        <f t="shared" si="2"/>
        <v>0</v>
      </c>
      <c r="F9" s="552">
        <f t="shared" si="2"/>
        <v>911085.07185736496</v>
      </c>
      <c r="G9" s="550">
        <f t="shared" si="2"/>
        <v>1484954.242855195</v>
      </c>
      <c r="H9" s="550">
        <f t="shared" si="2"/>
        <v>2166039.4889829648</v>
      </c>
      <c r="I9" s="550">
        <f t="shared" si="2"/>
        <v>2166039.4889829648</v>
      </c>
      <c r="J9" s="550">
        <f t="shared" si="2"/>
        <v>2166039.4889829648</v>
      </c>
      <c r="K9" s="553">
        <f t="shared" si="2"/>
        <v>2166039.4889829648</v>
      </c>
      <c r="L9" s="553">
        <f t="shared" si="2"/>
        <v>2166039.4889829648</v>
      </c>
      <c r="M9" s="553">
        <f t="shared" si="2"/>
        <v>2166039.4889829648</v>
      </c>
      <c r="N9" s="553">
        <f t="shared" si="2"/>
        <v>2166039.4889829648</v>
      </c>
      <c r="O9" s="825"/>
    </row>
    <row r="10" spans="1:21" s="543" customFormat="1" ht="15" customHeight="1">
      <c r="A10" s="18"/>
      <c r="B10" s="2128"/>
      <c r="C10" s="531"/>
      <c r="D10" s="531"/>
      <c r="E10" s="531"/>
      <c r="F10" s="544"/>
      <c r="G10" s="531"/>
      <c r="H10" s="531"/>
      <c r="I10" s="531"/>
      <c r="J10" s="544"/>
      <c r="K10" s="544"/>
      <c r="L10" s="531"/>
      <c r="M10" s="531"/>
      <c r="N10" s="531"/>
      <c r="O10" s="825"/>
    </row>
    <row r="11" spans="1:21" ht="15" customHeight="1">
      <c r="A11" s="543" t="s">
        <v>17</v>
      </c>
      <c r="B11" s="2127"/>
      <c r="C11" s="531"/>
      <c r="D11" s="531"/>
      <c r="E11" s="531"/>
      <c r="F11" s="531"/>
      <c r="G11" s="531"/>
      <c r="H11" s="531"/>
      <c r="I11" s="531"/>
      <c r="J11" s="531"/>
      <c r="K11" s="531"/>
      <c r="L11" s="531"/>
      <c r="M11" s="531"/>
      <c r="N11" s="531"/>
      <c r="O11" s="825"/>
    </row>
    <row r="12" spans="1:21" ht="15" customHeight="1" thickBot="1">
      <c r="A12" s="543" t="s">
        <v>18</v>
      </c>
      <c r="B12" s="2127"/>
      <c r="C12" s="531"/>
      <c r="D12" s="531"/>
      <c r="E12" s="531"/>
      <c r="F12" s="531"/>
      <c r="G12" s="531"/>
      <c r="H12" s="531"/>
      <c r="I12" s="531"/>
      <c r="J12" s="531"/>
      <c r="K12" s="531"/>
      <c r="L12" s="531"/>
      <c r="M12" s="531"/>
      <c r="N12" s="531"/>
      <c r="O12" s="825"/>
    </row>
    <row r="13" spans="1:21" ht="15" customHeight="1">
      <c r="A13" s="981" t="s">
        <v>750</v>
      </c>
      <c r="B13" s="2133"/>
      <c r="C13" s="556"/>
      <c r="D13" s="555"/>
      <c r="E13" s="555"/>
      <c r="F13" s="557"/>
      <c r="G13" s="555"/>
      <c r="H13" s="1027"/>
      <c r="I13" s="1027">
        <v>0</v>
      </c>
      <c r="J13" s="1027">
        <v>0</v>
      </c>
      <c r="K13" s="1028">
        <v>0</v>
      </c>
      <c r="L13" s="1029">
        <v>0</v>
      </c>
      <c r="M13" s="1029">
        <v>0</v>
      </c>
      <c r="N13" s="1029">
        <v>0</v>
      </c>
      <c r="O13" s="825" t="s">
        <v>751</v>
      </c>
    </row>
    <row r="14" spans="1:21" ht="15" customHeight="1">
      <c r="A14" s="981" t="s">
        <v>752</v>
      </c>
      <c r="B14" s="639"/>
      <c r="C14" s="541"/>
      <c r="D14" s="536"/>
      <c r="E14" s="536"/>
      <c r="F14" s="542"/>
      <c r="G14" s="536"/>
      <c r="H14" s="1030"/>
      <c r="I14" s="1030"/>
      <c r="J14" s="1031">
        <f>+SUM(M63,M64,M68,M69)*O47+J58*J56-P14+J29</f>
        <v>15400000</v>
      </c>
      <c r="K14" s="1032"/>
      <c r="L14" s="1033"/>
      <c r="M14" s="1033"/>
      <c r="N14" s="1033"/>
      <c r="O14" s="870">
        <v>16400000</v>
      </c>
      <c r="P14" s="2">
        <v>4199171.448433198</v>
      </c>
    </row>
    <row r="15" spans="1:21" ht="15" customHeight="1">
      <c r="A15" s="988" t="s">
        <v>753</v>
      </c>
      <c r="B15" s="639"/>
      <c r="C15" s="541"/>
      <c r="D15" s="536"/>
      <c r="E15" s="536"/>
      <c r="F15" s="542"/>
      <c r="G15" s="536"/>
      <c r="H15" s="1030"/>
      <c r="I15" s="1030">
        <v>0</v>
      </c>
      <c r="J15" s="1030">
        <v>0</v>
      </c>
      <c r="K15" s="1032">
        <v>0</v>
      </c>
      <c r="L15" s="1033">
        <v>0</v>
      </c>
      <c r="M15" s="1033">
        <v>0</v>
      </c>
      <c r="N15" s="1033">
        <v>0</v>
      </c>
      <c r="O15" s="825"/>
    </row>
    <row r="16" spans="1:21" s="543" customFormat="1" ht="15" customHeight="1">
      <c r="A16" s="988" t="s">
        <v>754</v>
      </c>
      <c r="B16" s="639"/>
      <c r="C16" s="541"/>
      <c r="D16" s="536">
        <v>0</v>
      </c>
      <c r="E16" s="536">
        <v>0</v>
      </c>
      <c r="F16" s="536"/>
      <c r="G16" s="728">
        <v>2400000</v>
      </c>
      <c r="H16" s="1031">
        <v>3600000</v>
      </c>
      <c r="I16" s="1030">
        <v>0</v>
      </c>
      <c r="J16" s="1031">
        <v>1500000</v>
      </c>
      <c r="K16" s="1032">
        <v>0</v>
      </c>
      <c r="L16" s="1033">
        <v>0</v>
      </c>
      <c r="M16" s="1033">
        <v>0</v>
      </c>
      <c r="N16" s="1033">
        <v>0</v>
      </c>
      <c r="O16" s="825"/>
    </row>
    <row r="17" spans="1:20" ht="15" customHeight="1">
      <c r="A17" s="1034" t="s">
        <v>321</v>
      </c>
      <c r="B17" s="2128">
        <v>0</v>
      </c>
      <c r="C17" s="544">
        <f t="shared" ref="C17:N17" si="3">SUM(C13:C16)</f>
        <v>0</v>
      </c>
      <c r="D17" s="544">
        <f t="shared" si="3"/>
        <v>0</v>
      </c>
      <c r="E17" s="544">
        <f t="shared" si="3"/>
        <v>0</v>
      </c>
      <c r="F17" s="544">
        <f t="shared" si="3"/>
        <v>0</v>
      </c>
      <c r="G17" s="544">
        <f t="shared" si="3"/>
        <v>2400000</v>
      </c>
      <c r="H17" s="1035">
        <f t="shared" si="3"/>
        <v>3600000</v>
      </c>
      <c r="I17" s="1035">
        <f t="shared" si="3"/>
        <v>0</v>
      </c>
      <c r="J17" s="1035">
        <f t="shared" si="3"/>
        <v>16900000</v>
      </c>
      <c r="K17" s="1035">
        <f t="shared" si="3"/>
        <v>0</v>
      </c>
      <c r="L17" s="1035">
        <f t="shared" si="3"/>
        <v>0</v>
      </c>
      <c r="M17" s="1035">
        <f t="shared" si="3"/>
        <v>0</v>
      </c>
      <c r="N17" s="1035">
        <f t="shared" si="3"/>
        <v>0</v>
      </c>
      <c r="O17" s="825"/>
    </row>
    <row r="18" spans="1:20" ht="15" customHeight="1">
      <c r="A18" s="1036" t="s">
        <v>24</v>
      </c>
      <c r="B18" s="2127"/>
      <c r="C18" s="531"/>
      <c r="D18" s="531"/>
      <c r="E18" s="531"/>
      <c r="F18" s="531"/>
      <c r="G18" s="531"/>
      <c r="H18" s="1037"/>
      <c r="I18" s="1037"/>
      <c r="J18" s="1037"/>
      <c r="K18" s="1037"/>
      <c r="L18" s="1037"/>
      <c r="M18" s="1037"/>
      <c r="N18" s="1037"/>
      <c r="O18" s="825"/>
    </row>
    <row r="19" spans="1:20" ht="15" customHeight="1">
      <c r="A19" s="56" t="s">
        <v>755</v>
      </c>
      <c r="B19" s="639"/>
      <c r="C19" s="541"/>
      <c r="D19" s="536"/>
      <c r="E19" s="536"/>
      <c r="F19" s="542"/>
      <c r="G19" s="536">
        <v>0</v>
      </c>
      <c r="H19" s="536">
        <v>0</v>
      </c>
      <c r="I19" s="1030">
        <v>0</v>
      </c>
      <c r="J19" s="1030">
        <v>0</v>
      </c>
      <c r="K19" s="1032">
        <v>0</v>
      </c>
      <c r="L19" s="1033">
        <v>0</v>
      </c>
      <c r="M19" s="1033">
        <v>0</v>
      </c>
      <c r="N19" s="1033">
        <v>0</v>
      </c>
      <c r="O19" s="825"/>
    </row>
    <row r="20" spans="1:20" ht="15" customHeight="1">
      <c r="A20" s="56" t="s">
        <v>756</v>
      </c>
      <c r="B20" s="639"/>
      <c r="C20" s="541"/>
      <c r="D20" s="536"/>
      <c r="E20" s="536">
        <v>0</v>
      </c>
      <c r="F20" s="542">
        <v>0</v>
      </c>
      <c r="G20" s="536"/>
      <c r="H20" s="536">
        <v>0</v>
      </c>
      <c r="I20" s="1030">
        <v>0</v>
      </c>
      <c r="J20" s="1030">
        <v>0</v>
      </c>
      <c r="K20" s="1032">
        <v>0</v>
      </c>
      <c r="L20" s="1033">
        <v>0</v>
      </c>
      <c r="M20" s="1033">
        <v>0</v>
      </c>
      <c r="N20" s="1033">
        <v>0</v>
      </c>
      <c r="O20" s="825"/>
    </row>
    <row r="21" spans="1:20" ht="15" customHeight="1">
      <c r="A21" s="56" t="s">
        <v>757</v>
      </c>
      <c r="B21" s="639"/>
      <c r="C21" s="541"/>
      <c r="D21" s="536"/>
      <c r="E21" s="536"/>
      <c r="F21" s="542"/>
      <c r="G21" s="536"/>
      <c r="H21" s="536"/>
      <c r="I21" s="1030"/>
      <c r="J21" s="1030"/>
      <c r="K21" s="1032"/>
      <c r="L21" s="1033"/>
      <c r="M21" s="1033"/>
      <c r="N21" s="1033"/>
      <c r="O21" s="825"/>
    </row>
    <row r="22" spans="1:20" ht="15" customHeight="1">
      <c r="A22" s="56" t="s">
        <v>758</v>
      </c>
      <c r="B22" s="639"/>
      <c r="C22" s="536"/>
      <c r="D22" s="536"/>
      <c r="E22" s="725"/>
      <c r="F22" s="723">
        <v>-860000</v>
      </c>
      <c r="G22" s="536"/>
      <c r="H22" s="536"/>
      <c r="I22" s="1030"/>
      <c r="J22" s="1030"/>
      <c r="K22" s="1032"/>
      <c r="L22" s="1033"/>
      <c r="M22" s="1033"/>
      <c r="N22" s="1033"/>
      <c r="O22" s="825"/>
    </row>
    <row r="23" spans="1:20" ht="15" customHeight="1">
      <c r="A23" s="56" t="s">
        <v>759</v>
      </c>
      <c r="B23" s="639"/>
      <c r="C23" s="541"/>
      <c r="D23" s="536"/>
      <c r="E23" s="536"/>
      <c r="F23" s="542"/>
      <c r="G23" s="536"/>
      <c r="H23" s="536">
        <v>-1750000</v>
      </c>
      <c r="I23" s="536">
        <v>0</v>
      </c>
      <c r="J23" s="536">
        <v>0</v>
      </c>
      <c r="K23" s="540">
        <v>0</v>
      </c>
      <c r="L23" s="542">
        <v>0</v>
      </c>
      <c r="M23" s="542">
        <v>0</v>
      </c>
      <c r="N23" s="542">
        <v>0</v>
      </c>
      <c r="O23" s="825"/>
    </row>
    <row r="24" spans="1:20" ht="15" customHeight="1">
      <c r="A24" s="701" t="s">
        <v>323</v>
      </c>
      <c r="B24" s="2128">
        <v>0</v>
      </c>
      <c r="C24" s="544">
        <f t="shared" ref="C24:N24" si="4">SUM(C19:C23)</f>
        <v>0</v>
      </c>
      <c r="D24" s="544">
        <f t="shared" si="4"/>
        <v>0</v>
      </c>
      <c r="E24" s="544">
        <f t="shared" si="4"/>
        <v>0</v>
      </c>
      <c r="F24" s="544">
        <f t="shared" si="4"/>
        <v>-860000</v>
      </c>
      <c r="G24" s="544">
        <f t="shared" si="4"/>
        <v>0</v>
      </c>
      <c r="H24" s="544">
        <f t="shared" si="4"/>
        <v>-1750000</v>
      </c>
      <c r="I24" s="544">
        <f t="shared" si="4"/>
        <v>0</v>
      </c>
      <c r="J24" s="544">
        <f t="shared" si="4"/>
        <v>0</v>
      </c>
      <c r="K24" s="544">
        <f t="shared" si="4"/>
        <v>0</v>
      </c>
      <c r="L24" s="544">
        <f t="shared" si="4"/>
        <v>0</v>
      </c>
      <c r="M24" s="544">
        <f t="shared" si="4"/>
        <v>0</v>
      </c>
      <c r="N24" s="544">
        <f t="shared" si="4"/>
        <v>0</v>
      </c>
      <c r="O24" s="825"/>
    </row>
    <row r="25" spans="1:20" ht="15" customHeight="1">
      <c r="A25" s="598"/>
      <c r="B25" s="2127"/>
      <c r="C25" s="531"/>
      <c r="D25" s="531"/>
      <c r="E25" s="531"/>
      <c r="F25" s="531"/>
      <c r="G25" s="531"/>
      <c r="H25" s="531"/>
      <c r="I25" s="531"/>
      <c r="J25" s="531"/>
      <c r="K25" s="531"/>
      <c r="L25" s="531"/>
      <c r="M25" s="531"/>
      <c r="N25" s="531"/>
      <c r="O25" s="825"/>
    </row>
    <row r="26" spans="1:20" ht="15" customHeight="1">
      <c r="A26" s="598" t="s">
        <v>760</v>
      </c>
      <c r="B26" s="2134">
        <v>0</v>
      </c>
      <c r="C26" s="558">
        <f t="shared" ref="C26:N26" si="5">+C17+C24</f>
        <v>0</v>
      </c>
      <c r="D26" s="558">
        <f t="shared" si="5"/>
        <v>0</v>
      </c>
      <c r="E26" s="558">
        <f t="shared" si="5"/>
        <v>0</v>
      </c>
      <c r="F26" s="558">
        <f t="shared" si="5"/>
        <v>-860000</v>
      </c>
      <c r="G26" s="558">
        <f t="shared" si="5"/>
        <v>2400000</v>
      </c>
      <c r="H26" s="558">
        <f t="shared" si="5"/>
        <v>1850000</v>
      </c>
      <c r="I26" s="558">
        <f t="shared" si="5"/>
        <v>0</v>
      </c>
      <c r="J26" s="558">
        <f t="shared" si="5"/>
        <v>16900000</v>
      </c>
      <c r="K26" s="558">
        <f t="shared" si="5"/>
        <v>0</v>
      </c>
      <c r="L26" s="558">
        <f t="shared" si="5"/>
        <v>0</v>
      </c>
      <c r="M26" s="558">
        <f t="shared" si="5"/>
        <v>0</v>
      </c>
      <c r="N26" s="558">
        <f t="shared" si="5"/>
        <v>0</v>
      </c>
      <c r="O26" s="825"/>
    </row>
    <row r="27" spans="1:20" ht="15" customHeight="1">
      <c r="A27" s="543"/>
      <c r="B27" s="2130"/>
      <c r="C27" s="592"/>
      <c r="D27" s="592"/>
      <c r="E27" s="592"/>
      <c r="F27" s="592"/>
      <c r="G27" s="592"/>
      <c r="H27" s="592"/>
      <c r="I27" s="592"/>
      <c r="J27" s="592"/>
      <c r="K27" s="592"/>
      <c r="L27" s="592"/>
      <c r="M27" s="592"/>
      <c r="N27" s="592"/>
      <c r="O27" s="825"/>
    </row>
    <row r="28" spans="1:20">
      <c r="A28" s="18" t="s">
        <v>33</v>
      </c>
      <c r="B28" s="1074">
        <v>0</v>
      </c>
      <c r="C28" s="1458">
        <v>250000</v>
      </c>
      <c r="D28" s="1458">
        <v>250000</v>
      </c>
      <c r="E28" s="1458">
        <v>250000</v>
      </c>
      <c r="F28" s="1458">
        <v>250000</v>
      </c>
      <c r="G28" s="1458">
        <v>250000</v>
      </c>
      <c r="H28" s="1458">
        <v>250000</v>
      </c>
      <c r="I28" s="1458">
        <v>250000</v>
      </c>
      <c r="J28" s="1458">
        <v>250000</v>
      </c>
      <c r="K28" s="1458">
        <v>1000000</v>
      </c>
      <c r="L28" s="1458">
        <v>1000000</v>
      </c>
      <c r="M28" s="1458">
        <v>1000000</v>
      </c>
      <c r="N28" s="1458">
        <v>1000000</v>
      </c>
      <c r="O28" s="1"/>
      <c r="P28" s="825"/>
    </row>
    <row r="29" spans="1:20">
      <c r="A29" s="18" t="s">
        <v>34</v>
      </c>
      <c r="B29" s="1074"/>
      <c r="C29" s="1458"/>
      <c r="D29" s="1458"/>
      <c r="E29" s="1458"/>
      <c r="F29" s="1458"/>
      <c r="G29" s="1458"/>
      <c r="H29" s="1458"/>
      <c r="I29" s="1458"/>
      <c r="J29" s="1458">
        <v>-1000000</v>
      </c>
      <c r="K29" s="1458"/>
      <c r="L29" s="1458"/>
      <c r="M29" s="1458"/>
      <c r="N29" s="1458"/>
      <c r="O29" s="1"/>
      <c r="P29" s="825"/>
    </row>
    <row r="30" spans="1:20">
      <c r="A30" s="18" t="s">
        <v>35</v>
      </c>
      <c r="B30" s="2040"/>
      <c r="C30" s="6">
        <f t="shared" ref="C30:N30" si="6">B30+C28+C29</f>
        <v>250000</v>
      </c>
      <c r="D30" s="8">
        <f t="shared" si="6"/>
        <v>500000</v>
      </c>
      <c r="E30" s="8">
        <f t="shared" si="6"/>
        <v>750000</v>
      </c>
      <c r="F30" s="8">
        <f t="shared" si="6"/>
        <v>1000000</v>
      </c>
      <c r="G30" s="8">
        <f t="shared" si="6"/>
        <v>1250000</v>
      </c>
      <c r="H30" s="8">
        <f t="shared" si="6"/>
        <v>1500000</v>
      </c>
      <c r="I30" s="8">
        <f t="shared" si="6"/>
        <v>1750000</v>
      </c>
      <c r="J30" s="8">
        <f t="shared" si="6"/>
        <v>1000000</v>
      </c>
      <c r="K30" s="8">
        <f t="shared" si="6"/>
        <v>2000000</v>
      </c>
      <c r="L30" s="8">
        <f t="shared" si="6"/>
        <v>3000000</v>
      </c>
      <c r="M30" s="8">
        <f t="shared" si="6"/>
        <v>4000000</v>
      </c>
      <c r="N30" s="8">
        <f t="shared" si="6"/>
        <v>5000000</v>
      </c>
      <c r="O30" s="1473"/>
      <c r="P30" s="1473"/>
      <c r="Q30" s="1473"/>
      <c r="R30" s="1473"/>
      <c r="S30" s="1473"/>
      <c r="T30" s="1473"/>
    </row>
    <row r="31" spans="1:20" s="543" customFormat="1" ht="15" customHeight="1">
      <c r="A31" s="18"/>
      <c r="B31" s="2127"/>
      <c r="C31" s="531"/>
      <c r="D31" s="531"/>
      <c r="E31" s="531"/>
      <c r="F31" s="531"/>
      <c r="G31" s="1459"/>
      <c r="H31" s="1459"/>
      <c r="I31" s="1459"/>
      <c r="J31" s="1459"/>
      <c r="K31" s="531"/>
      <c r="L31" s="531"/>
      <c r="M31" s="531"/>
      <c r="N31" s="531"/>
      <c r="O31" s="825"/>
    </row>
    <row r="32" spans="1:20" s="543" customFormat="1" ht="15" customHeight="1" thickBot="1">
      <c r="A32" s="530" t="s">
        <v>36</v>
      </c>
      <c r="B32" s="2135"/>
      <c r="C32" s="561"/>
      <c r="D32" s="561"/>
      <c r="E32" s="561"/>
      <c r="F32" s="562"/>
      <c r="G32" s="531"/>
      <c r="H32" s="531"/>
      <c r="I32" s="531"/>
      <c r="J32" s="554"/>
      <c r="K32" s="554"/>
      <c r="L32" s="531"/>
      <c r="M32" s="531"/>
      <c r="N32" s="531"/>
      <c r="O32" s="825"/>
    </row>
    <row r="33" spans="1:21" ht="15" customHeight="1">
      <c r="A33" s="1038" t="s">
        <v>761</v>
      </c>
      <c r="B33" s="2133"/>
      <c r="C33" s="556"/>
      <c r="D33" s="555">
        <v>54039278.079999998</v>
      </c>
      <c r="E33" s="555">
        <v>54039278.079999998</v>
      </c>
      <c r="F33" s="557">
        <v>54039278.079999998</v>
      </c>
      <c r="G33" s="555">
        <v>54039278.079999998</v>
      </c>
      <c r="H33" s="555">
        <v>54039278.079999998</v>
      </c>
      <c r="I33" s="555">
        <v>54039278.079999998</v>
      </c>
      <c r="J33" s="555">
        <f>+I33</f>
        <v>54039278.079999998</v>
      </c>
      <c r="K33" s="563">
        <v>0</v>
      </c>
      <c r="L33" s="557">
        <v>0</v>
      </c>
      <c r="M33" s="557">
        <v>0</v>
      </c>
      <c r="N33" s="557">
        <v>0</v>
      </c>
      <c r="O33" s="825"/>
      <c r="P33" s="531"/>
      <c r="Q33" s="531"/>
      <c r="R33" s="531"/>
      <c r="S33" s="531"/>
      <c r="T33" s="531"/>
      <c r="U33" s="531"/>
    </row>
    <row r="34" spans="1:21" ht="15" customHeight="1">
      <c r="A34" s="981" t="s">
        <v>762</v>
      </c>
      <c r="B34" s="639"/>
      <c r="C34" s="541"/>
      <c r="D34" s="536">
        <v>12500000</v>
      </c>
      <c r="E34" s="536">
        <v>12500000</v>
      </c>
      <c r="F34" s="542">
        <f>12500000-2500000</f>
        <v>10000000</v>
      </c>
      <c r="G34" s="639">
        <f>+F34-2400000</f>
        <v>7600000</v>
      </c>
      <c r="H34" s="639">
        <f>+G34</f>
        <v>7600000</v>
      </c>
      <c r="I34" s="639">
        <f>+H34-3800000</f>
        <v>3800000</v>
      </c>
      <c r="J34" s="639">
        <f>+(I34-3800000)</f>
        <v>0</v>
      </c>
      <c r="K34" s="540"/>
      <c r="L34" s="542"/>
      <c r="M34" s="542"/>
      <c r="N34" s="542"/>
      <c r="O34" s="825"/>
      <c r="P34" s="531"/>
      <c r="Q34" s="531"/>
      <c r="R34" s="531"/>
      <c r="S34" s="531"/>
      <c r="T34" s="531"/>
      <c r="U34" s="531"/>
    </row>
    <row r="35" spans="1:21" ht="15" customHeight="1">
      <c r="A35" s="981" t="s">
        <v>763</v>
      </c>
      <c r="B35" s="639"/>
      <c r="C35" s="541"/>
      <c r="D35" s="536">
        <v>4700000</v>
      </c>
      <c r="E35" s="536">
        <v>4700000</v>
      </c>
      <c r="F35" s="542">
        <v>4700000</v>
      </c>
      <c r="G35" s="536">
        <v>4700000</v>
      </c>
      <c r="H35" s="536">
        <v>4700000</v>
      </c>
      <c r="I35" s="536">
        <v>4700000</v>
      </c>
      <c r="J35" s="536">
        <f>4700000-4700000</f>
        <v>0</v>
      </c>
      <c r="K35" s="540"/>
      <c r="L35" s="542"/>
      <c r="M35" s="542"/>
      <c r="N35" s="542"/>
      <c r="O35" s="825"/>
      <c r="P35" s="531"/>
      <c r="Q35" s="531"/>
      <c r="R35" s="531"/>
      <c r="S35" s="531"/>
      <c r="T35" s="531"/>
      <c r="U35" s="531"/>
    </row>
    <row r="36" spans="1:21" ht="15" customHeight="1">
      <c r="A36" s="981" t="s">
        <v>764</v>
      </c>
      <c r="B36" s="639"/>
      <c r="C36" s="541"/>
      <c r="D36" s="536">
        <v>3600000</v>
      </c>
      <c r="E36" s="536">
        <v>3600000</v>
      </c>
      <c r="F36" s="542">
        <v>3600000</v>
      </c>
      <c r="G36" s="536">
        <v>3600000</v>
      </c>
      <c r="H36" s="536"/>
      <c r="I36" s="536">
        <f>+H36</f>
        <v>0</v>
      </c>
      <c r="J36" s="536">
        <f>+I36</f>
        <v>0</v>
      </c>
      <c r="K36" s="540"/>
      <c r="L36" s="542"/>
      <c r="M36" s="542"/>
      <c r="N36" s="542"/>
      <c r="O36" s="825"/>
      <c r="P36" s="531"/>
      <c r="Q36" s="531"/>
      <c r="R36" s="531"/>
      <c r="S36" s="531"/>
      <c r="T36" s="531"/>
      <c r="U36" s="531"/>
    </row>
    <row r="37" spans="1:21" ht="15" customHeight="1">
      <c r="A37" s="981" t="s">
        <v>765</v>
      </c>
      <c r="B37" s="639"/>
      <c r="C37" s="541"/>
      <c r="D37" s="536"/>
      <c r="E37" s="536"/>
      <c r="F37" s="542">
        <v>1750000</v>
      </c>
      <c r="G37" s="536">
        <v>1750000</v>
      </c>
      <c r="H37" s="536"/>
      <c r="I37" s="536"/>
      <c r="J37" s="536"/>
      <c r="K37" s="540"/>
      <c r="L37" s="542"/>
      <c r="M37" s="542"/>
      <c r="N37" s="542"/>
      <c r="O37" s="825"/>
      <c r="P37" s="531"/>
      <c r="Q37" s="531"/>
      <c r="R37" s="531"/>
      <c r="S37" s="531"/>
      <c r="T37" s="531"/>
      <c r="U37" s="531"/>
    </row>
    <row r="38" spans="1:21" ht="15" customHeight="1">
      <c r="A38" s="1039" t="s">
        <v>685</v>
      </c>
      <c r="B38" s="646"/>
      <c r="C38" s="565"/>
      <c r="D38" s="564">
        <f t="shared" ref="D38:J38" si="7">SUM(D33:D37)</f>
        <v>74839278.079999998</v>
      </c>
      <c r="E38" s="564">
        <f t="shared" si="7"/>
        <v>74839278.079999998</v>
      </c>
      <c r="F38" s="566">
        <f t="shared" si="7"/>
        <v>74089278.079999998</v>
      </c>
      <c r="G38" s="564">
        <f t="shared" si="7"/>
        <v>71689278.079999998</v>
      </c>
      <c r="H38" s="564">
        <f t="shared" si="7"/>
        <v>66339278.079999998</v>
      </c>
      <c r="I38" s="564">
        <f t="shared" si="7"/>
        <v>62539278.079999998</v>
      </c>
      <c r="J38" s="566">
        <f t="shared" si="7"/>
        <v>54039278.079999998</v>
      </c>
      <c r="K38" s="567"/>
      <c r="L38" s="566"/>
      <c r="M38" s="566"/>
      <c r="N38" s="566"/>
      <c r="O38" s="825"/>
      <c r="P38" s="531"/>
      <c r="Q38" s="531"/>
      <c r="R38" s="531"/>
      <c r="S38" s="531"/>
      <c r="T38" s="531"/>
      <c r="U38" s="531"/>
    </row>
    <row r="39" spans="1:21" s="573" customFormat="1" ht="15" customHeight="1">
      <c r="A39" s="568" t="s">
        <v>766</v>
      </c>
      <c r="B39" s="2132"/>
      <c r="C39" s="570"/>
      <c r="D39" s="569"/>
      <c r="E39" s="569"/>
      <c r="F39" s="571"/>
      <c r="G39" s="569"/>
      <c r="H39" s="569"/>
      <c r="I39" s="569"/>
      <c r="J39" s="569"/>
      <c r="K39" s="572"/>
      <c r="L39" s="571"/>
      <c r="M39" s="571"/>
      <c r="N39" s="571"/>
      <c r="O39" s="825"/>
    </row>
    <row r="40" spans="1:21" s="543" customFormat="1" ht="15" customHeight="1">
      <c r="A40" s="56" t="s">
        <v>687</v>
      </c>
      <c r="B40" s="2136"/>
      <c r="C40" s="575"/>
      <c r="D40" s="574">
        <v>0.15</v>
      </c>
      <c r="E40" s="574">
        <v>0.15</v>
      </c>
      <c r="F40" s="576">
        <v>0.15</v>
      </c>
      <c r="G40" s="574">
        <v>0.15</v>
      </c>
      <c r="H40" s="574">
        <v>0.15</v>
      </c>
      <c r="I40" s="574">
        <v>0.15</v>
      </c>
      <c r="J40" s="574">
        <v>0.15</v>
      </c>
      <c r="K40" s="577"/>
      <c r="L40" s="576"/>
      <c r="M40" s="576"/>
      <c r="N40" s="576"/>
      <c r="O40" s="825"/>
    </row>
    <row r="41" spans="1:21" ht="15" customHeight="1" thickBot="1">
      <c r="A41" s="176" t="s">
        <v>767</v>
      </c>
      <c r="B41" s="2137"/>
      <c r="C41" s="579"/>
      <c r="D41" s="578">
        <f t="shared" ref="D41:N41" si="8">($P$43-D1)/365</f>
        <v>1.5041095890410958</v>
      </c>
      <c r="E41" s="578">
        <f t="shared" si="8"/>
        <v>1.252054794520548</v>
      </c>
      <c r="F41" s="580">
        <f t="shared" si="8"/>
        <v>1</v>
      </c>
      <c r="G41" s="578">
        <f t="shared" si="8"/>
        <v>0.75342465753424659</v>
      </c>
      <c r="H41" s="578">
        <f t="shared" si="8"/>
        <v>0.50410958904109593</v>
      </c>
      <c r="I41" s="578">
        <f t="shared" si="8"/>
        <v>0.25205479452054796</v>
      </c>
      <c r="J41" s="578">
        <f t="shared" si="8"/>
        <v>0</v>
      </c>
      <c r="K41" s="581">
        <f t="shared" si="8"/>
        <v>-1</v>
      </c>
      <c r="L41" s="580">
        <f t="shared" si="8"/>
        <v>-2.0027397260273974</v>
      </c>
      <c r="M41" s="580">
        <f t="shared" si="8"/>
        <v>-3.0027397260273974</v>
      </c>
      <c r="N41" s="580">
        <f t="shared" si="8"/>
        <v>-4.0027397260273974</v>
      </c>
      <c r="O41" s="825"/>
      <c r="P41" s="531"/>
      <c r="Q41" s="531"/>
      <c r="R41" s="531"/>
      <c r="S41" s="531"/>
      <c r="T41" s="531"/>
      <c r="U41" s="531"/>
    </row>
    <row r="42" spans="1:21" s="528" customFormat="1" ht="15" customHeight="1" thickBot="1">
      <c r="A42" s="582" t="s">
        <v>634</v>
      </c>
      <c r="B42" s="2138">
        <v>0</v>
      </c>
      <c r="C42" s="584">
        <f t="shared" ref="C42:J42" si="9">+C38*(1+C40)^-C41</f>
        <v>0</v>
      </c>
      <c r="D42" s="585">
        <f t="shared" si="9"/>
        <v>60650360.388301924</v>
      </c>
      <c r="E42" s="585">
        <f t="shared" si="9"/>
        <v>62825010.159360722</v>
      </c>
      <c r="F42" s="586">
        <f t="shared" si="9"/>
        <v>64425459.200000003</v>
      </c>
      <c r="G42" s="585">
        <f t="shared" si="9"/>
        <v>64524248.844028488</v>
      </c>
      <c r="H42" s="585">
        <f t="shared" si="9"/>
        <v>61826174.846628666</v>
      </c>
      <c r="I42" s="585">
        <f t="shared" si="9"/>
        <v>60374518.75224378</v>
      </c>
      <c r="J42" s="585">
        <f t="shared" si="9"/>
        <v>54039278.079999998</v>
      </c>
      <c r="K42" s="587"/>
      <c r="L42" s="588"/>
      <c r="M42" s="588"/>
      <c r="N42" s="588"/>
      <c r="O42" s="1040" t="s">
        <v>768</v>
      </c>
      <c r="P42" s="589">
        <v>45772</v>
      </c>
      <c r="Q42" s="590"/>
      <c r="R42" s="590"/>
      <c r="S42" s="590"/>
      <c r="T42" s="590"/>
      <c r="U42" s="590"/>
    </row>
    <row r="43" spans="1:21" ht="15" customHeight="1" thickBot="1">
      <c r="A43" s="591"/>
      <c r="B43" s="2137"/>
      <c r="C43" s="579"/>
      <c r="D43" s="578"/>
      <c r="E43" s="578"/>
      <c r="F43" s="580"/>
      <c r="G43" s="578"/>
      <c r="H43" s="578"/>
      <c r="I43" s="578"/>
      <c r="J43" s="578"/>
      <c r="K43" s="581"/>
      <c r="L43" s="580"/>
      <c r="M43" s="580"/>
      <c r="N43" s="580"/>
      <c r="O43" s="802" t="s">
        <v>769</v>
      </c>
      <c r="P43" s="589">
        <v>46387</v>
      </c>
      <c r="Q43" s="531"/>
      <c r="R43" s="531"/>
      <c r="S43" s="531"/>
      <c r="T43" s="531"/>
      <c r="U43" s="531"/>
    </row>
    <row r="44" spans="1:21" ht="15" customHeight="1">
      <c r="A44" s="981" t="s">
        <v>770</v>
      </c>
      <c r="B44" s="2139"/>
      <c r="C44" s="1042"/>
      <c r="D44" s="1041">
        <v>-40000000</v>
      </c>
      <c r="E44" s="1041">
        <v>-40000000</v>
      </c>
      <c r="F44" s="1043">
        <v>-39500000</v>
      </c>
      <c r="G44" s="1041">
        <f>+F44</f>
        <v>-39500000</v>
      </c>
      <c r="H44" s="1041">
        <f>+G44</f>
        <v>-39500000</v>
      </c>
      <c r="I44" s="1041">
        <f>+H44+3800000</f>
        <v>-35700000</v>
      </c>
      <c r="J44" s="1041">
        <f>+I44+3800000+2500000</f>
        <v>-29400000</v>
      </c>
      <c r="K44" s="1044">
        <v>0</v>
      </c>
      <c r="L44" s="1043">
        <v>0</v>
      </c>
      <c r="M44" s="1043">
        <v>0</v>
      </c>
      <c r="N44" s="1043">
        <v>0</v>
      </c>
      <c r="O44" s="825"/>
      <c r="P44" s="531"/>
      <c r="Q44" s="531"/>
      <c r="R44" s="531"/>
      <c r="S44" s="531"/>
      <c r="T44" s="531"/>
      <c r="U44" s="531"/>
    </row>
    <row r="45" spans="1:21" ht="15" customHeight="1">
      <c r="A45" s="981" t="s">
        <v>771</v>
      </c>
      <c r="B45" s="2139"/>
      <c r="C45" s="1042"/>
      <c r="D45" s="1041"/>
      <c r="E45" s="1041"/>
      <c r="F45" s="1043"/>
      <c r="G45" s="1041"/>
      <c r="H45" s="1041"/>
      <c r="I45" s="1041"/>
      <c r="J45" s="1041"/>
      <c r="K45" s="1044"/>
      <c r="L45" s="1043"/>
      <c r="M45" s="1043"/>
      <c r="N45" s="1043"/>
      <c r="O45" s="825"/>
      <c r="P45" s="531"/>
      <c r="Q45" s="531"/>
      <c r="R45" s="531"/>
      <c r="S45" s="531"/>
      <c r="T45" s="531"/>
      <c r="U45" s="531"/>
    </row>
    <row r="46" spans="1:21" ht="15" customHeight="1">
      <c r="A46" s="981" t="s">
        <v>772</v>
      </c>
      <c r="B46" s="2139"/>
      <c r="C46" s="1042"/>
      <c r="D46" s="1041"/>
      <c r="E46" s="1041"/>
      <c r="F46" s="1043"/>
      <c r="G46" s="1041"/>
      <c r="H46" s="1041"/>
      <c r="I46" s="1041"/>
      <c r="J46" s="1041"/>
      <c r="K46" s="1044"/>
      <c r="L46" s="1043"/>
      <c r="M46" s="1043"/>
      <c r="N46" s="1043"/>
      <c r="O46" s="825"/>
      <c r="P46" s="531"/>
      <c r="Q46" s="531"/>
      <c r="R46" s="531"/>
      <c r="S46" s="531"/>
      <c r="T46" s="531"/>
      <c r="U46" s="531"/>
    </row>
    <row r="47" spans="1:21" ht="15" customHeight="1">
      <c r="A47" s="981" t="s">
        <v>773</v>
      </c>
      <c r="B47" s="2131"/>
      <c r="C47" s="1045"/>
      <c r="D47" s="1026">
        <f t="shared" ref="D47:J48" si="10">-G63-G68</f>
        <v>-13800000</v>
      </c>
      <c r="E47" s="1026">
        <f t="shared" si="10"/>
        <v>-13800000</v>
      </c>
      <c r="F47" s="1046">
        <f t="shared" si="10"/>
        <v>-13800000</v>
      </c>
      <c r="G47" s="1026">
        <f t="shared" si="10"/>
        <v>-13800000</v>
      </c>
      <c r="H47" s="1026">
        <f t="shared" si="10"/>
        <v>-13800000</v>
      </c>
      <c r="I47" s="1026">
        <f t="shared" si="10"/>
        <v>-13800000</v>
      </c>
      <c r="J47" s="1026">
        <f t="shared" si="10"/>
        <v>-13800000</v>
      </c>
      <c r="K47" s="1047"/>
      <c r="L47" s="1046"/>
      <c r="M47" s="1046"/>
      <c r="N47" s="1046"/>
      <c r="O47" s="1048">
        <f>+(J47+1700000)/-13800000</f>
        <v>0.87681159420289856</v>
      </c>
      <c r="P47" s="531" t="s">
        <v>774</v>
      </c>
      <c r="Q47" s="531"/>
      <c r="R47" s="531"/>
      <c r="S47" s="531"/>
      <c r="T47" s="531"/>
      <c r="U47" s="531"/>
    </row>
    <row r="48" spans="1:21" ht="15" customHeight="1">
      <c r="A48" s="981" t="s">
        <v>775</v>
      </c>
      <c r="B48" s="2131"/>
      <c r="C48" s="1045"/>
      <c r="D48" s="1026">
        <f t="shared" si="10"/>
        <v>-474067.00737978669</v>
      </c>
      <c r="E48" s="1026">
        <f t="shared" si="10"/>
        <v>-993107.09908830258</v>
      </c>
      <c r="F48" s="1046">
        <f t="shared" si="10"/>
        <v>-1531020.7617742773</v>
      </c>
      <c r="G48" s="1026">
        <f t="shared" si="10"/>
        <v>-2076162.3684164416</v>
      </c>
      <c r="H48" s="1026">
        <f t="shared" si="10"/>
        <v>-2647072.130259403</v>
      </c>
      <c r="I48" s="1026">
        <f t="shared" si="10"/>
        <v>-3245128.0187747711</v>
      </c>
      <c r="J48" s="1026">
        <f t="shared" si="10"/>
        <v>-3864930.6864709673</v>
      </c>
      <c r="K48" s="1047"/>
      <c r="L48" s="1046"/>
      <c r="M48" s="1046"/>
      <c r="N48" s="1046"/>
      <c r="O48" s="825"/>
      <c r="P48" s="531"/>
      <c r="Q48" s="531"/>
      <c r="R48" s="531"/>
      <c r="S48" s="531"/>
      <c r="T48" s="531"/>
      <c r="U48" s="531"/>
    </row>
    <row r="49" spans="1:18" s="543" customFormat="1" ht="15" customHeight="1">
      <c r="A49" s="56" t="s">
        <v>615</v>
      </c>
      <c r="B49" s="639"/>
      <c r="C49" s="541"/>
      <c r="D49" s="536">
        <v>0</v>
      </c>
      <c r="E49" s="536">
        <v>0</v>
      </c>
      <c r="F49" s="1043">
        <v>-1750000</v>
      </c>
      <c r="G49" s="1041">
        <v>-1750000</v>
      </c>
      <c r="H49" s="536"/>
      <c r="I49" s="536"/>
      <c r="J49" s="536"/>
      <c r="K49" s="540"/>
      <c r="L49" s="542"/>
      <c r="M49" s="542"/>
      <c r="N49" s="542"/>
      <c r="O49" s="825"/>
    </row>
    <row r="50" spans="1:18" s="543" customFormat="1" ht="15" customHeight="1">
      <c r="A50" s="56" t="s">
        <v>776</v>
      </c>
      <c r="B50" s="639"/>
      <c r="C50" s="541"/>
      <c r="D50" s="536">
        <v>-1250000</v>
      </c>
      <c r="E50" s="536">
        <v>-1250000</v>
      </c>
      <c r="F50" s="1043">
        <v>-1250000</v>
      </c>
      <c r="G50" s="1041">
        <v>-1250000</v>
      </c>
      <c r="H50" s="536">
        <v>-1250000</v>
      </c>
      <c r="I50" s="536">
        <v>-1250000</v>
      </c>
      <c r="J50" s="536"/>
      <c r="K50" s="540"/>
      <c r="L50" s="542"/>
      <c r="M50" s="542"/>
      <c r="N50" s="542"/>
      <c r="O50" s="825"/>
    </row>
    <row r="51" spans="1:18" s="543" customFormat="1" ht="15" customHeight="1">
      <c r="A51" s="56" t="s">
        <v>777</v>
      </c>
      <c r="B51" s="639"/>
      <c r="C51" s="541"/>
      <c r="D51" s="536">
        <v>-2500000</v>
      </c>
      <c r="E51" s="536">
        <v>-2500000</v>
      </c>
      <c r="F51" s="542">
        <v>-2500000</v>
      </c>
      <c r="G51" s="1041">
        <v>-2500000</v>
      </c>
      <c r="H51" s="536">
        <v>-2500000</v>
      </c>
      <c r="I51" s="536">
        <v>-2500000</v>
      </c>
      <c r="J51" s="536"/>
      <c r="K51" s="540"/>
      <c r="L51" s="542"/>
      <c r="M51" s="542"/>
      <c r="N51" s="542"/>
      <c r="O51" s="825"/>
      <c r="P51" s="573"/>
    </row>
    <row r="52" spans="1:18" s="543" customFormat="1" ht="15" customHeight="1">
      <c r="A52" s="1049" t="s">
        <v>66</v>
      </c>
      <c r="B52" s="2128">
        <v>0</v>
      </c>
      <c r="C52" s="545">
        <f t="shared" ref="C52:J52" si="11">SUM(C44:C51)</f>
        <v>0</v>
      </c>
      <c r="D52" s="544">
        <f t="shared" si="11"/>
        <v>-58024067.007379785</v>
      </c>
      <c r="E52" s="544">
        <f t="shared" si="11"/>
        <v>-58543107.099088304</v>
      </c>
      <c r="F52" s="546">
        <f t="shared" si="11"/>
        <v>-60331020.761774279</v>
      </c>
      <c r="G52" s="544">
        <f t="shared" si="11"/>
        <v>-60876162.368416443</v>
      </c>
      <c r="H52" s="544">
        <f t="shared" si="11"/>
        <v>-59697072.130259402</v>
      </c>
      <c r="I52" s="544">
        <f t="shared" si="11"/>
        <v>-56495128.01877477</v>
      </c>
      <c r="J52" s="544">
        <f t="shared" si="11"/>
        <v>-47064930.686470971</v>
      </c>
      <c r="K52" s="547">
        <f>SUM(K44:K49)</f>
        <v>0</v>
      </c>
      <c r="L52" s="546">
        <f>SUM(L44:L49)</f>
        <v>0</v>
      </c>
      <c r="M52" s="546">
        <f>SUM(M44:M49)</f>
        <v>0</v>
      </c>
      <c r="N52" s="546">
        <f>SUM(N44:N49)</f>
        <v>0</v>
      </c>
      <c r="O52" s="825"/>
      <c r="P52" s="573"/>
    </row>
    <row r="53" spans="1:18" s="573" customFormat="1" ht="15" customHeight="1">
      <c r="A53" s="143" t="s">
        <v>732</v>
      </c>
      <c r="B53" s="2130"/>
      <c r="C53" s="593"/>
      <c r="D53" s="592"/>
      <c r="E53" s="592"/>
      <c r="F53" s="594"/>
      <c r="G53" s="592"/>
      <c r="H53" s="592"/>
      <c r="I53" s="592"/>
      <c r="J53" s="592"/>
      <c r="K53" s="595"/>
      <c r="L53" s="594">
        <f>+L52-K52</f>
        <v>0</v>
      </c>
      <c r="M53" s="594">
        <f>+M52-L52</f>
        <v>0</v>
      </c>
      <c r="N53" s="594">
        <f>+N52-M52</f>
        <v>0</v>
      </c>
      <c r="O53" s="825"/>
    </row>
    <row r="54" spans="1:18" s="573" customFormat="1" ht="15" customHeight="1">
      <c r="A54" s="596" t="s">
        <v>778</v>
      </c>
      <c r="B54" s="2134">
        <v>0</v>
      </c>
      <c r="C54" s="559">
        <f t="shared" ref="C54:J54" si="12">+C42+C52</f>
        <v>0</v>
      </c>
      <c r="D54" s="558">
        <f t="shared" si="12"/>
        <v>2626293.3809221387</v>
      </c>
      <c r="E54" s="558">
        <f t="shared" si="12"/>
        <v>4281903.060272418</v>
      </c>
      <c r="F54" s="560">
        <f t="shared" si="12"/>
        <v>4094438.4382257238</v>
      </c>
      <c r="G54" s="558">
        <f t="shared" si="12"/>
        <v>3648086.4756120443</v>
      </c>
      <c r="H54" s="558">
        <f t="shared" si="12"/>
        <v>2129102.7163692638</v>
      </c>
      <c r="I54" s="558">
        <f t="shared" si="12"/>
        <v>3879390.7334690094</v>
      </c>
      <c r="J54" s="560">
        <f t="shared" si="12"/>
        <v>6974347.3935290277</v>
      </c>
      <c r="K54" s="595"/>
      <c r="L54" s="594"/>
      <c r="M54" s="594"/>
      <c r="N54" s="594"/>
      <c r="O54" s="1022"/>
    </row>
    <row r="55" spans="1:18" s="573" customFormat="1" ht="15" customHeight="1">
      <c r="A55" s="143"/>
      <c r="B55" s="2130"/>
      <c r="C55" s="593"/>
      <c r="D55" s="592"/>
      <c r="E55" s="592"/>
      <c r="F55" s="594"/>
      <c r="G55" s="592"/>
      <c r="H55" s="592"/>
      <c r="I55" s="592"/>
      <c r="J55" s="592"/>
      <c r="K55" s="595"/>
      <c r="L55" s="594"/>
      <c r="M55" s="594"/>
      <c r="N55" s="594"/>
      <c r="O55" s="825"/>
    </row>
    <row r="56" spans="1:18" s="573" customFormat="1" ht="15" customHeight="1">
      <c r="A56" s="56" t="s">
        <v>644</v>
      </c>
      <c r="B56" s="2136">
        <v>0</v>
      </c>
      <c r="C56" s="575">
        <v>0</v>
      </c>
      <c r="D56" s="574">
        <v>0.8</v>
      </c>
      <c r="E56" s="574">
        <v>0.8</v>
      </c>
      <c r="F56" s="576">
        <v>0.8</v>
      </c>
      <c r="G56" s="574">
        <v>0.8</v>
      </c>
      <c r="H56" s="574">
        <v>0.8</v>
      </c>
      <c r="I56" s="574">
        <v>0.8</v>
      </c>
      <c r="J56" s="574">
        <v>0.85599999999999998</v>
      </c>
      <c r="K56" s="577"/>
      <c r="L56" s="576"/>
      <c r="M56" s="576"/>
      <c r="N56" s="576"/>
      <c r="O56" s="825"/>
    </row>
    <row r="57" spans="1:18" ht="15" customHeight="1">
      <c r="A57" s="988"/>
      <c r="B57" s="2131"/>
      <c r="C57" s="1045"/>
      <c r="D57" s="1026"/>
      <c r="E57" s="1026"/>
      <c r="F57" s="1046"/>
      <c r="G57" s="1026"/>
      <c r="H57" s="1026"/>
      <c r="I57" s="1026"/>
      <c r="J57" s="1026"/>
      <c r="K57" s="1047"/>
      <c r="L57" s="1046"/>
      <c r="M57" s="1046"/>
      <c r="N57" s="1046"/>
      <c r="O57" s="825"/>
    </row>
    <row r="58" spans="1:18" s="573" customFormat="1" ht="15" customHeight="1">
      <c r="A58" s="596" t="s">
        <v>130</v>
      </c>
      <c r="B58" s="2140">
        <v>0</v>
      </c>
      <c r="C58" s="551">
        <f t="shared" ref="C58:J58" si="13">+C54*C56</f>
        <v>0</v>
      </c>
      <c r="D58" s="550">
        <f t="shared" si="13"/>
        <v>2101034.7047377112</v>
      </c>
      <c r="E58" s="550">
        <f t="shared" si="13"/>
        <v>3425522.4482179345</v>
      </c>
      <c r="F58" s="552">
        <f t="shared" si="13"/>
        <v>3275550.750580579</v>
      </c>
      <c r="G58" s="550">
        <f t="shared" si="13"/>
        <v>2918469.1804896356</v>
      </c>
      <c r="H58" s="550">
        <f t="shared" si="13"/>
        <v>1703282.1730954112</v>
      </c>
      <c r="I58" s="550">
        <f t="shared" si="13"/>
        <v>3103512.5867752079</v>
      </c>
      <c r="J58" s="552">
        <f t="shared" si="13"/>
        <v>5970041.3688608473</v>
      </c>
      <c r="K58" s="572"/>
      <c r="L58" s="571"/>
      <c r="M58" s="571"/>
      <c r="N58" s="571"/>
      <c r="O58" s="825"/>
    </row>
    <row r="59" spans="1:18" ht="15" customHeight="1">
      <c r="B59" s="649"/>
      <c r="O59" s="825"/>
    </row>
    <row r="60" spans="1:18" ht="15" customHeight="1" thickBot="1">
      <c r="A60" s="598" t="s">
        <v>779</v>
      </c>
      <c r="B60" s="2141">
        <v>0</v>
      </c>
      <c r="C60" s="600">
        <f t="shared" ref="C60:N60" si="14">IF(C$1&lt;$P$43,C58+F65,0)</f>
        <v>11353679.54322795</v>
      </c>
      <c r="D60" s="601">
        <f t="shared" si="14"/>
        <v>13799239.652720192</v>
      </c>
      <c r="E60" s="601">
        <f t="shared" si="14"/>
        <v>15549102.824653054</v>
      </c>
      <c r="F60" s="602">
        <f t="shared" si="14"/>
        <v>15839974.24952361</v>
      </c>
      <c r="G60" s="603">
        <f t="shared" si="14"/>
        <v>15929659.409396553</v>
      </c>
      <c r="H60" s="604">
        <f t="shared" si="14"/>
        <v>15182357.230999554</v>
      </c>
      <c r="I60" s="604">
        <f t="shared" si="14"/>
        <v>17072719.878932104</v>
      </c>
      <c r="J60" s="602">
        <f t="shared" si="14"/>
        <v>0</v>
      </c>
      <c r="K60" s="605">
        <f t="shared" si="14"/>
        <v>0</v>
      </c>
      <c r="L60" s="605">
        <f t="shared" si="14"/>
        <v>0</v>
      </c>
      <c r="M60" s="605">
        <f t="shared" si="14"/>
        <v>0</v>
      </c>
      <c r="N60" s="605">
        <f t="shared" si="14"/>
        <v>0</v>
      </c>
      <c r="O60" s="825"/>
    </row>
    <row r="61" spans="1:18" ht="15" customHeight="1">
      <c r="R61" s="825"/>
    </row>
    <row r="62" spans="1:18" ht="15" customHeight="1">
      <c r="A62" s="606" t="s">
        <v>780</v>
      </c>
      <c r="C62" s="3" t="s">
        <v>109</v>
      </c>
      <c r="D62" s="3" t="s">
        <v>781</v>
      </c>
      <c r="E62" s="3" t="s">
        <v>782</v>
      </c>
      <c r="F62" s="607">
        <v>45761</v>
      </c>
      <c r="G62" s="608">
        <f t="shared" ref="G62:Q62" si="15">+D1</f>
        <v>45838</v>
      </c>
      <c r="H62" s="608">
        <f t="shared" si="15"/>
        <v>45930</v>
      </c>
      <c r="I62" s="608">
        <f t="shared" si="15"/>
        <v>46022</v>
      </c>
      <c r="J62" s="150">
        <f t="shared" si="15"/>
        <v>46112</v>
      </c>
      <c r="K62" s="150">
        <f t="shared" si="15"/>
        <v>46203</v>
      </c>
      <c r="L62" s="150">
        <f t="shared" si="15"/>
        <v>46295</v>
      </c>
      <c r="M62" s="150">
        <f t="shared" si="15"/>
        <v>46387</v>
      </c>
      <c r="N62" s="150">
        <f t="shared" si="15"/>
        <v>46752</v>
      </c>
      <c r="O62" s="150">
        <f t="shared" si="15"/>
        <v>47118</v>
      </c>
      <c r="P62" s="150">
        <f t="shared" si="15"/>
        <v>47483</v>
      </c>
      <c r="Q62" s="150">
        <f t="shared" si="15"/>
        <v>47848</v>
      </c>
      <c r="R62" s="825"/>
    </row>
    <row r="63" spans="1:18" ht="15" customHeight="1">
      <c r="A63" t="s">
        <v>783</v>
      </c>
      <c r="C63" s="609">
        <v>0.15</v>
      </c>
      <c r="D63" s="536">
        <v>13800000</v>
      </c>
      <c r="E63" s="610">
        <v>45751</v>
      </c>
      <c r="F63" s="524">
        <f t="shared" ref="F63:Q63" si="16">+$D$63-F68</f>
        <v>11300000</v>
      </c>
      <c r="G63" s="524">
        <f t="shared" si="16"/>
        <v>11300000</v>
      </c>
      <c r="H63" s="524">
        <f t="shared" si="16"/>
        <v>11300000</v>
      </c>
      <c r="I63" s="524">
        <f t="shared" si="16"/>
        <v>11300000</v>
      </c>
      <c r="J63" s="524">
        <f t="shared" si="16"/>
        <v>11300000</v>
      </c>
      <c r="K63" s="524">
        <f t="shared" si="16"/>
        <v>11300000</v>
      </c>
      <c r="L63" s="524">
        <f t="shared" si="16"/>
        <v>11300000</v>
      </c>
      <c r="M63" s="524">
        <f t="shared" si="16"/>
        <v>11300000</v>
      </c>
      <c r="N63" s="524">
        <f t="shared" si="16"/>
        <v>11300000</v>
      </c>
      <c r="O63" s="524">
        <f t="shared" si="16"/>
        <v>11300000</v>
      </c>
      <c r="P63" s="524">
        <f t="shared" si="16"/>
        <v>11300000</v>
      </c>
      <c r="Q63" s="524">
        <f t="shared" si="16"/>
        <v>11300000</v>
      </c>
      <c r="R63" s="825"/>
    </row>
    <row r="64" spans="1:18" ht="15" customHeight="1">
      <c r="A64" t="s">
        <v>784</v>
      </c>
      <c r="B64" s="15"/>
      <c r="C64" s="531"/>
      <c r="E64" s="150"/>
      <c r="F64" s="524">
        <f>+(D63*(1+$C$63)^((F62-E63)/360))-D63</f>
        <v>53679.543227950111</v>
      </c>
      <c r="G64" s="531">
        <f t="shared" ref="G64:Q64" si="17">(F63*(1+$C$63)^((G62-F62)/360)-F63)+(F64*(1+$C$63)^((G62-F62)/360))</f>
        <v>398204.94798248133</v>
      </c>
      <c r="H64" s="531">
        <f t="shared" si="17"/>
        <v>823580.37643511943</v>
      </c>
      <c r="I64" s="531">
        <f t="shared" si="17"/>
        <v>1264423.4989430299</v>
      </c>
      <c r="J64" s="531">
        <f t="shared" si="17"/>
        <v>1711190.2289069174</v>
      </c>
      <c r="K64" s="531">
        <f t="shared" si="17"/>
        <v>2179075.0579041434</v>
      </c>
      <c r="L64" s="531">
        <f t="shared" si="17"/>
        <v>2669207.2921568942</v>
      </c>
      <c r="M64" s="531">
        <f t="shared" si="17"/>
        <v>3177161.9367769444</v>
      </c>
      <c r="N64" s="531">
        <f t="shared" si="17"/>
        <v>5381085.1099769594</v>
      </c>
      <c r="O64" s="531">
        <f t="shared" si="17"/>
        <v>7927984.760264636</v>
      </c>
      <c r="P64" s="531">
        <f t="shared" si="17"/>
        <v>10855146.960435366</v>
      </c>
      <c r="Q64" s="531">
        <f t="shared" si="17"/>
        <v>14227924.166699456</v>
      </c>
      <c r="R64" s="825"/>
    </row>
    <row r="65" spans="1:18" ht="15" customHeight="1">
      <c r="A65" s="611" t="s">
        <v>111</v>
      </c>
      <c r="B65" s="612"/>
      <c r="C65" s="564"/>
      <c r="D65" s="611"/>
      <c r="E65" s="613"/>
      <c r="F65" s="564">
        <f t="shared" ref="F65:L65" si="18">SUM(F63:F64)</f>
        <v>11353679.54322795</v>
      </c>
      <c r="G65" s="564">
        <f t="shared" si="18"/>
        <v>11698204.947982481</v>
      </c>
      <c r="H65" s="564">
        <f t="shared" si="18"/>
        <v>12123580.37643512</v>
      </c>
      <c r="I65" s="564">
        <f t="shared" si="18"/>
        <v>12564423.498943031</v>
      </c>
      <c r="J65" s="564">
        <f t="shared" si="18"/>
        <v>13011190.228906918</v>
      </c>
      <c r="K65" s="564">
        <f t="shared" si="18"/>
        <v>13479075.057904143</v>
      </c>
      <c r="L65" s="564">
        <f t="shared" si="18"/>
        <v>13969207.292156894</v>
      </c>
      <c r="M65" s="646"/>
      <c r="N65" s="646"/>
      <c r="O65" s="646"/>
      <c r="P65" s="646"/>
      <c r="Q65" s="646"/>
      <c r="R65" s="825"/>
    </row>
    <row r="66" spans="1:18" ht="15" customHeight="1">
      <c r="B66" s="15"/>
      <c r="C66" s="531"/>
      <c r="E66" s="150"/>
      <c r="G66" s="531"/>
      <c r="R66" s="825"/>
    </row>
    <row r="67" spans="1:18" ht="15" customHeight="1">
      <c r="A67" s="606" t="s">
        <v>114</v>
      </c>
      <c r="C67" s="3" t="s">
        <v>109</v>
      </c>
      <c r="D67" s="3" t="s">
        <v>781</v>
      </c>
      <c r="E67" s="3" t="s">
        <v>782</v>
      </c>
      <c r="G67" s="531"/>
      <c r="R67" s="825"/>
    </row>
    <row r="68" spans="1:18" ht="15" customHeight="1">
      <c r="A68" t="s">
        <v>785</v>
      </c>
      <c r="C68" s="614">
        <f>+C63</f>
        <v>0.15</v>
      </c>
      <c r="D68" s="536">
        <v>2500000</v>
      </c>
      <c r="E68" s="610">
        <v>45761</v>
      </c>
      <c r="F68" s="524">
        <f>+D68</f>
        <v>2500000</v>
      </c>
      <c r="G68" s="531">
        <f t="shared" ref="G68:Q68" si="19">+F68</f>
        <v>2500000</v>
      </c>
      <c r="H68" s="524">
        <f t="shared" si="19"/>
        <v>2500000</v>
      </c>
      <c r="I68" s="531">
        <f t="shared" si="19"/>
        <v>2500000</v>
      </c>
      <c r="J68" s="531">
        <f t="shared" si="19"/>
        <v>2500000</v>
      </c>
      <c r="K68" s="531">
        <f t="shared" si="19"/>
        <v>2500000</v>
      </c>
      <c r="L68" s="531">
        <f t="shared" si="19"/>
        <v>2500000</v>
      </c>
      <c r="M68" s="531">
        <f t="shared" si="19"/>
        <v>2500000</v>
      </c>
      <c r="N68" s="531">
        <f t="shared" si="19"/>
        <v>2500000</v>
      </c>
      <c r="O68" s="531">
        <f t="shared" si="19"/>
        <v>2500000</v>
      </c>
      <c r="P68" s="531">
        <f t="shared" si="19"/>
        <v>2500000</v>
      </c>
      <c r="Q68" s="531">
        <f t="shared" si="19"/>
        <v>2500000</v>
      </c>
      <c r="R68" s="825"/>
    </row>
    <row r="69" spans="1:18" ht="15" customHeight="1">
      <c r="A69" t="s">
        <v>786</v>
      </c>
      <c r="C69" s="15"/>
      <c r="D69" s="531"/>
      <c r="E69" s="150"/>
      <c r="F69" s="531"/>
      <c r="G69" s="531">
        <f t="shared" ref="G69:Q69" si="20">+G70-G68</f>
        <v>75862.059397305362</v>
      </c>
      <c r="H69" s="531">
        <f t="shared" si="20"/>
        <v>169526.72265318315</v>
      </c>
      <c r="I69" s="531">
        <f t="shared" si="20"/>
        <v>266597.26283124741</v>
      </c>
      <c r="J69" s="531">
        <f t="shared" si="20"/>
        <v>364972.13950952422</v>
      </c>
      <c r="K69" s="531">
        <f t="shared" si="20"/>
        <v>467997.07235525968</v>
      </c>
      <c r="L69" s="531">
        <f t="shared" si="20"/>
        <v>575920.72661787691</v>
      </c>
      <c r="M69" s="531">
        <f t="shared" si="20"/>
        <v>687768.74969402282</v>
      </c>
      <c r="N69" s="531">
        <f t="shared" si="20"/>
        <v>1173057.0575084202</v>
      </c>
      <c r="O69" s="531">
        <f t="shared" si="20"/>
        <v>1733866.3617940107</v>
      </c>
      <c r="P69" s="531">
        <f t="shared" si="20"/>
        <v>2378406.7922830572</v>
      </c>
      <c r="Q69" s="531">
        <f t="shared" si="20"/>
        <v>3121068.4979932178</v>
      </c>
      <c r="R69" s="825"/>
    </row>
    <row r="70" spans="1:18" ht="15" customHeight="1">
      <c r="A70" s="611" t="s">
        <v>111</v>
      </c>
      <c r="B70" s="611"/>
      <c r="C70" s="612"/>
      <c r="D70" s="564"/>
      <c r="E70" s="613"/>
      <c r="F70" s="564"/>
      <c r="G70" s="564">
        <f t="shared" ref="G70:Q70" si="21">+G68*(1+$C$68)^((G62-$E$68)/360)</f>
        <v>2575862.0593973054</v>
      </c>
      <c r="H70" s="615">
        <f t="shared" si="21"/>
        <v>2669526.7226531832</v>
      </c>
      <c r="I70" s="564">
        <f t="shared" si="21"/>
        <v>2766597.2628312474</v>
      </c>
      <c r="J70" s="564">
        <f t="shared" si="21"/>
        <v>2864972.1395095242</v>
      </c>
      <c r="K70" s="564">
        <f t="shared" si="21"/>
        <v>2967997.0723552597</v>
      </c>
      <c r="L70" s="564">
        <f t="shared" si="21"/>
        <v>3075920.7266178769</v>
      </c>
      <c r="M70" s="564">
        <f t="shared" si="21"/>
        <v>3187768.7496940228</v>
      </c>
      <c r="N70" s="564">
        <f t="shared" si="21"/>
        <v>3673057.0575084202</v>
      </c>
      <c r="O70" s="564">
        <f t="shared" si="21"/>
        <v>4233866.3617940107</v>
      </c>
      <c r="P70" s="564">
        <f t="shared" si="21"/>
        <v>4878406.7922830572</v>
      </c>
      <c r="Q70" s="564">
        <f t="shared" si="21"/>
        <v>5621068.4979932178</v>
      </c>
      <c r="R70" s="825"/>
    </row>
    <row r="71" spans="1:18" ht="15" customHeight="1">
      <c r="R71" s="825"/>
    </row>
    <row r="72" spans="1:18" ht="15" customHeight="1">
      <c r="J72" s="648"/>
      <c r="R72" s="825"/>
    </row>
    <row r="73" spans="1:18" ht="15" customHeight="1">
      <c r="J73" s="649"/>
      <c r="R73" s="825"/>
    </row>
  </sheetData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rgb="FFB4C6E7"/>
  </sheetPr>
  <dimension ref="A1:U82"/>
  <sheetViews>
    <sheetView showGridLines="0" zoomScale="80" zoomScaleNormal="85" workbookViewId="0">
      <pane xSplit="1" ySplit="2" topLeftCell="F3" activePane="bottomRight" state="frozen"/>
      <selection pane="topRight" activeCell="B1" sqref="B1"/>
      <selection pane="bottomLeft" activeCell="A3" sqref="A3"/>
      <selection pane="bottomRight" activeCell="O61" sqref="I61:O61"/>
    </sheetView>
  </sheetViews>
  <sheetFormatPr defaultColWidth="8.68359375" defaultRowHeight="14.4"/>
  <cols>
    <col min="1" max="1" width="31.68359375" customWidth="1"/>
    <col min="2" max="2" width="16.578125" customWidth="1"/>
    <col min="3" max="3" width="14.26171875" customWidth="1"/>
    <col min="4" max="4" width="18.26171875" bestFit="1" customWidth="1"/>
    <col min="5" max="5" width="16.68359375" bestFit="1" customWidth="1"/>
    <col min="6" max="6" width="18.26171875" bestFit="1" customWidth="1"/>
    <col min="7" max="7" width="17.26171875" bestFit="1" customWidth="1"/>
    <col min="8" max="8" width="18" bestFit="1" customWidth="1"/>
    <col min="9" max="9" width="17.26171875" bestFit="1" customWidth="1"/>
    <col min="10" max="10" width="18.26171875" bestFit="1" customWidth="1"/>
    <col min="11" max="14" width="16.578125" customWidth="1"/>
    <col min="15" max="15" width="24.26171875" customWidth="1"/>
    <col min="16" max="16" width="24.68359375" customWidth="1"/>
    <col min="18" max="18" width="15.68359375" customWidth="1"/>
    <col min="19" max="21" width="14.578125" customWidth="1"/>
  </cols>
  <sheetData>
    <row r="1" spans="1:21" s="528" customFormat="1" ht="17.649999999999999" customHeight="1">
      <c r="A1" s="527" t="s">
        <v>787</v>
      </c>
      <c r="B1" s="499">
        <v>45657</v>
      </c>
      <c r="C1" s="500">
        <v>45747</v>
      </c>
      <c r="D1" s="501">
        <v>45838</v>
      </c>
      <c r="E1" s="501">
        <v>45930</v>
      </c>
      <c r="F1" s="502">
        <v>46022</v>
      </c>
      <c r="G1" s="500">
        <v>46112</v>
      </c>
      <c r="H1" s="501">
        <v>46203</v>
      </c>
      <c r="I1" s="501">
        <v>46295</v>
      </c>
      <c r="J1" s="502">
        <v>46387</v>
      </c>
      <c r="K1" s="503">
        <v>46752</v>
      </c>
      <c r="L1" s="503">
        <v>47118</v>
      </c>
      <c r="M1" s="503">
        <v>47483</v>
      </c>
      <c r="N1" s="503">
        <v>47848</v>
      </c>
      <c r="O1" s="122"/>
      <c r="P1" s="25"/>
    </row>
    <row r="2" spans="1:21" ht="15" customHeight="1">
      <c r="A2" s="529"/>
      <c r="B2" s="329" t="s">
        <v>2</v>
      </c>
      <c r="C2" s="328" t="s">
        <v>3</v>
      </c>
      <c r="D2" s="329" t="s">
        <v>4</v>
      </c>
      <c r="E2" s="329" t="s">
        <v>5</v>
      </c>
      <c r="F2" s="331" t="s">
        <v>2</v>
      </c>
      <c r="G2" s="328" t="s">
        <v>3</v>
      </c>
      <c r="H2" s="329" t="s">
        <v>4</v>
      </c>
      <c r="I2" s="329" t="s">
        <v>5</v>
      </c>
      <c r="J2" s="331" t="s">
        <v>2</v>
      </c>
      <c r="K2" s="380" t="s">
        <v>2</v>
      </c>
      <c r="L2" s="380" t="s">
        <v>2</v>
      </c>
      <c r="M2" s="380" t="s">
        <v>2</v>
      </c>
      <c r="N2" s="380" t="s">
        <v>2</v>
      </c>
      <c r="O2" s="1"/>
    </row>
    <row r="3" spans="1:21" ht="15" customHeight="1">
      <c r="A3" s="530" t="s">
        <v>37</v>
      </c>
      <c r="B3" s="531"/>
      <c r="C3" s="532"/>
      <c r="D3" s="533"/>
      <c r="E3" s="533"/>
      <c r="F3" s="534"/>
      <c r="G3" s="531"/>
      <c r="H3" s="531"/>
      <c r="I3" s="531"/>
      <c r="J3" s="531"/>
      <c r="K3" s="535"/>
      <c r="L3" s="535"/>
      <c r="M3" s="535"/>
      <c r="N3" s="535"/>
      <c r="O3" s="825"/>
      <c r="P3" s="531"/>
      <c r="Q3" s="531"/>
      <c r="R3" s="531"/>
      <c r="U3" s="531"/>
    </row>
    <row r="4" spans="1:21" ht="15" customHeight="1">
      <c r="A4" s="896" t="s">
        <v>8</v>
      </c>
      <c r="B4" s="536"/>
      <c r="C4" s="537"/>
      <c r="D4" s="538">
        <v>0</v>
      </c>
      <c r="E4" s="538">
        <v>0</v>
      </c>
      <c r="F4" s="539">
        <v>0</v>
      </c>
      <c r="G4" s="536">
        <v>0</v>
      </c>
      <c r="H4" s="536"/>
      <c r="I4" s="536">
        <v>0</v>
      </c>
      <c r="J4" s="536">
        <v>0</v>
      </c>
      <c r="K4" s="540">
        <v>0</v>
      </c>
      <c r="L4" s="540">
        <v>0</v>
      </c>
      <c r="M4" s="540">
        <v>0</v>
      </c>
      <c r="N4" s="540">
        <v>0</v>
      </c>
      <c r="O4" s="825"/>
      <c r="P4" s="531"/>
      <c r="Q4" s="531"/>
      <c r="R4" s="531"/>
      <c r="S4" s="531"/>
      <c r="T4" s="531"/>
      <c r="U4" s="531"/>
    </row>
    <row r="5" spans="1:21" s="543" customFormat="1" ht="15" customHeight="1">
      <c r="A5" s="18" t="s">
        <v>11</v>
      </c>
      <c r="B5" s="536"/>
      <c r="C5" s="541"/>
      <c r="D5" s="536"/>
      <c r="E5" s="536"/>
      <c r="F5" s="542"/>
      <c r="G5" s="536">
        <v>0</v>
      </c>
      <c r="H5" s="536"/>
      <c r="I5" s="536"/>
      <c r="J5" s="536"/>
      <c r="K5" s="540"/>
      <c r="L5" s="540"/>
      <c r="M5" s="540"/>
      <c r="N5" s="540"/>
      <c r="O5" s="825"/>
    </row>
    <row r="6" spans="1:21" s="543" customFormat="1" ht="15" customHeight="1">
      <c r="A6" s="702" t="s">
        <v>13</v>
      </c>
      <c r="B6" s="544">
        <f>SUM(B4:B5)</f>
        <v>0</v>
      </c>
      <c r="C6" s="545">
        <f>SUM(C4:C5)</f>
        <v>0</v>
      </c>
      <c r="D6" s="544">
        <f>SUM(D4:D5)</f>
        <v>0</v>
      </c>
      <c r="E6" s="544">
        <f>SUM(E4:E5)</f>
        <v>0</v>
      </c>
      <c r="F6" s="546">
        <f>SUM(F4:F5)</f>
        <v>0</v>
      </c>
      <c r="G6" s="544">
        <v>0</v>
      </c>
      <c r="H6" s="544"/>
      <c r="I6" s="544">
        <f t="shared" ref="I6:N6" si="0">SUM(I4:I5)</f>
        <v>0</v>
      </c>
      <c r="J6" s="544">
        <f t="shared" si="0"/>
        <v>0</v>
      </c>
      <c r="K6" s="547">
        <f t="shared" si="0"/>
        <v>0</v>
      </c>
      <c r="L6" s="547">
        <f t="shared" si="0"/>
        <v>0</v>
      </c>
      <c r="M6" s="547">
        <f t="shared" si="0"/>
        <v>0</v>
      </c>
      <c r="N6" s="547">
        <f t="shared" si="0"/>
        <v>0</v>
      </c>
      <c r="O6" s="825"/>
    </row>
    <row r="7" spans="1:21" s="543" customFormat="1" ht="15" customHeight="1">
      <c r="A7" s="12" t="s">
        <v>14</v>
      </c>
      <c r="B7" s="536"/>
      <c r="C7" s="541"/>
      <c r="D7" s="536"/>
      <c r="E7" s="536"/>
      <c r="F7" s="542"/>
      <c r="G7" s="536">
        <v>0</v>
      </c>
      <c r="H7" s="536"/>
      <c r="I7" s="536"/>
      <c r="J7" s="536"/>
      <c r="K7" s="540"/>
      <c r="L7" s="540"/>
      <c r="M7" s="540"/>
      <c r="N7" s="540"/>
      <c r="O7" s="825"/>
      <c r="P7" t="s">
        <v>788</v>
      </c>
      <c r="Q7">
        <v>2030</v>
      </c>
    </row>
    <row r="8" spans="1:21" s="543" customFormat="1" ht="15" customHeight="1">
      <c r="A8" s="12" t="s">
        <v>15</v>
      </c>
      <c r="B8" s="531">
        <f t="shared" ref="B8:G8" si="1">SUM(B6:B7)</f>
        <v>0</v>
      </c>
      <c r="C8" s="548">
        <f t="shared" si="1"/>
        <v>0</v>
      </c>
      <c r="D8" s="531">
        <f t="shared" si="1"/>
        <v>0</v>
      </c>
      <c r="E8" s="531">
        <f t="shared" si="1"/>
        <v>0</v>
      </c>
      <c r="F8" s="549">
        <f t="shared" si="1"/>
        <v>0</v>
      </c>
      <c r="G8" s="531">
        <f t="shared" si="1"/>
        <v>0</v>
      </c>
      <c r="H8" s="531"/>
      <c r="I8" s="531">
        <f t="shared" ref="I8:N8" si="2">SUM(I6:I7)</f>
        <v>0</v>
      </c>
      <c r="J8" s="531">
        <f t="shared" si="2"/>
        <v>0</v>
      </c>
      <c r="K8" s="535">
        <f t="shared" si="2"/>
        <v>0</v>
      </c>
      <c r="L8" s="535">
        <f t="shared" si="2"/>
        <v>0</v>
      </c>
      <c r="M8" s="535">
        <f t="shared" si="2"/>
        <v>0</v>
      </c>
      <c r="N8" s="535">
        <f t="shared" si="2"/>
        <v>0</v>
      </c>
      <c r="O8" s="825"/>
      <c r="P8" s="650" t="s">
        <v>789</v>
      </c>
      <c r="Q8" s="183">
        <v>5.5</v>
      </c>
      <c r="R8" s="183"/>
      <c r="S8" s="183"/>
    </row>
    <row r="9" spans="1:21" s="543" customFormat="1" ht="15" customHeight="1">
      <c r="A9" s="175" t="s">
        <v>16</v>
      </c>
      <c r="B9" s="550">
        <v>0</v>
      </c>
      <c r="C9" s="551">
        <v>0</v>
      </c>
      <c r="D9" s="550">
        <v>0</v>
      </c>
      <c r="E9" s="550">
        <v>0</v>
      </c>
      <c r="F9" s="552">
        <v>0</v>
      </c>
      <c r="G9" s="550">
        <f>+G8+F9</f>
        <v>0</v>
      </c>
      <c r="H9" s="550"/>
      <c r="I9" s="550"/>
      <c r="J9" s="550"/>
      <c r="K9" s="553"/>
      <c r="L9" s="553"/>
      <c r="M9" s="553"/>
      <c r="N9" s="553"/>
      <c r="O9" s="825"/>
      <c r="P9" s="650"/>
      <c r="Q9" s="183"/>
      <c r="R9" s="183"/>
      <c r="S9" s="183"/>
    </row>
    <row r="10" spans="1:21" s="543" customFormat="1" ht="15" customHeight="1">
      <c r="A10" s="18"/>
      <c r="B10" s="544"/>
      <c r="C10" s="531"/>
      <c r="D10" s="531"/>
      <c r="E10" s="531"/>
      <c r="F10" s="544"/>
      <c r="G10" s="531"/>
      <c r="H10" s="531"/>
      <c r="I10" s="531"/>
      <c r="J10" s="544"/>
      <c r="K10" s="544"/>
      <c r="L10" s="531"/>
      <c r="M10" s="531"/>
      <c r="N10" s="531"/>
      <c r="O10" s="825"/>
      <c r="P10" s="650"/>
      <c r="Q10" s="183"/>
      <c r="R10" s="183"/>
      <c r="S10" s="183"/>
    </row>
    <row r="11" spans="1:21" ht="15" customHeight="1">
      <c r="A11" s="543" t="s">
        <v>17</v>
      </c>
      <c r="B11" s="531"/>
      <c r="C11" s="531"/>
      <c r="D11" s="531"/>
      <c r="E11" s="531"/>
      <c r="F11" s="531"/>
      <c r="G11" s="531"/>
      <c r="H11" s="531"/>
      <c r="I11" s="531"/>
      <c r="J11" s="531"/>
      <c r="K11" s="531"/>
      <c r="L11" s="531"/>
      <c r="M11" s="531"/>
      <c r="N11" s="531"/>
      <c r="O11" s="825"/>
      <c r="R11" s="183"/>
      <c r="S11" s="183"/>
    </row>
    <row r="12" spans="1:21" ht="15" customHeight="1">
      <c r="A12" s="543" t="s">
        <v>18</v>
      </c>
      <c r="B12" s="531"/>
      <c r="C12" s="531"/>
      <c r="D12" s="531"/>
      <c r="E12" s="531"/>
      <c r="F12" s="531"/>
      <c r="G12" s="531"/>
      <c r="H12" s="531"/>
      <c r="I12" s="531"/>
      <c r="J12" s="531"/>
      <c r="K12" s="531"/>
      <c r="L12" s="531"/>
      <c r="M12" s="531"/>
      <c r="N12" s="531"/>
      <c r="O12" s="825"/>
      <c r="R12" s="183"/>
      <c r="S12" s="183"/>
    </row>
    <row r="13" spans="1:21" ht="15" customHeight="1">
      <c r="A13" s="1555" t="s">
        <v>790</v>
      </c>
      <c r="B13" s="2106">
        <v>0</v>
      </c>
      <c r="C13" s="1817">
        <v>0</v>
      </c>
      <c r="D13" s="1831">
        <v>0</v>
      </c>
      <c r="E13" s="1831">
        <v>0</v>
      </c>
      <c r="F13" s="1842"/>
      <c r="G13" s="1817"/>
      <c r="H13" s="1831"/>
      <c r="I13" s="1831"/>
      <c r="J13" s="1831">
        <v>-16000000</v>
      </c>
      <c r="K13" s="1817">
        <f>20000000*0</f>
        <v>0</v>
      </c>
      <c r="L13" s="1851"/>
      <c r="M13" s="1851"/>
      <c r="N13" s="1850"/>
      <c r="O13" t="s">
        <v>791</v>
      </c>
      <c r="R13" s="183"/>
      <c r="S13" s="183"/>
    </row>
    <row r="14" spans="1:21" ht="15" customHeight="1">
      <c r="A14" s="981" t="s">
        <v>792</v>
      </c>
      <c r="B14" s="536"/>
      <c r="C14" s="541"/>
      <c r="D14" s="536"/>
      <c r="E14" s="536"/>
      <c r="F14" s="542"/>
      <c r="G14" s="536"/>
      <c r="H14" s="1030"/>
      <c r="I14" s="1030"/>
      <c r="J14" s="1031"/>
      <c r="K14" s="1032"/>
      <c r="L14" s="1033"/>
      <c r="M14" s="1033"/>
      <c r="N14" s="1033"/>
      <c r="O14" s="870"/>
    </row>
    <row r="15" spans="1:21" ht="15" customHeight="1">
      <c r="A15" s="981" t="s">
        <v>792</v>
      </c>
      <c r="B15" s="536"/>
      <c r="C15" s="541"/>
      <c r="D15" s="536"/>
      <c r="E15" s="536"/>
      <c r="F15" s="542"/>
      <c r="G15" s="536"/>
      <c r="H15" s="1030"/>
      <c r="I15" s="1030"/>
      <c r="J15" s="1030"/>
      <c r="K15" s="1032"/>
      <c r="L15" s="1033"/>
      <c r="M15" s="1033"/>
      <c r="N15" s="1033"/>
      <c r="O15" s="825"/>
    </row>
    <row r="16" spans="1:21" s="543" customFormat="1" ht="15" customHeight="1">
      <c r="A16" s="981" t="s">
        <v>792</v>
      </c>
      <c r="B16" s="536"/>
      <c r="C16" s="541"/>
      <c r="D16" s="536"/>
      <c r="E16" s="536"/>
      <c r="F16" s="536"/>
      <c r="G16" s="728"/>
      <c r="H16" s="1031"/>
      <c r="I16" s="1030"/>
      <c r="J16" s="1031"/>
      <c r="K16" s="1032"/>
      <c r="L16" s="1033"/>
      <c r="M16" s="1033"/>
      <c r="N16" s="1033"/>
      <c r="O16" s="825"/>
    </row>
    <row r="17" spans="1:20" ht="15" customHeight="1">
      <c r="A17" s="1034" t="s">
        <v>321</v>
      </c>
      <c r="B17" s="544">
        <f t="shared" ref="B17:N17" si="3">SUM(B13:B16)</f>
        <v>0</v>
      </c>
      <c r="C17" s="544">
        <f t="shared" si="3"/>
        <v>0</v>
      </c>
      <c r="D17" s="544">
        <f t="shared" si="3"/>
        <v>0</v>
      </c>
      <c r="E17" s="544">
        <f t="shared" si="3"/>
        <v>0</v>
      </c>
      <c r="F17" s="544">
        <f t="shared" si="3"/>
        <v>0</v>
      </c>
      <c r="G17" s="544">
        <f t="shared" si="3"/>
        <v>0</v>
      </c>
      <c r="H17" s="1035">
        <f t="shared" si="3"/>
        <v>0</v>
      </c>
      <c r="I17" s="1035">
        <f t="shared" si="3"/>
        <v>0</v>
      </c>
      <c r="J17" s="1035">
        <f t="shared" si="3"/>
        <v>-16000000</v>
      </c>
      <c r="K17" s="1035">
        <f t="shared" si="3"/>
        <v>0</v>
      </c>
      <c r="L17" s="1035">
        <f t="shared" si="3"/>
        <v>0</v>
      </c>
      <c r="M17" s="1035">
        <f t="shared" si="3"/>
        <v>0</v>
      </c>
      <c r="N17" s="1035">
        <f t="shared" si="3"/>
        <v>0</v>
      </c>
      <c r="O17" s="825"/>
      <c r="P17" s="2115" t="s">
        <v>793</v>
      </c>
      <c r="Q17" s="2116">
        <v>7.0000000000000007E-2</v>
      </c>
      <c r="R17" s="2115"/>
      <c r="S17" s="2115"/>
      <c r="T17" s="2117"/>
    </row>
    <row r="18" spans="1:20" ht="15" customHeight="1">
      <c r="A18" s="1036" t="s">
        <v>24</v>
      </c>
      <c r="B18" s="531"/>
      <c r="C18" s="531"/>
      <c r="D18" s="531"/>
      <c r="E18" s="531"/>
      <c r="F18" s="531"/>
      <c r="G18" s="531"/>
      <c r="H18" s="1037"/>
      <c r="I18" s="1037"/>
      <c r="J18" s="1037"/>
      <c r="K18" s="1037"/>
      <c r="L18" s="1037"/>
      <c r="M18" s="1037"/>
      <c r="N18" s="1037"/>
      <c r="O18" s="825"/>
      <c r="P18" s="2117" t="s">
        <v>794</v>
      </c>
      <c r="Q18" s="2117">
        <f>+Q8/Q17</f>
        <v>78.571428571428569</v>
      </c>
      <c r="R18" s="2115"/>
      <c r="S18" s="2115"/>
      <c r="T18" s="2117"/>
    </row>
    <row r="19" spans="1:20">
      <c r="P19" s="2115" t="s">
        <v>795</v>
      </c>
      <c r="Q19" s="2115">
        <v>5</v>
      </c>
      <c r="R19" s="2117"/>
      <c r="S19" s="2117"/>
      <c r="T19" s="2117"/>
    </row>
    <row r="20" spans="1:20">
      <c r="A20" s="1555" t="s">
        <v>796</v>
      </c>
      <c r="B20" s="2106"/>
      <c r="C20" s="1817"/>
      <c r="D20" s="1831"/>
      <c r="E20" s="1831"/>
      <c r="F20" s="1842"/>
      <c r="G20" s="1817"/>
      <c r="H20" s="1831"/>
      <c r="I20" s="1831"/>
      <c r="J20" s="1831">
        <v>-1000000</v>
      </c>
      <c r="K20" s="1817"/>
      <c r="L20" s="1851"/>
      <c r="M20" s="1851"/>
      <c r="N20" s="1850"/>
      <c r="P20" s="2117"/>
      <c r="Q20" s="2117">
        <f>+Q18-Q19</f>
        <v>73.571428571428569</v>
      </c>
      <c r="R20" s="2117"/>
      <c r="S20" s="2117"/>
      <c r="T20" s="2117"/>
    </row>
    <row r="21" spans="1:20">
      <c r="A21" s="1555" t="s">
        <v>797</v>
      </c>
      <c r="B21" s="2106"/>
      <c r="C21" s="1817"/>
      <c r="D21" s="1831"/>
      <c r="E21" s="1831"/>
      <c r="F21" s="1842"/>
      <c r="G21" s="1817"/>
      <c r="H21" s="1831"/>
      <c r="I21" s="1831"/>
      <c r="J21" s="1831">
        <v>1000000</v>
      </c>
      <c r="K21" s="1817"/>
      <c r="L21" s="1851"/>
      <c r="M21" s="1851"/>
      <c r="N21" s="1850"/>
      <c r="O21" t="s">
        <v>798</v>
      </c>
      <c r="P21" s="2117"/>
      <c r="Q21" s="2117"/>
      <c r="R21" s="2117"/>
      <c r="S21" s="2117"/>
      <c r="T21" s="2117"/>
    </row>
    <row r="22" spans="1:20">
      <c r="A22" s="1555" t="s">
        <v>799</v>
      </c>
      <c r="B22" s="2106"/>
      <c r="C22" s="1817"/>
      <c r="D22" s="1831"/>
      <c r="E22" s="1831"/>
      <c r="F22" s="1842"/>
      <c r="G22" s="1817"/>
      <c r="H22" s="1831"/>
      <c r="I22" s="1831"/>
      <c r="J22" s="1831"/>
      <c r="K22" s="1817"/>
      <c r="L22" s="1817"/>
      <c r="M22" s="1817"/>
      <c r="N22" s="1804">
        <v>1750000</v>
      </c>
      <c r="P22" s="2117"/>
      <c r="Q22" s="2117"/>
      <c r="R22" s="2117"/>
      <c r="S22" s="2117"/>
      <c r="T22" s="2117"/>
    </row>
    <row r="23" spans="1:20">
      <c r="A23" s="1555" t="s">
        <v>800</v>
      </c>
      <c r="B23" s="2106"/>
      <c r="C23" s="1817"/>
      <c r="D23" s="1831"/>
      <c r="E23" s="1831"/>
      <c r="F23" s="1842"/>
      <c r="G23" s="1817"/>
      <c r="H23" s="1831"/>
      <c r="I23" s="1831"/>
      <c r="J23" s="1831"/>
      <c r="K23" s="1817"/>
      <c r="L23" s="1817">
        <f>+sat_cs2!P36</f>
        <v>20862012.987012967</v>
      </c>
      <c r="M23" s="1817"/>
      <c r="N23" s="1804"/>
      <c r="P23" s="2118" t="s">
        <v>789</v>
      </c>
      <c r="Q23" s="2115">
        <v>5.5</v>
      </c>
      <c r="R23" s="2117"/>
      <c r="S23" s="2117"/>
      <c r="T23" s="2117"/>
    </row>
    <row r="24" spans="1:20" ht="15" customHeight="1">
      <c r="A24" s="1034" t="s">
        <v>321</v>
      </c>
      <c r="B24" s="544">
        <f t="shared" ref="B24:N24" si="4">SUM(B20:B23)</f>
        <v>0</v>
      </c>
      <c r="C24" s="544">
        <f t="shared" si="4"/>
        <v>0</v>
      </c>
      <c r="D24" s="544">
        <f t="shared" si="4"/>
        <v>0</v>
      </c>
      <c r="E24" s="544">
        <f t="shared" si="4"/>
        <v>0</v>
      </c>
      <c r="F24" s="544">
        <f t="shared" si="4"/>
        <v>0</v>
      </c>
      <c r="G24" s="544">
        <f t="shared" si="4"/>
        <v>0</v>
      </c>
      <c r="H24" s="1035">
        <f t="shared" si="4"/>
        <v>0</v>
      </c>
      <c r="I24" s="1035">
        <f t="shared" si="4"/>
        <v>0</v>
      </c>
      <c r="J24" s="1035">
        <f t="shared" si="4"/>
        <v>0</v>
      </c>
      <c r="K24" s="1035">
        <f t="shared" si="4"/>
        <v>0</v>
      </c>
      <c r="L24" s="1035">
        <f t="shared" si="4"/>
        <v>20862012.987012967</v>
      </c>
      <c r="M24" s="1035">
        <f t="shared" si="4"/>
        <v>0</v>
      </c>
      <c r="N24" s="1035">
        <f t="shared" si="4"/>
        <v>1750000</v>
      </c>
      <c r="O24" s="825"/>
      <c r="P24" s="2117"/>
      <c r="Q24" s="2117"/>
      <c r="R24" s="2117"/>
      <c r="S24" s="2117"/>
      <c r="T24" s="2117"/>
    </row>
    <row r="25" spans="1:20" ht="15" customHeight="1">
      <c r="A25" s="598"/>
      <c r="B25" s="531"/>
      <c r="C25" s="531"/>
      <c r="D25" s="531"/>
      <c r="E25" s="531"/>
      <c r="F25" s="531"/>
      <c r="G25" s="531"/>
      <c r="H25" s="531"/>
      <c r="I25" s="531"/>
      <c r="J25" s="531"/>
      <c r="K25" s="531"/>
      <c r="L25" s="531"/>
      <c r="M25" s="531"/>
      <c r="N25" s="531"/>
      <c r="O25" s="825"/>
      <c r="P25" s="2117"/>
      <c r="Q25" s="2117"/>
      <c r="R25" s="2117"/>
      <c r="S25" s="2117"/>
      <c r="T25" s="2117"/>
    </row>
    <row r="26" spans="1:20" ht="15" customHeight="1">
      <c r="A26" s="749" t="s">
        <v>32</v>
      </c>
      <c r="B26" s="2107">
        <v>0</v>
      </c>
      <c r="C26" s="1818">
        <f t="shared" ref="C26:N26" si="5">C24+C17</f>
        <v>0</v>
      </c>
      <c r="D26" s="1818">
        <f t="shared" si="5"/>
        <v>0</v>
      </c>
      <c r="E26" s="1818">
        <f t="shared" si="5"/>
        <v>0</v>
      </c>
      <c r="F26" s="1818">
        <f t="shared" si="5"/>
        <v>0</v>
      </c>
      <c r="G26" s="1818">
        <f t="shared" si="5"/>
        <v>0</v>
      </c>
      <c r="H26" s="1818">
        <f t="shared" si="5"/>
        <v>0</v>
      </c>
      <c r="I26" s="1818">
        <f t="shared" si="5"/>
        <v>0</v>
      </c>
      <c r="J26" s="1818">
        <f t="shared" si="5"/>
        <v>-16000000</v>
      </c>
      <c r="K26" s="1818">
        <f t="shared" si="5"/>
        <v>0</v>
      </c>
      <c r="L26" s="1818">
        <f t="shared" si="5"/>
        <v>20862012.987012967</v>
      </c>
      <c r="M26" s="1818">
        <f t="shared" si="5"/>
        <v>0</v>
      </c>
      <c r="N26" s="1818">
        <f t="shared" si="5"/>
        <v>1750000</v>
      </c>
      <c r="O26" s="825"/>
      <c r="P26" s="2119">
        <v>31</v>
      </c>
      <c r="Q26" s="2119">
        <f>(1-Q35)*Q28</f>
        <v>53.339285714285708</v>
      </c>
      <c r="R26" s="2119"/>
      <c r="S26" s="2119"/>
      <c r="T26" s="2117"/>
    </row>
    <row r="27" spans="1:20" ht="15" customHeight="1">
      <c r="A27" s="543"/>
      <c r="B27" s="592"/>
      <c r="C27" s="592"/>
      <c r="D27" s="592"/>
      <c r="E27" s="592"/>
      <c r="F27" s="592"/>
      <c r="G27" s="592"/>
      <c r="H27" s="592"/>
      <c r="I27" s="592"/>
      <c r="J27" s="592"/>
      <c r="K27" s="592"/>
      <c r="L27" s="592"/>
      <c r="M27" s="592"/>
      <c r="N27" s="592"/>
      <c r="O27" s="825"/>
      <c r="P27" s="2117">
        <v>15</v>
      </c>
      <c r="Q27" s="2120">
        <f>+Q28-Q26</f>
        <v>20.232142857142861</v>
      </c>
      <c r="R27" s="2117"/>
      <c r="S27" s="2117"/>
      <c r="T27" s="2117"/>
    </row>
    <row r="28" spans="1:20">
      <c r="A28" s="18" t="s">
        <v>33</v>
      </c>
      <c r="B28" s="427">
        <v>0</v>
      </c>
      <c r="C28" s="1458"/>
      <c r="D28" s="1458"/>
      <c r="E28" s="1458"/>
      <c r="F28" s="1458"/>
      <c r="G28" s="1458"/>
      <c r="H28" s="1458"/>
      <c r="I28" s="1458"/>
      <c r="J28" s="1458"/>
      <c r="K28" s="1458"/>
      <c r="L28" s="1458"/>
      <c r="M28" s="1458"/>
      <c r="N28" s="1458"/>
      <c r="O28" s="1"/>
      <c r="P28" s="2117">
        <f>+SUM(P26:P27)</f>
        <v>46</v>
      </c>
      <c r="Q28" s="2120">
        <f>+Q20</f>
        <v>73.571428571428569</v>
      </c>
      <c r="R28" s="2117">
        <f>+Q28*0.7</f>
        <v>51.499999999999993</v>
      </c>
      <c r="S28" s="2117">
        <f>+R28-P26</f>
        <v>20.499999999999993</v>
      </c>
      <c r="T28" s="2117"/>
    </row>
    <row r="29" spans="1:20">
      <c r="A29" s="18" t="s">
        <v>34</v>
      </c>
      <c r="B29" s="427"/>
      <c r="C29" s="1458"/>
      <c r="D29" s="1458"/>
      <c r="E29" s="1458"/>
      <c r="F29" s="1458"/>
      <c r="G29" s="1458"/>
      <c r="H29" s="1458"/>
      <c r="I29" s="1458"/>
      <c r="J29" s="1458"/>
      <c r="K29" s="1458"/>
      <c r="L29" s="1458"/>
      <c r="M29" s="1458"/>
      <c r="N29" s="1458"/>
      <c r="O29" s="1"/>
      <c r="P29" s="2117"/>
      <c r="Q29" s="2120">
        <f>+Q28-P28</f>
        <v>27.571428571428569</v>
      </c>
      <c r="R29" s="2117"/>
      <c r="S29" s="2117"/>
      <c r="T29" s="2117"/>
    </row>
    <row r="30" spans="1:20">
      <c r="A30" s="18" t="s">
        <v>35</v>
      </c>
      <c r="B30" s="1"/>
      <c r="C30" s="6">
        <f t="shared" ref="C30:N30" si="6">B30+C28+C29</f>
        <v>0</v>
      </c>
      <c r="D30" s="8">
        <f t="shared" si="6"/>
        <v>0</v>
      </c>
      <c r="E30" s="8">
        <f t="shared" si="6"/>
        <v>0</v>
      </c>
      <c r="F30" s="8">
        <f t="shared" si="6"/>
        <v>0</v>
      </c>
      <c r="G30" s="8">
        <f t="shared" si="6"/>
        <v>0</v>
      </c>
      <c r="H30" s="8">
        <f t="shared" si="6"/>
        <v>0</v>
      </c>
      <c r="I30" s="8">
        <f t="shared" si="6"/>
        <v>0</v>
      </c>
      <c r="J30" s="8">
        <f t="shared" si="6"/>
        <v>0</v>
      </c>
      <c r="K30" s="8">
        <f t="shared" si="6"/>
        <v>0</v>
      </c>
      <c r="L30" s="8">
        <f t="shared" si="6"/>
        <v>0</v>
      </c>
      <c r="M30" s="8">
        <f t="shared" si="6"/>
        <v>0</v>
      </c>
      <c r="N30" s="8">
        <f t="shared" si="6"/>
        <v>0</v>
      </c>
      <c r="O30" s="1473"/>
      <c r="P30" s="2117"/>
      <c r="Q30" s="2120">
        <f>+Q27-P27</f>
        <v>5.2321428571428612</v>
      </c>
      <c r="R30" s="2117"/>
      <c r="S30" s="2117"/>
      <c r="T30" s="2121"/>
    </row>
    <row r="31" spans="1:20" s="543" customFormat="1" ht="15" customHeight="1">
      <c r="A31" s="18"/>
      <c r="B31" s="531"/>
      <c r="C31" s="531"/>
      <c r="D31" s="531"/>
      <c r="E31" s="531"/>
      <c r="F31" s="531"/>
      <c r="G31" s="1459"/>
      <c r="H31" s="1459"/>
      <c r="I31" s="1459"/>
      <c r="J31" s="1459"/>
      <c r="K31" s="531"/>
      <c r="L31" s="531"/>
      <c r="M31" s="531"/>
      <c r="N31" s="531"/>
      <c r="O31" s="825"/>
      <c r="P31" s="2117"/>
      <c r="Q31" s="2120">
        <f>+Q29-Q30</f>
        <v>22.339285714285708</v>
      </c>
      <c r="R31" s="2117"/>
      <c r="S31" s="2117"/>
      <c r="T31" s="2122"/>
    </row>
    <row r="32" spans="1:20" s="543" customFormat="1" ht="15" customHeight="1" thickBot="1">
      <c r="A32" s="530" t="s">
        <v>36</v>
      </c>
      <c r="B32" s="554"/>
      <c r="C32" s="561"/>
      <c r="D32" s="561"/>
      <c r="E32" s="561"/>
      <c r="F32" s="562"/>
      <c r="G32" s="531"/>
      <c r="H32" s="531"/>
      <c r="I32" s="531"/>
      <c r="J32" s="554"/>
      <c r="K32" s="554"/>
      <c r="L32" s="531"/>
      <c r="M32" s="531"/>
      <c r="N32" s="531"/>
      <c r="O32" s="825"/>
      <c r="P32" s="2117"/>
      <c r="Q32" s="2117"/>
      <c r="R32" s="2117"/>
      <c r="S32" s="2117"/>
      <c r="T32" s="2122"/>
    </row>
    <row r="33" spans="1:21" ht="15" customHeight="1">
      <c r="A33" s="1038" t="s">
        <v>801</v>
      </c>
      <c r="B33" s="2110"/>
      <c r="C33" s="1817">
        <f>B33-sat_cs2!C13</f>
        <v>0</v>
      </c>
      <c r="D33" s="1835">
        <f>C33-sat_cs2!D13</f>
        <v>0</v>
      </c>
      <c r="E33" s="1835">
        <f>D33-sat_cs2!E13</f>
        <v>0</v>
      </c>
      <c r="F33" s="1831">
        <f>E33-sat_cs2!F13</f>
        <v>0</v>
      </c>
      <c r="G33" s="1817">
        <f>-SUM(sat_cs2!$G$26:G26)</f>
        <v>0</v>
      </c>
      <c r="H33" s="1831">
        <v>0</v>
      </c>
      <c r="I33" s="1831">
        <v>0</v>
      </c>
      <c r="J33" s="1831">
        <f>-SUM(sat_cs2!$G$26:J26)</f>
        <v>16000000</v>
      </c>
      <c r="K33" s="1817">
        <f>+J33</f>
        <v>16000000</v>
      </c>
      <c r="L33" s="1817">
        <f>+K33+13000000/3</f>
        <v>20333333.333333332</v>
      </c>
      <c r="M33" s="1817">
        <f>+L33+((sat_cs2!Q27-sat_cs2!P27)/3)*1000000</f>
        <v>22077380.952380951</v>
      </c>
      <c r="N33" s="1804">
        <f>+sat_cs2!Q28*1000000-sat_cs2!P35</f>
        <v>21709415.5844156</v>
      </c>
      <c r="O33" s="825"/>
      <c r="P33" s="2117"/>
      <c r="Q33" s="2117"/>
      <c r="R33" s="2117"/>
      <c r="S33" s="2117"/>
      <c r="T33" s="2123"/>
      <c r="U33" s="531"/>
    </row>
    <row r="34" spans="1:21" ht="15" customHeight="1">
      <c r="A34" s="981"/>
      <c r="B34" s="536"/>
      <c r="C34" s="541"/>
      <c r="D34" s="536"/>
      <c r="E34" s="536"/>
      <c r="F34" s="542"/>
      <c r="G34" s="639"/>
      <c r="H34" s="639"/>
      <c r="I34" s="639"/>
      <c r="J34" s="639"/>
      <c r="K34" s="540"/>
      <c r="L34" s="542"/>
      <c r="M34" s="542"/>
      <c r="N34" s="542"/>
      <c r="O34" s="825"/>
      <c r="P34" s="185">
        <f>+P35+sat_cs2!M33</f>
        <v>73939393.939393923</v>
      </c>
      <c r="Q34" s="2117"/>
      <c r="R34" s="2115"/>
      <c r="S34" s="2115"/>
      <c r="T34" s="2123"/>
      <c r="U34" s="531"/>
    </row>
    <row r="35" spans="1:21" ht="15" customHeight="1">
      <c r="A35" s="981"/>
      <c r="B35" s="536"/>
      <c r="C35" s="541"/>
      <c r="D35" s="536"/>
      <c r="E35" s="536"/>
      <c r="F35" s="542"/>
      <c r="G35" s="536"/>
      <c r="H35" s="536"/>
      <c r="I35" s="536"/>
      <c r="J35" s="536"/>
      <c r="K35" s="540"/>
      <c r="L35" s="542"/>
      <c r="M35" s="542"/>
      <c r="N35" s="542"/>
      <c r="O35" s="825"/>
      <c r="P35" s="185">
        <f>+(sat_cs2!L33/$Q$35)-sat_cs2!M33</f>
        <v>51862012.987012967</v>
      </c>
      <c r="Q35" s="2124">
        <v>0.27500000000000002</v>
      </c>
      <c r="R35" s="2117" t="s">
        <v>802</v>
      </c>
      <c r="S35" s="2115"/>
      <c r="T35" s="2123"/>
      <c r="U35" s="531"/>
    </row>
    <row r="36" spans="1:21" ht="15" customHeight="1">
      <c r="A36" s="981"/>
      <c r="B36" s="536"/>
      <c r="C36" s="541"/>
      <c r="D36" s="536"/>
      <c r="E36" s="536"/>
      <c r="F36" s="542"/>
      <c r="G36" s="536"/>
      <c r="H36" s="536"/>
      <c r="I36" s="536"/>
      <c r="J36" s="536"/>
      <c r="K36" s="540"/>
      <c r="L36" s="542"/>
      <c r="M36" s="542"/>
      <c r="N36" s="542"/>
      <c r="O36" s="825"/>
      <c r="P36" s="185">
        <f>+P35-P26*1000000</f>
        <v>20862012.987012967</v>
      </c>
      <c r="Q36" s="2125">
        <f>1-Q35</f>
        <v>0.72499999999999998</v>
      </c>
      <c r="R36" s="2115" t="s">
        <v>56</v>
      </c>
      <c r="S36" s="2115"/>
      <c r="T36" s="2123"/>
      <c r="U36" s="531"/>
    </row>
    <row r="37" spans="1:21" ht="15" customHeight="1">
      <c r="A37" s="981"/>
      <c r="B37" s="536"/>
      <c r="C37" s="541"/>
      <c r="D37" s="536"/>
      <c r="E37" s="536"/>
      <c r="F37" s="542"/>
      <c r="G37" s="536"/>
      <c r="H37" s="536"/>
      <c r="I37" s="536"/>
      <c r="J37" s="536"/>
      <c r="K37" s="540"/>
      <c r="L37" s="542"/>
      <c r="M37" s="542"/>
      <c r="N37" s="542"/>
      <c r="O37" s="825"/>
      <c r="P37" s="2115"/>
      <c r="Q37" s="2115"/>
      <c r="R37" s="2115"/>
      <c r="S37" s="2115"/>
      <c r="T37" s="2123"/>
      <c r="U37" s="531"/>
    </row>
    <row r="38" spans="1:21" ht="15" customHeight="1">
      <c r="A38" s="1039"/>
      <c r="B38" s="564"/>
      <c r="C38" s="565"/>
      <c r="D38" s="564"/>
      <c r="E38" s="564"/>
      <c r="F38" s="566"/>
      <c r="G38" s="564"/>
      <c r="H38" s="564"/>
      <c r="I38" s="564"/>
      <c r="J38" s="566"/>
      <c r="K38" s="567"/>
      <c r="L38" s="566"/>
      <c r="M38" s="566"/>
      <c r="N38" s="566"/>
      <c r="O38" s="825"/>
      <c r="P38" s="2115"/>
      <c r="Q38" s="2115"/>
      <c r="R38" s="2115"/>
      <c r="S38" s="2115"/>
      <c r="T38" s="2123"/>
      <c r="U38" s="531"/>
    </row>
    <row r="39" spans="1:21" s="573" customFormat="1" ht="15" customHeight="1">
      <c r="A39" s="568"/>
      <c r="B39" s="569"/>
      <c r="C39" s="570"/>
      <c r="D39" s="569"/>
      <c r="E39" s="569"/>
      <c r="F39" s="571"/>
      <c r="G39" s="569"/>
      <c r="H39" s="569"/>
      <c r="I39" s="569"/>
      <c r="J39" s="569"/>
      <c r="K39" s="572"/>
      <c r="L39" s="571"/>
      <c r="M39" s="571"/>
      <c r="N39" s="571"/>
      <c r="O39" s="825"/>
      <c r="P39" s="2115"/>
      <c r="Q39" s="2115"/>
      <c r="R39" s="2115"/>
      <c r="S39" s="2115"/>
      <c r="T39" s="2126"/>
    </row>
    <row r="40" spans="1:21" s="543" customFormat="1" ht="15" customHeight="1">
      <c r="A40" s="56"/>
      <c r="B40" s="574"/>
      <c r="C40" s="575"/>
      <c r="D40" s="574"/>
      <c r="E40" s="574"/>
      <c r="F40" s="576"/>
      <c r="G40" s="574"/>
      <c r="H40" s="574"/>
      <c r="I40" s="574"/>
      <c r="J40" s="574"/>
      <c r="K40" s="577"/>
      <c r="L40" s="576"/>
      <c r="M40" s="576"/>
      <c r="N40" s="576"/>
      <c r="O40" s="825"/>
    </row>
    <row r="41" spans="1:21" ht="15" customHeight="1">
      <c r="A41" s="176"/>
      <c r="B41" s="578"/>
      <c r="C41" s="579"/>
      <c r="D41" s="578"/>
      <c r="E41" s="578"/>
      <c r="F41" s="580"/>
      <c r="G41" s="578"/>
      <c r="H41" s="578"/>
      <c r="I41" s="578"/>
      <c r="J41" s="578"/>
      <c r="K41" s="581"/>
      <c r="L41" s="580"/>
      <c r="M41" s="580"/>
      <c r="N41" s="580"/>
      <c r="O41" s="825"/>
      <c r="T41" s="531"/>
      <c r="U41" s="531"/>
    </row>
    <row r="42" spans="1:21" s="528" customFormat="1" ht="15" customHeight="1">
      <c r="A42" s="582"/>
      <c r="B42" s="583"/>
      <c r="C42" s="584"/>
      <c r="D42" s="585"/>
      <c r="E42" s="585"/>
      <c r="F42" s="586"/>
      <c r="G42" s="585"/>
      <c r="H42" s="585"/>
      <c r="I42" s="585"/>
      <c r="J42" s="585"/>
      <c r="K42" s="587"/>
      <c r="L42" s="588"/>
      <c r="M42" s="588"/>
      <c r="N42" s="588"/>
      <c r="O42" s="1040"/>
      <c r="T42" s="590"/>
      <c r="U42" s="590"/>
    </row>
    <row r="43" spans="1:21" ht="15" customHeight="1">
      <c r="A43" s="591"/>
      <c r="B43" s="578"/>
      <c r="C43" s="579"/>
      <c r="D43" s="578"/>
      <c r="E43" s="578"/>
      <c r="F43" s="580"/>
      <c r="G43" s="578"/>
      <c r="H43" s="578"/>
      <c r="I43" s="578"/>
      <c r="J43" s="578"/>
      <c r="K43" s="581"/>
      <c r="L43" s="580"/>
      <c r="M43" s="580"/>
      <c r="N43" s="580"/>
      <c r="O43" s="802"/>
      <c r="T43" s="531"/>
      <c r="U43" s="531"/>
    </row>
    <row r="44" spans="1:21" ht="15" customHeight="1">
      <c r="A44" s="981"/>
      <c r="B44" s="1041"/>
      <c r="C44" s="1042"/>
      <c r="D44" s="1041"/>
      <c r="E44" s="1041"/>
      <c r="F44" s="1043"/>
      <c r="G44" s="1041"/>
      <c r="H44" s="1041"/>
      <c r="I44" s="1041"/>
      <c r="J44" s="1041"/>
      <c r="K44" s="1044"/>
      <c r="L44" s="1043"/>
      <c r="M44" s="1043"/>
      <c r="N44" s="1043"/>
      <c r="O44" s="825"/>
      <c r="T44" s="531"/>
      <c r="U44" s="531"/>
    </row>
    <row r="45" spans="1:21" ht="15" customHeight="1">
      <c r="A45" s="981"/>
      <c r="B45" s="1041"/>
      <c r="C45" s="1042"/>
      <c r="D45" s="1041"/>
      <c r="E45" s="1041"/>
      <c r="F45" s="1043"/>
      <c r="G45" s="1041"/>
      <c r="H45" s="1041"/>
      <c r="I45" s="1041"/>
      <c r="J45" s="1041"/>
      <c r="K45" s="1044"/>
      <c r="L45" s="1043"/>
      <c r="M45" s="1043"/>
      <c r="N45" s="1043"/>
      <c r="O45" s="825"/>
      <c r="T45" s="531"/>
      <c r="U45" s="531"/>
    </row>
    <row r="46" spans="1:21" ht="15" customHeight="1">
      <c r="A46" s="981"/>
      <c r="B46" s="1041"/>
      <c r="C46" s="1042"/>
      <c r="D46" s="1041"/>
      <c r="E46" s="1041"/>
      <c r="F46" s="1043"/>
      <c r="G46" s="1041"/>
      <c r="H46" s="1041"/>
      <c r="I46" s="1041"/>
      <c r="J46" s="1041"/>
      <c r="K46" s="1044"/>
      <c r="L46" s="1043"/>
      <c r="M46" s="1043"/>
      <c r="N46" s="1043"/>
      <c r="O46" s="825"/>
      <c r="T46" s="531"/>
      <c r="U46" s="531"/>
    </row>
    <row r="47" spans="1:21" ht="15" customHeight="1">
      <c r="A47" s="981"/>
      <c r="B47" s="1026"/>
      <c r="C47" s="1045"/>
      <c r="D47" s="1026"/>
      <c r="E47" s="1026"/>
      <c r="F47" s="1046"/>
      <c r="G47" s="1026"/>
      <c r="H47" s="1026"/>
      <c r="I47" s="1026"/>
      <c r="J47" s="1026"/>
      <c r="K47" s="1047"/>
      <c r="L47" s="1046"/>
      <c r="M47" s="1046"/>
      <c r="N47" s="1046"/>
      <c r="O47" s="1048"/>
      <c r="P47" s="531"/>
      <c r="Q47" s="531"/>
      <c r="R47" s="531"/>
      <c r="S47" s="531"/>
      <c r="T47" s="531"/>
      <c r="U47" s="531"/>
    </row>
    <row r="48" spans="1:21" ht="15" customHeight="1">
      <c r="A48" s="981"/>
      <c r="B48" s="1026"/>
      <c r="C48" s="1045"/>
      <c r="D48" s="1026"/>
      <c r="E48" s="1026"/>
      <c r="F48" s="1046"/>
      <c r="G48" s="1026"/>
      <c r="H48" s="1026"/>
      <c r="I48" s="1026"/>
      <c r="J48" s="1026"/>
      <c r="K48" s="1047"/>
      <c r="L48" s="1046"/>
      <c r="M48" s="1046"/>
      <c r="N48" s="1046"/>
      <c r="O48" s="825"/>
      <c r="P48" s="531"/>
      <c r="Q48" s="531"/>
      <c r="R48" s="531"/>
      <c r="S48" s="531"/>
      <c r="T48" s="531"/>
      <c r="U48" s="531"/>
    </row>
    <row r="49" spans="1:16" s="543" customFormat="1" ht="15" customHeight="1">
      <c r="A49" s="56"/>
      <c r="B49" s="536"/>
      <c r="C49" s="541"/>
      <c r="D49" s="536"/>
      <c r="E49" s="536"/>
      <c r="F49" s="1043"/>
      <c r="G49" s="1041"/>
      <c r="H49" s="536"/>
      <c r="I49" s="536"/>
      <c r="J49" s="536"/>
      <c r="K49" s="540"/>
      <c r="L49" s="542"/>
      <c r="M49" s="542"/>
      <c r="N49" s="542"/>
      <c r="O49" s="825"/>
    </row>
    <row r="50" spans="1:16" s="543" customFormat="1" ht="15" customHeight="1">
      <c r="A50" s="56"/>
      <c r="B50" s="536"/>
      <c r="C50" s="541"/>
      <c r="D50" s="536"/>
      <c r="E50" s="536"/>
      <c r="F50" s="1043"/>
      <c r="G50" s="1041"/>
      <c r="H50" s="536"/>
      <c r="I50" s="536"/>
      <c r="J50" s="536"/>
      <c r="K50" s="540"/>
      <c r="L50" s="542"/>
      <c r="M50" s="542"/>
      <c r="N50" s="542"/>
      <c r="O50" s="825"/>
    </row>
    <row r="51" spans="1:16" s="543" customFormat="1" ht="15" customHeight="1">
      <c r="A51" s="56"/>
      <c r="B51" s="536"/>
      <c r="C51" s="541"/>
      <c r="D51" s="536"/>
      <c r="E51" s="536"/>
      <c r="F51" s="542"/>
      <c r="G51" s="1041"/>
      <c r="H51" s="536"/>
      <c r="I51" s="536"/>
      <c r="J51" s="536"/>
      <c r="K51" s="540"/>
      <c r="L51" s="542"/>
      <c r="M51" s="542"/>
      <c r="N51" s="542"/>
      <c r="O51" s="825"/>
      <c r="P51" s="573"/>
    </row>
    <row r="52" spans="1:16" s="543" customFormat="1" ht="15" customHeight="1">
      <c r="A52" s="1049"/>
      <c r="B52" s="544"/>
      <c r="C52" s="545"/>
      <c r="D52" s="544"/>
      <c r="E52" s="544"/>
      <c r="F52" s="546"/>
      <c r="G52" s="544"/>
      <c r="H52" s="544"/>
      <c r="I52" s="544"/>
      <c r="J52" s="544"/>
      <c r="K52" s="547"/>
      <c r="L52" s="546"/>
      <c r="M52" s="546"/>
      <c r="N52" s="546"/>
      <c r="O52" s="825"/>
      <c r="P52" s="573"/>
    </row>
    <row r="53" spans="1:16" s="573" customFormat="1" ht="15" customHeight="1">
      <c r="A53" s="143"/>
      <c r="B53" s="592"/>
      <c r="C53" s="593"/>
      <c r="D53" s="592"/>
      <c r="E53" s="592"/>
      <c r="F53" s="594"/>
      <c r="G53" s="592"/>
      <c r="H53" s="592"/>
      <c r="I53" s="592"/>
      <c r="J53" s="592"/>
      <c r="K53" s="595"/>
      <c r="L53" s="594"/>
      <c r="M53" s="594"/>
      <c r="N53" s="594"/>
      <c r="O53" s="825"/>
    </row>
    <row r="54" spans="1:16" s="573" customFormat="1" ht="15" customHeight="1">
      <c r="A54" s="596" t="s">
        <v>778</v>
      </c>
      <c r="B54" s="558">
        <f t="shared" ref="B54:J54" si="7">+B42+B52</f>
        <v>0</v>
      </c>
      <c r="C54" s="559">
        <f t="shared" si="7"/>
        <v>0</v>
      </c>
      <c r="D54" s="558">
        <f t="shared" si="7"/>
        <v>0</v>
      </c>
      <c r="E54" s="558">
        <f t="shared" si="7"/>
        <v>0</v>
      </c>
      <c r="F54" s="560">
        <f t="shared" si="7"/>
        <v>0</v>
      </c>
      <c r="G54" s="558">
        <f t="shared" si="7"/>
        <v>0</v>
      </c>
      <c r="H54" s="558">
        <f t="shared" si="7"/>
        <v>0</v>
      </c>
      <c r="I54" s="558">
        <f t="shared" si="7"/>
        <v>0</v>
      </c>
      <c r="J54" s="560">
        <f t="shared" si="7"/>
        <v>0</v>
      </c>
      <c r="K54" s="595"/>
      <c r="L54" s="594"/>
      <c r="M54" s="594"/>
      <c r="N54" s="594"/>
      <c r="O54" s="1022"/>
    </row>
    <row r="55" spans="1:16" s="573" customFormat="1" ht="15" customHeight="1">
      <c r="A55" s="143"/>
      <c r="B55" s="592"/>
      <c r="C55" s="593"/>
      <c r="D55" s="592"/>
      <c r="E55" s="592"/>
      <c r="F55" s="594"/>
      <c r="G55" s="592"/>
      <c r="H55" s="592"/>
      <c r="I55" s="592"/>
      <c r="J55" s="592"/>
      <c r="K55" s="595"/>
      <c r="L55" s="594"/>
      <c r="M55" s="594"/>
      <c r="N55" s="594"/>
      <c r="O55" s="825"/>
    </row>
    <row r="56" spans="1:16" s="573" customFormat="1" ht="15" customHeight="1">
      <c r="A56" s="56" t="s">
        <v>644</v>
      </c>
      <c r="B56" s="574"/>
      <c r="C56" s="575"/>
      <c r="D56" s="574">
        <v>0</v>
      </c>
      <c r="E56" s="574">
        <v>0</v>
      </c>
      <c r="F56" s="576">
        <v>0</v>
      </c>
      <c r="G56" s="574">
        <v>0</v>
      </c>
      <c r="H56" s="574">
        <v>1</v>
      </c>
      <c r="I56" s="574">
        <v>1</v>
      </c>
      <c r="J56" s="574">
        <v>1</v>
      </c>
      <c r="K56" s="574">
        <v>1</v>
      </c>
      <c r="L56" s="574">
        <v>1</v>
      </c>
      <c r="M56" s="574">
        <v>1</v>
      </c>
      <c r="N56" s="574">
        <v>1</v>
      </c>
      <c r="O56" s="825"/>
    </row>
    <row r="57" spans="1:16" ht="15" customHeight="1">
      <c r="A57" s="988"/>
      <c r="B57" s="1026"/>
      <c r="C57" s="1045"/>
      <c r="D57" s="1026"/>
      <c r="E57" s="1026"/>
      <c r="F57" s="1046"/>
      <c r="G57" s="1026"/>
      <c r="H57" s="1026"/>
      <c r="I57" s="1026"/>
      <c r="J57" s="1026"/>
      <c r="K57" s="1047"/>
      <c r="L57" s="1046"/>
      <c r="M57" s="1046"/>
      <c r="N57" s="1046"/>
      <c r="O57" s="825"/>
    </row>
    <row r="58" spans="1:16" s="573" customFormat="1" ht="15" customHeight="1">
      <c r="A58" s="596" t="s">
        <v>130</v>
      </c>
      <c r="B58" s="597">
        <f t="shared" ref="B58:J58" si="8">+B54*B56</f>
        <v>0</v>
      </c>
      <c r="C58" s="551">
        <f t="shared" si="8"/>
        <v>0</v>
      </c>
      <c r="D58" s="550">
        <f t="shared" si="8"/>
        <v>0</v>
      </c>
      <c r="E58" s="550">
        <f t="shared" si="8"/>
        <v>0</v>
      </c>
      <c r="F58" s="552">
        <f t="shared" si="8"/>
        <v>0</v>
      </c>
      <c r="G58" s="550">
        <f t="shared" si="8"/>
        <v>0</v>
      </c>
      <c r="H58" s="550">
        <f t="shared" si="8"/>
        <v>0</v>
      </c>
      <c r="I58" s="550">
        <f t="shared" si="8"/>
        <v>0</v>
      </c>
      <c r="J58" s="552">
        <f t="shared" si="8"/>
        <v>0</v>
      </c>
      <c r="K58" s="572"/>
      <c r="L58" s="571"/>
      <c r="M58" s="571"/>
      <c r="N58" s="571"/>
      <c r="O58" s="825"/>
    </row>
    <row r="59" spans="1:16" ht="15" customHeight="1">
      <c r="O59" s="825"/>
    </row>
    <row r="60" spans="1:16" ht="15" customHeight="1" thickBot="1">
      <c r="A60" s="598"/>
      <c r="B60" s="599"/>
      <c r="C60" s="600"/>
      <c r="D60" s="601"/>
      <c r="E60" s="601"/>
      <c r="F60" s="602"/>
      <c r="G60" s="603"/>
      <c r="H60" s="604"/>
      <c r="I60" s="604"/>
      <c r="J60" s="602"/>
      <c r="K60" s="605"/>
      <c r="L60" s="605"/>
      <c r="M60" s="605"/>
      <c r="N60" s="605"/>
      <c r="O60" s="825"/>
    </row>
    <row r="61" spans="1:16">
      <c r="A61" s="134" t="s">
        <v>86</v>
      </c>
      <c r="B61" s="6"/>
      <c r="C61" s="6"/>
      <c r="D61" s="6"/>
      <c r="E61" s="6"/>
      <c r="F61" s="6"/>
      <c r="G61" s="6"/>
      <c r="H61" s="6"/>
      <c r="I61" s="6"/>
      <c r="J61" s="1079"/>
      <c r="K61" s="1079"/>
      <c r="L61" s="1079"/>
      <c r="M61" s="1079"/>
      <c r="N61" s="1079"/>
      <c r="O61" s="6"/>
    </row>
    <row r="62" spans="1:16">
      <c r="A62" s="5"/>
      <c r="B62" s="6"/>
      <c r="C62" s="6"/>
      <c r="D62" s="6"/>
      <c r="E62" s="6"/>
      <c r="F62" s="6"/>
      <c r="G62" s="6"/>
      <c r="H62" s="6"/>
      <c r="I62" s="6"/>
      <c r="J62" s="1078"/>
      <c r="K62" s="1078"/>
      <c r="L62" s="1078"/>
      <c r="M62" s="1078"/>
      <c r="N62" s="1078"/>
      <c r="O62" s="6"/>
    </row>
    <row r="63" spans="1:16" ht="15" customHeight="1">
      <c r="A63" s="543" t="s">
        <v>803</v>
      </c>
      <c r="B63" s="592"/>
      <c r="C63" s="592"/>
      <c r="D63" s="592"/>
      <c r="E63" s="592"/>
      <c r="F63" s="592"/>
      <c r="G63" s="592"/>
      <c r="H63" s="592"/>
      <c r="I63" s="592"/>
      <c r="J63" s="592"/>
      <c r="K63" s="592"/>
      <c r="L63" s="592"/>
      <c r="M63" s="592"/>
      <c r="N63" s="592"/>
      <c r="O63" s="592"/>
    </row>
    <row r="64" spans="1:16" ht="15" customHeight="1">
      <c r="A64" s="543"/>
      <c r="B64" s="592"/>
      <c r="C64" s="592"/>
      <c r="D64" s="592"/>
      <c r="E64" s="592"/>
      <c r="F64" s="592"/>
      <c r="G64" s="592"/>
      <c r="H64" s="592"/>
      <c r="I64" s="592"/>
      <c r="J64" s="592"/>
      <c r="K64" s="592"/>
      <c r="L64" s="592"/>
      <c r="M64" s="592"/>
      <c r="N64" s="592"/>
      <c r="O64" s="592"/>
    </row>
    <row r="65" spans="1:15" ht="15" customHeight="1">
      <c r="A65" s="543"/>
      <c r="B65" s="592"/>
      <c r="C65" s="592"/>
      <c r="D65" s="592"/>
      <c r="E65" s="592"/>
      <c r="F65" s="592"/>
      <c r="G65" s="592"/>
      <c r="H65" s="592"/>
      <c r="I65" s="592"/>
      <c r="J65" s="592"/>
      <c r="K65" s="592"/>
      <c r="L65" s="592"/>
      <c r="M65" s="592"/>
      <c r="N65" s="592"/>
      <c r="O65" s="592"/>
    </row>
    <row r="66" spans="1:15" ht="15" customHeight="1">
      <c r="A66" s="543"/>
      <c r="B66" s="592"/>
      <c r="C66" s="592"/>
      <c r="D66" s="592"/>
      <c r="E66" s="592"/>
      <c r="F66" s="592"/>
      <c r="G66" s="592"/>
      <c r="H66" s="592"/>
      <c r="I66" s="592"/>
      <c r="J66" s="592"/>
      <c r="K66" s="592"/>
      <c r="L66" s="592"/>
      <c r="M66" s="592"/>
      <c r="N66" s="592"/>
      <c r="O66" s="592"/>
    </row>
    <row r="67" spans="1:15" ht="15" customHeight="1">
      <c r="C67" s="531"/>
      <c r="D67" s="531"/>
      <c r="E67" s="531"/>
      <c r="F67" s="531"/>
      <c r="O67" s="825"/>
    </row>
    <row r="68" spans="1:15" ht="15" customHeight="1">
      <c r="C68" s="531"/>
      <c r="D68" s="531"/>
      <c r="E68" s="531"/>
      <c r="F68" s="531"/>
      <c r="O68" s="825"/>
    </row>
    <row r="69" spans="1:15" ht="15" customHeight="1">
      <c r="C69" s="531"/>
      <c r="D69" s="531"/>
      <c r="E69" s="531"/>
      <c r="F69" s="531"/>
      <c r="O69" s="825"/>
    </row>
    <row r="70" spans="1:15" ht="15" customHeight="1">
      <c r="O70" s="825"/>
    </row>
    <row r="71" spans="1:15" ht="15" customHeight="1">
      <c r="A71" s="606" t="s">
        <v>780</v>
      </c>
      <c r="B71" s="3" t="s">
        <v>782</v>
      </c>
      <c r="C71" s="607">
        <v>45761</v>
      </c>
      <c r="D71" s="608">
        <f t="shared" ref="D71:N71" si="9">+D1</f>
        <v>45838</v>
      </c>
      <c r="E71" s="608">
        <f t="shared" si="9"/>
        <v>45930</v>
      </c>
      <c r="F71" s="608">
        <f t="shared" si="9"/>
        <v>46022</v>
      </c>
      <c r="G71" s="150">
        <f t="shared" si="9"/>
        <v>46112</v>
      </c>
      <c r="H71" s="150">
        <f t="shared" si="9"/>
        <v>46203</v>
      </c>
      <c r="I71" s="150">
        <f t="shared" si="9"/>
        <v>46295</v>
      </c>
      <c r="J71" s="150">
        <f t="shared" si="9"/>
        <v>46387</v>
      </c>
      <c r="K71" s="150">
        <f t="shared" si="9"/>
        <v>46752</v>
      </c>
      <c r="L71" s="150">
        <f t="shared" si="9"/>
        <v>47118</v>
      </c>
      <c r="M71" s="150">
        <f t="shared" si="9"/>
        <v>47483</v>
      </c>
      <c r="N71" s="150">
        <f t="shared" si="9"/>
        <v>47848</v>
      </c>
      <c r="O71" s="825"/>
    </row>
    <row r="72" spans="1:15" ht="15" customHeight="1">
      <c r="A72" t="s">
        <v>783</v>
      </c>
      <c r="B72" s="610">
        <v>45751</v>
      </c>
      <c r="C72" s="524" t="e">
        <f>+#REF!-C77</f>
        <v>#REF!</v>
      </c>
      <c r="D72" s="524" t="e">
        <f>+#REF!-D77</f>
        <v>#REF!</v>
      </c>
      <c r="E72" s="524" t="e">
        <f>+#REF!-E77</f>
        <v>#REF!</v>
      </c>
      <c r="F72" s="524" t="e">
        <f>+#REF!-F77</f>
        <v>#REF!</v>
      </c>
      <c r="G72" s="524" t="e">
        <f>+#REF!-G77</f>
        <v>#REF!</v>
      </c>
      <c r="H72" s="524" t="e">
        <f>+#REF!-H77</f>
        <v>#REF!</v>
      </c>
      <c r="I72" s="524" t="e">
        <f>+#REF!-I77</f>
        <v>#REF!</v>
      </c>
      <c r="J72" s="524" t="e">
        <f>+#REF!-J77</f>
        <v>#REF!</v>
      </c>
      <c r="K72" s="524" t="e">
        <f>+#REF!-K77</f>
        <v>#REF!</v>
      </c>
      <c r="L72" s="524" t="e">
        <f>+#REF!-L77</f>
        <v>#REF!</v>
      </c>
      <c r="M72" s="524" t="e">
        <f>+#REF!-M77</f>
        <v>#REF!</v>
      </c>
      <c r="N72" s="524" t="e">
        <f>+#REF!-N77</f>
        <v>#REF!</v>
      </c>
      <c r="O72" s="825"/>
    </row>
    <row r="73" spans="1:15" ht="15" customHeight="1">
      <c r="A73" t="s">
        <v>784</v>
      </c>
      <c r="B73" s="150"/>
      <c r="C73" s="524" t="e">
        <f>+(#REF!*(1+#REF!)^((C71-B72)/360))-#REF!</f>
        <v>#REF!</v>
      </c>
      <c r="D73" s="531" t="e">
        <f>(C72*(1+#REF!)^((D71-C71)/360)-C72)+(C73*(1+#REF!)^((D71-C71)/360))</f>
        <v>#REF!</v>
      </c>
      <c r="E73" s="531" t="e">
        <f>(D72*(1+#REF!)^((E71-D71)/360)-D72)+(D73*(1+#REF!)^((E71-D71)/360))</f>
        <v>#REF!</v>
      </c>
      <c r="F73" s="531" t="e">
        <f>(E72*(1+#REF!)^((F71-E71)/360)-E72)+(E73*(1+#REF!)^((F71-E71)/360))</f>
        <v>#REF!</v>
      </c>
      <c r="G73" s="531" t="e">
        <f>(F72*(1+#REF!)^((G71-F71)/360)-F72)+(F73*(1+#REF!)^((G71-F71)/360))</f>
        <v>#REF!</v>
      </c>
      <c r="H73" s="531" t="e">
        <f>(G72*(1+#REF!)^((H71-G71)/360)-G72)+(G73*(1+#REF!)^((H71-G71)/360))</f>
        <v>#REF!</v>
      </c>
      <c r="I73" s="531" t="e">
        <f>(H72*(1+#REF!)^((I71-H71)/360)-H72)+(H73*(1+#REF!)^((I71-H71)/360))</f>
        <v>#REF!</v>
      </c>
      <c r="J73" s="531" t="e">
        <f>(I72*(1+#REF!)^((J71-I71)/360)-I72)+(I73*(1+#REF!)^((J71-I71)/360))</f>
        <v>#REF!</v>
      </c>
      <c r="K73" s="531" t="e">
        <f>(J72*(1+#REF!)^((K71-J71)/360)-J72)+(J73*(1+#REF!)^((K71-J71)/360))</f>
        <v>#REF!</v>
      </c>
      <c r="L73" s="531" t="e">
        <f>(K72*(1+#REF!)^((L71-K71)/360)-K72)+(K73*(1+#REF!)^((L71-K71)/360))</f>
        <v>#REF!</v>
      </c>
      <c r="M73" s="531" t="e">
        <f>(L72*(1+#REF!)^((M71-L71)/360)-L72)+(L73*(1+#REF!)^((M71-L71)/360))</f>
        <v>#REF!</v>
      </c>
      <c r="N73" s="531" t="e">
        <f>(M72*(1+#REF!)^((N71-M71)/360)-M72)+(M73*(1+#REF!)^((N71-M71)/360))</f>
        <v>#REF!</v>
      </c>
      <c r="O73" s="825"/>
    </row>
    <row r="74" spans="1:15" ht="15" customHeight="1">
      <c r="A74" s="611" t="s">
        <v>111</v>
      </c>
      <c r="B74" s="613"/>
      <c r="C74" s="564" t="e">
        <f t="shared" ref="C74:I74" si="10">SUM(C72:C73)</f>
        <v>#REF!</v>
      </c>
      <c r="D74" s="564" t="e">
        <f t="shared" si="10"/>
        <v>#REF!</v>
      </c>
      <c r="E74" s="564" t="e">
        <f t="shared" si="10"/>
        <v>#REF!</v>
      </c>
      <c r="F74" s="564" t="e">
        <f t="shared" si="10"/>
        <v>#REF!</v>
      </c>
      <c r="G74" s="564" t="e">
        <f t="shared" si="10"/>
        <v>#REF!</v>
      </c>
      <c r="H74" s="564" t="e">
        <f t="shared" si="10"/>
        <v>#REF!</v>
      </c>
      <c r="I74" s="564" t="e">
        <f t="shared" si="10"/>
        <v>#REF!</v>
      </c>
      <c r="J74" s="646"/>
      <c r="K74" s="646"/>
      <c r="L74" s="646"/>
      <c r="M74" s="646"/>
      <c r="N74" s="646"/>
      <c r="O74" s="825"/>
    </row>
    <row r="75" spans="1:15" ht="15" customHeight="1">
      <c r="B75" s="150"/>
      <c r="D75" s="531"/>
      <c r="O75" s="825"/>
    </row>
    <row r="76" spans="1:15" ht="15" customHeight="1">
      <c r="A76" s="606" t="s">
        <v>114</v>
      </c>
      <c r="B76" s="3" t="s">
        <v>782</v>
      </c>
      <c r="D76" s="531"/>
      <c r="O76" s="825"/>
    </row>
    <row r="77" spans="1:15" ht="15" customHeight="1">
      <c r="A77" t="s">
        <v>785</v>
      </c>
      <c r="B77" s="610">
        <v>45761</v>
      </c>
      <c r="C77" s="524" t="e">
        <f>+#REF!</f>
        <v>#REF!</v>
      </c>
      <c r="D77" s="531" t="e">
        <f t="shared" ref="D77:N77" si="11">+C77</f>
        <v>#REF!</v>
      </c>
      <c r="E77" s="524" t="e">
        <f t="shared" si="11"/>
        <v>#REF!</v>
      </c>
      <c r="F77" s="531" t="e">
        <f t="shared" si="11"/>
        <v>#REF!</v>
      </c>
      <c r="G77" s="531" t="e">
        <f t="shared" si="11"/>
        <v>#REF!</v>
      </c>
      <c r="H77" s="531" t="e">
        <f t="shared" si="11"/>
        <v>#REF!</v>
      </c>
      <c r="I77" s="531" t="e">
        <f t="shared" si="11"/>
        <v>#REF!</v>
      </c>
      <c r="J77" s="531" t="e">
        <f t="shared" si="11"/>
        <v>#REF!</v>
      </c>
      <c r="K77" s="531" t="e">
        <f t="shared" si="11"/>
        <v>#REF!</v>
      </c>
      <c r="L77" s="531" t="e">
        <f t="shared" si="11"/>
        <v>#REF!</v>
      </c>
      <c r="M77" s="531" t="e">
        <f t="shared" si="11"/>
        <v>#REF!</v>
      </c>
      <c r="N77" s="531" t="e">
        <f t="shared" si="11"/>
        <v>#REF!</v>
      </c>
      <c r="O77" s="825"/>
    </row>
    <row r="78" spans="1:15" ht="15" customHeight="1">
      <c r="A78" t="s">
        <v>786</v>
      </c>
      <c r="B78" s="150"/>
      <c r="C78" s="531"/>
      <c r="D78" s="531" t="e">
        <f t="shared" ref="D78:N78" si="12">+D79-D77</f>
        <v>#REF!</v>
      </c>
      <c r="E78" s="531" t="e">
        <f t="shared" si="12"/>
        <v>#REF!</v>
      </c>
      <c r="F78" s="531" t="e">
        <f t="shared" si="12"/>
        <v>#REF!</v>
      </c>
      <c r="G78" s="531" t="e">
        <f t="shared" si="12"/>
        <v>#REF!</v>
      </c>
      <c r="H78" s="531" t="e">
        <f t="shared" si="12"/>
        <v>#REF!</v>
      </c>
      <c r="I78" s="531" t="e">
        <f t="shared" si="12"/>
        <v>#REF!</v>
      </c>
      <c r="J78" s="531" t="e">
        <f t="shared" si="12"/>
        <v>#REF!</v>
      </c>
      <c r="K78" s="531" t="e">
        <f t="shared" si="12"/>
        <v>#REF!</v>
      </c>
      <c r="L78" s="531" t="e">
        <f t="shared" si="12"/>
        <v>#REF!</v>
      </c>
      <c r="M78" s="531" t="e">
        <f t="shared" si="12"/>
        <v>#REF!</v>
      </c>
      <c r="N78" s="531" t="e">
        <f t="shared" si="12"/>
        <v>#REF!</v>
      </c>
      <c r="O78" s="825"/>
    </row>
    <row r="79" spans="1:15" ht="15" customHeight="1">
      <c r="A79" s="611" t="s">
        <v>111</v>
      </c>
      <c r="B79" s="613"/>
      <c r="C79" s="564"/>
      <c r="D79" s="564" t="e">
        <f>+D77*(1+#REF!)^((D71-$B$77)/360)</f>
        <v>#REF!</v>
      </c>
      <c r="E79" s="615" t="e">
        <f>+E77*(1+#REF!)^((E71-$B$77)/360)</f>
        <v>#REF!</v>
      </c>
      <c r="F79" s="564" t="e">
        <f>+F77*(1+#REF!)^((F71-$B$77)/360)</f>
        <v>#REF!</v>
      </c>
      <c r="G79" s="564" t="e">
        <f>+G77*(1+#REF!)^((G71-$B$77)/360)</f>
        <v>#REF!</v>
      </c>
      <c r="H79" s="564" t="e">
        <f>+H77*(1+#REF!)^((H71-$B$77)/360)</f>
        <v>#REF!</v>
      </c>
      <c r="I79" s="564" t="e">
        <f>+I77*(1+#REF!)^((I71-$B$77)/360)</f>
        <v>#REF!</v>
      </c>
      <c r="J79" s="564" t="e">
        <f>+J77*(1+#REF!)^((J71-$B$77)/360)</f>
        <v>#REF!</v>
      </c>
      <c r="K79" s="564" t="e">
        <f>+K77*(1+#REF!)^((K71-$B$77)/360)</f>
        <v>#REF!</v>
      </c>
      <c r="L79" s="564" t="e">
        <f>+L77*(1+#REF!)^((L71-$B$77)/360)</f>
        <v>#REF!</v>
      </c>
      <c r="M79" s="564" t="e">
        <f>+M77*(1+#REF!)^((M71-$B$77)/360)</f>
        <v>#REF!</v>
      </c>
      <c r="N79" s="564" t="e">
        <f>+N77*(1+#REF!)^((N71-$B$77)/360)</f>
        <v>#REF!</v>
      </c>
      <c r="O79" s="825"/>
    </row>
    <row r="80" spans="1:15" ht="15" customHeight="1">
      <c r="O80" s="825"/>
    </row>
    <row r="81" spans="7:15" ht="15" customHeight="1">
      <c r="G81" s="648"/>
      <c r="O81" s="825"/>
    </row>
    <row r="82" spans="7:15" ht="15" customHeight="1">
      <c r="G82" s="649"/>
      <c r="O82" s="825"/>
    </row>
  </sheetData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F4B084"/>
  </sheetPr>
  <dimension ref="B2:C5"/>
  <sheetViews>
    <sheetView workbookViewId="0">
      <selection activeCell="F16" sqref="F16"/>
    </sheetView>
  </sheetViews>
  <sheetFormatPr defaultRowHeight="14.4"/>
  <sheetData>
    <row r="2" spans="2:3" ht="14.7" customHeight="1" thickBot="1"/>
    <row r="3" spans="2:3" ht="14.7" customHeight="1" thickBot="1">
      <c r="B3" s="768" t="s">
        <v>804</v>
      </c>
      <c r="C3" s="440">
        <v>3</v>
      </c>
    </row>
    <row r="4" spans="2:3" ht="14.7" customHeight="1" thickBot="1">
      <c r="B4" s="18" t="s">
        <v>805</v>
      </c>
      <c r="C4" s="438">
        <v>0.152</v>
      </c>
    </row>
    <row r="5" spans="2:3" ht="14.7" customHeight="1" thickBot="1">
      <c r="B5" s="18" t="s">
        <v>806</v>
      </c>
      <c r="C5" s="439">
        <v>3.9E-2</v>
      </c>
    </row>
  </sheetData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9">
    <tabColor rgb="FFF4B084"/>
    <pageSetUpPr autoPageBreaks="0"/>
  </sheetPr>
  <dimension ref="A1:BB163"/>
  <sheetViews>
    <sheetView showGridLines="0" zoomScale="85" zoomScaleNormal="85" workbookViewId="0">
      <pane xSplit="1" ySplit="4" topLeftCell="B5" activePane="bottomRight" state="frozen"/>
      <selection activeCell="E16" sqref="E16"/>
      <selection pane="topRight" activeCell="E16" sqref="E16"/>
      <selection pane="bottomLeft" activeCell="E16" sqref="E16"/>
      <selection pane="bottomRight" activeCell="D22" sqref="D22"/>
    </sheetView>
  </sheetViews>
  <sheetFormatPr defaultRowHeight="14.4" outlineLevelCol="1"/>
  <cols>
    <col min="1" max="1" width="43.26171875" style="29" bestFit="1" customWidth="1"/>
    <col min="2" max="2" width="14.26171875" style="29" customWidth="1" outlineLevel="1"/>
    <col min="3" max="3" width="19.68359375" style="29" customWidth="1" outlineLevel="1"/>
    <col min="4" max="4" width="16" style="29" customWidth="1" outlineLevel="1"/>
    <col min="5" max="5" width="16.26171875" style="29" customWidth="1" outlineLevel="1"/>
    <col min="6" max="6" width="16.26171875" style="29" bestFit="1" customWidth="1"/>
    <col min="7" max="8" width="14.68359375" style="29" bestFit="1" customWidth="1"/>
    <col min="9" max="9" width="16.26171875" style="29" bestFit="1" customWidth="1"/>
    <col min="10" max="10" width="15.68359375" style="29" bestFit="1" customWidth="1"/>
    <col min="11" max="11" width="17.41796875" style="29" bestFit="1" customWidth="1"/>
    <col min="12" max="12" width="15.68359375" style="29" bestFit="1" customWidth="1"/>
    <col min="13" max="13" width="16.26171875" style="29" bestFit="1" customWidth="1"/>
    <col min="14" max="14" width="17.41796875" style="29" bestFit="1" customWidth="1"/>
    <col min="15" max="18" width="17.41796875" bestFit="1" customWidth="1"/>
    <col min="19" max="19" width="18.68359375" bestFit="1" customWidth="1"/>
    <col min="20" max="20" width="24.26171875" bestFit="1" customWidth="1"/>
    <col min="21" max="21" width="18.68359375" bestFit="1" customWidth="1"/>
    <col min="22" max="22" width="28" bestFit="1" customWidth="1"/>
    <col min="23" max="23" width="9.68359375" bestFit="1" customWidth="1"/>
    <col min="24" max="24" width="14.41796875" bestFit="1" customWidth="1"/>
    <col min="25" max="25" width="13.41796875" bestFit="1" customWidth="1"/>
    <col min="26" max="26" width="14.41796875" bestFit="1" customWidth="1"/>
    <col min="27" max="28" width="8.41796875" bestFit="1" customWidth="1"/>
    <col min="29" max="29" width="5.26171875" bestFit="1" customWidth="1"/>
    <col min="30" max="30" width="7" bestFit="1" customWidth="1"/>
    <col min="31" max="31" width="5.578125" bestFit="1" customWidth="1"/>
    <col min="32" max="32" width="6.26171875" bestFit="1" customWidth="1"/>
    <col min="33" max="33" width="7.41796875" bestFit="1" customWidth="1"/>
    <col min="34" max="34" width="7" bestFit="1" customWidth="1"/>
    <col min="35" max="35" width="5.578125" bestFit="1" customWidth="1"/>
    <col min="36" max="36" width="10.41796875" bestFit="1" customWidth="1"/>
    <col min="37" max="37" width="5.41796875" bestFit="1" customWidth="1"/>
    <col min="38" max="38" width="12.26171875" bestFit="1" customWidth="1"/>
    <col min="39" max="40" width="5.41796875" bestFit="1" customWidth="1"/>
    <col min="41" max="41" width="7.578125" bestFit="1" customWidth="1"/>
    <col min="42" max="42" width="7.41796875" bestFit="1" customWidth="1"/>
    <col min="43" max="43" width="7" bestFit="1" customWidth="1"/>
    <col min="44" max="44" width="5.41796875" bestFit="1" customWidth="1"/>
    <col min="45" max="45" width="6.26171875" bestFit="1" customWidth="1"/>
    <col min="46" max="48" width="5.41796875" bestFit="1" customWidth="1"/>
    <col min="49" max="49" width="5.578125" bestFit="1" customWidth="1"/>
    <col min="50" max="50" width="7.41796875" bestFit="1" customWidth="1"/>
    <col min="51" max="51" width="7" bestFit="1" customWidth="1"/>
    <col min="52" max="52" width="5.26171875" bestFit="1" customWidth="1"/>
    <col min="53" max="53" width="22.68359375" bestFit="1" customWidth="1"/>
  </cols>
  <sheetData>
    <row r="1" spans="1:49" ht="18.3" customHeight="1">
      <c r="A1" s="776" t="str">
        <f t="array" aca="1" ref="A1" ca="1">_xlfn.TEXTAFTER(CELL("filename",A1),"]")</f>
        <v>c12_oc</v>
      </c>
      <c r="B1" s="2151"/>
      <c r="C1" s="824"/>
      <c r="D1" s="824"/>
      <c r="E1" s="824"/>
      <c r="F1" s="824"/>
      <c r="G1" s="824"/>
      <c r="H1" s="824"/>
      <c r="I1" s="824"/>
      <c r="J1" s="824"/>
      <c r="K1" s="824"/>
      <c r="L1" s="824"/>
      <c r="M1" s="824"/>
      <c r="N1" s="824"/>
      <c r="P1" s="825"/>
    </row>
    <row r="2" spans="1:49">
      <c r="A2" s="774" t="s">
        <v>120</v>
      </c>
      <c r="B2" s="2152">
        <v>45657</v>
      </c>
      <c r="C2" s="826">
        <v>45747</v>
      </c>
      <c r="D2" s="826">
        <v>45838</v>
      </c>
      <c r="E2" s="826">
        <v>45930</v>
      </c>
      <c r="F2" s="826">
        <v>46022</v>
      </c>
      <c r="G2" s="826">
        <v>46112</v>
      </c>
      <c r="H2" s="826">
        <v>46203</v>
      </c>
      <c r="I2" s="826">
        <v>46295</v>
      </c>
      <c r="J2" s="826">
        <v>46387</v>
      </c>
      <c r="K2" s="826">
        <v>46752</v>
      </c>
      <c r="L2" s="826">
        <v>47118</v>
      </c>
      <c r="M2" s="826">
        <v>47483</v>
      </c>
      <c r="N2" s="826">
        <v>47848</v>
      </c>
    </row>
    <row r="3" spans="1:49">
      <c r="A3" s="813" t="s">
        <v>222</v>
      </c>
      <c r="B3" s="2153" t="s">
        <v>2</v>
      </c>
      <c r="C3" s="827" t="s">
        <v>3</v>
      </c>
      <c r="D3" s="827" t="s">
        <v>4</v>
      </c>
      <c r="E3" s="827" t="s">
        <v>5</v>
      </c>
      <c r="F3" s="827" t="s">
        <v>2</v>
      </c>
      <c r="G3" s="827" t="s">
        <v>3</v>
      </c>
      <c r="H3" s="827" t="s">
        <v>4</v>
      </c>
      <c r="I3" s="827" t="s">
        <v>5</v>
      </c>
      <c r="J3" s="827" t="s">
        <v>2</v>
      </c>
      <c r="K3" s="827" t="s">
        <v>2</v>
      </c>
      <c r="L3" s="827" t="s">
        <v>2</v>
      </c>
      <c r="M3" s="827" t="s">
        <v>2</v>
      </c>
      <c r="N3" s="827" t="s">
        <v>2</v>
      </c>
    </row>
    <row r="4" spans="1:49">
      <c r="A4" s="828" t="s">
        <v>807</v>
      </c>
      <c r="B4" s="787"/>
      <c r="C4" s="820"/>
      <c r="D4" s="829"/>
      <c r="E4" s="829"/>
      <c r="F4" s="830"/>
      <c r="G4" s="779"/>
      <c r="H4" s="786"/>
      <c r="I4" s="786"/>
      <c r="J4" s="831"/>
      <c r="K4" s="832"/>
      <c r="L4" s="832"/>
      <c r="M4" s="832"/>
      <c r="N4" s="832"/>
    </row>
    <row r="5" spans="1:49">
      <c r="A5" s="833" t="s">
        <v>808</v>
      </c>
      <c r="B5" s="2154">
        <v>1639651</v>
      </c>
      <c r="C5" s="1467">
        <f>'c12_hm'!G56</f>
        <v>511197</v>
      </c>
      <c r="D5" s="785">
        <f>'c12_hm'!H56</f>
        <v>511197</v>
      </c>
      <c r="E5" s="785">
        <f>'c12_hm'!I56</f>
        <v>511197</v>
      </c>
      <c r="F5" s="1468">
        <f>'c12_hm'!J56</f>
        <v>399847</v>
      </c>
      <c r="G5" s="1467">
        <f>'c12_hm'!K56</f>
        <v>14999.877750000007</v>
      </c>
      <c r="H5" s="785">
        <f>'c12_hm'!L56</f>
        <v>192576.44999999998</v>
      </c>
      <c r="I5" s="785">
        <f>'c12_hm'!M56</f>
        <v>192576.44999999998</v>
      </c>
      <c r="J5" s="1468">
        <f>'c12_hm'!N56</f>
        <v>492576.44999999995</v>
      </c>
      <c r="K5" s="1469">
        <f>'c12_hm'!O56</f>
        <v>928414.97400000005</v>
      </c>
      <c r="L5" s="1469">
        <f>'c12_hm'!P56</f>
        <v>1417217.42322</v>
      </c>
      <c r="M5" s="1469">
        <f>'c12_hm'!Q56</f>
        <v>2245086.0299165999</v>
      </c>
      <c r="N5" s="1469">
        <f>'c12_hm'!R56</f>
        <v>2170407.424148805</v>
      </c>
    </row>
    <row r="6" spans="1:49">
      <c r="A6" s="775" t="s">
        <v>809</v>
      </c>
      <c r="B6" s="2063">
        <v>0</v>
      </c>
      <c r="C6" s="1470">
        <f>+'c12_bi&amp;f'!G32</f>
        <v>0</v>
      </c>
      <c r="D6" s="800">
        <f>+'c12_bi&amp;f'!H32</f>
        <v>0</v>
      </c>
      <c r="E6" s="800">
        <f>+'c12_bi&amp;f'!I32</f>
        <v>0</v>
      </c>
      <c r="F6" s="1471">
        <f>+'c12_bi&amp;f'!J32</f>
        <v>0</v>
      </c>
      <c r="G6" s="1470">
        <f>+'c12_bi&amp;f'!K32</f>
        <v>0</v>
      </c>
      <c r="H6" s="800">
        <f>+'c12_bi&amp;f'!L32</f>
        <v>0</v>
      </c>
      <c r="I6" s="800">
        <f>+'c12_bi&amp;f'!M32</f>
        <v>0</v>
      </c>
      <c r="J6" s="1471">
        <f>+'c12_bi&amp;f'!N32</f>
        <v>0</v>
      </c>
      <c r="K6" s="1472">
        <f>+'c12_bi&amp;f'!O32</f>
        <v>0</v>
      </c>
      <c r="L6" s="1472">
        <f>+'c12_bi&amp;f'!P32</f>
        <v>0</v>
      </c>
      <c r="M6" s="1472">
        <f>+'c12_bi&amp;f'!Q32</f>
        <v>0</v>
      </c>
      <c r="N6" s="1472">
        <f>+'c12_bi&amp;f'!R32</f>
        <v>0</v>
      </c>
      <c r="P6" s="825"/>
    </row>
    <row r="7" spans="1:49">
      <c r="A7" s="775" t="s">
        <v>810</v>
      </c>
      <c r="B7" s="2063">
        <v>812800</v>
      </c>
      <c r="C7" s="1470">
        <f>'c12_d&amp;s'!G74</f>
        <v>57077.25</v>
      </c>
      <c r="D7" s="800">
        <f>'c12_d&amp;s'!H74</f>
        <v>57077.25</v>
      </c>
      <c r="E7" s="800">
        <f>'c12_d&amp;s'!I74</f>
        <v>317077.25</v>
      </c>
      <c r="F7" s="1471">
        <f>'c12_d&amp;s'!J74</f>
        <v>492477.25</v>
      </c>
      <c r="G7" s="1470">
        <f>'c12_d&amp;s'!K74</f>
        <v>452594.29599999997</v>
      </c>
      <c r="H7" s="800">
        <f>'c12_d&amp;s'!L74</f>
        <v>591062.5</v>
      </c>
      <c r="I7" s="800">
        <f>'c12_d&amp;s'!M74</f>
        <v>498062.49999999994</v>
      </c>
      <c r="J7" s="1471">
        <f>'c12_d&amp;s'!N74</f>
        <v>1608062.4999999998</v>
      </c>
      <c r="K7" s="1472">
        <f>'c12_d&amp;s'!O74</f>
        <v>2839506.9039999996</v>
      </c>
      <c r="L7" s="1472">
        <f>'c12_d&amp;s'!P74</f>
        <v>1771680.0919999997</v>
      </c>
      <c r="M7" s="1472">
        <f>'c12_d&amp;s'!Q74</f>
        <v>924738.61975999968</v>
      </c>
      <c r="N7" s="1472">
        <f>'c12_d&amp;s'!R74</f>
        <v>1096939.2988061837</v>
      </c>
      <c r="P7" s="825"/>
    </row>
    <row r="8" spans="1:49">
      <c r="A8" s="775"/>
      <c r="B8" s="2063"/>
      <c r="C8" s="834"/>
      <c r="D8" s="783"/>
      <c r="E8" s="783"/>
      <c r="F8" s="835"/>
      <c r="G8" s="834"/>
      <c r="H8" s="783"/>
      <c r="I8" s="783"/>
      <c r="J8" s="835"/>
      <c r="K8" s="836"/>
      <c r="L8" s="836"/>
      <c r="M8" s="836"/>
      <c r="N8" s="836"/>
      <c r="P8" s="825"/>
    </row>
    <row r="9" spans="1:49" ht="14.7" customHeight="1" thickBot="1">
      <c r="A9" s="837" t="s">
        <v>811</v>
      </c>
      <c r="B9" s="2155">
        <v>2452451</v>
      </c>
      <c r="C9" s="838">
        <f t="shared" ref="C9:N9" si="0">SUM(C5:C8)</f>
        <v>568274.25</v>
      </c>
      <c r="D9" s="795">
        <f t="shared" si="0"/>
        <v>568274.25</v>
      </c>
      <c r="E9" s="795">
        <f t="shared" si="0"/>
        <v>828274.25</v>
      </c>
      <c r="F9" s="839">
        <f t="shared" si="0"/>
        <v>892324.25</v>
      </c>
      <c r="G9" s="838">
        <f t="shared" si="0"/>
        <v>467594.17374999996</v>
      </c>
      <c r="H9" s="795">
        <f t="shared" si="0"/>
        <v>783638.95</v>
      </c>
      <c r="I9" s="795">
        <f t="shared" si="0"/>
        <v>690638.95</v>
      </c>
      <c r="J9" s="839">
        <f t="shared" si="0"/>
        <v>2100638.9499999997</v>
      </c>
      <c r="K9" s="840">
        <f t="shared" si="0"/>
        <v>3767921.8779999996</v>
      </c>
      <c r="L9" s="840">
        <f t="shared" si="0"/>
        <v>3188897.5152199995</v>
      </c>
      <c r="M9" s="840">
        <f t="shared" si="0"/>
        <v>3169824.6496765995</v>
      </c>
      <c r="N9" s="840">
        <f t="shared" si="0"/>
        <v>3267346.7229549885</v>
      </c>
      <c r="P9" s="825"/>
    </row>
    <row r="10" spans="1:49">
      <c r="A10" s="779" t="s">
        <v>673</v>
      </c>
      <c r="B10" s="787"/>
      <c r="C10" s="820"/>
      <c r="D10" s="829"/>
      <c r="E10" s="829"/>
      <c r="F10" s="830"/>
      <c r="G10" s="841">
        <f>SUM(G5:G7)/SUM(lgh_oc!I5:I7)</f>
        <v>0.26054027668573398</v>
      </c>
      <c r="H10" s="842">
        <f>SUM(H5:H7)/SUM(lgh_oc!J5:J7)</f>
        <v>0.24752399210622178</v>
      </c>
      <c r="I10" s="842">
        <f>SUM(I5:I7)/SUM(lgh_oc!K5:K7)</f>
        <v>0.23603931214791693</v>
      </c>
      <c r="J10" s="843">
        <f>SUM(J5:J7)/SUM(lgh_oc!L5:L7)</f>
        <v>0.2659733619225409</v>
      </c>
      <c r="K10" s="844">
        <f>SUM(K5:K7)/SUM(lgh_oc!M5:M7)</f>
        <v>0.25390412503381715</v>
      </c>
      <c r="L10" s="844">
        <f>SUM(L5:L7)/SUM(lgh_oc!N5:N7)</f>
        <v>0.24314362273666826</v>
      </c>
      <c r="M10" s="844">
        <f>SUM(M5:M7)/SUM(lgh_oc!O5:O7)</f>
        <v>0.23709216403256281</v>
      </c>
      <c r="N10" s="844">
        <f>SUM(N5:N7)/SUM(lgh_oc!P5:P7)</f>
        <v>0.23742772287351238</v>
      </c>
      <c r="P10" s="825"/>
    </row>
    <row r="11" spans="1:49">
      <c r="A11" s="828" t="s">
        <v>812</v>
      </c>
      <c r="B11" s="787"/>
      <c r="C11" s="820"/>
      <c r="D11" s="829"/>
      <c r="E11" s="829"/>
      <c r="F11" s="830"/>
      <c r="G11" s="779"/>
      <c r="H11" s="786"/>
      <c r="I11" s="786"/>
      <c r="J11" s="831"/>
      <c r="K11" s="832"/>
      <c r="L11" s="832"/>
      <c r="M11" s="832"/>
      <c r="N11" s="832"/>
      <c r="P11" s="825"/>
    </row>
    <row r="12" spans="1:49">
      <c r="A12" s="775" t="s">
        <v>298</v>
      </c>
      <c r="B12" s="2063">
        <v>0</v>
      </c>
      <c r="C12" s="1460">
        <f>'c12_hm'!G57</f>
        <v>47750</v>
      </c>
      <c r="D12" s="1461">
        <f>'c12_hm'!H57</f>
        <v>47750</v>
      </c>
      <c r="E12" s="1461">
        <f>'c12_hm'!I57</f>
        <v>47750</v>
      </c>
      <c r="F12" s="1462">
        <f>'c12_hm'!J57</f>
        <v>47750</v>
      </c>
      <c r="G12" s="1463">
        <f>'c12_hm'!K57</f>
        <v>0</v>
      </c>
      <c r="H12" s="1464">
        <f>'c12_hm'!L57</f>
        <v>0</v>
      </c>
      <c r="I12" s="1464">
        <f>'c12_hm'!M57</f>
        <v>0</v>
      </c>
      <c r="J12" s="1465">
        <f>'c12_hm'!N57</f>
        <v>50700</v>
      </c>
      <c r="K12" s="1466">
        <f>'c12_hm'!O57</f>
        <v>0</v>
      </c>
      <c r="L12" s="1466">
        <f>'c12_hm'!P57</f>
        <v>0</v>
      </c>
      <c r="M12" s="1466">
        <f>'c12_hm'!Q57</f>
        <v>0</v>
      </c>
      <c r="N12" s="1466">
        <f>'c12_hm'!R57</f>
        <v>0</v>
      </c>
      <c r="P12" s="825"/>
    </row>
    <row r="13" spans="1:49">
      <c r="A13" s="775" t="s">
        <v>813</v>
      </c>
      <c r="B13" s="2063">
        <v>0</v>
      </c>
      <c r="C13" s="1460">
        <f>+'c12_bi&amp;f'!G33</f>
        <v>0</v>
      </c>
      <c r="D13" s="1461">
        <f>+'c12_bi&amp;f'!H33</f>
        <v>0</v>
      </c>
      <c r="E13" s="1461">
        <f>+'c12_bi&amp;f'!I33</f>
        <v>0</v>
      </c>
      <c r="F13" s="1462">
        <f>+'c12_bi&amp;f'!J33</f>
        <v>0</v>
      </c>
      <c r="G13" s="1463">
        <f>+'c12_bi&amp;f'!K33</f>
        <v>9000</v>
      </c>
      <c r="H13" s="1464">
        <f>+'c12_bi&amp;f'!L33</f>
        <v>9000</v>
      </c>
      <c r="I13" s="1464">
        <f>+'c12_bi&amp;f'!M33</f>
        <v>9000</v>
      </c>
      <c r="J13" s="1465">
        <f>+'c12_bi&amp;f'!N33</f>
        <v>9000</v>
      </c>
      <c r="K13" s="1466">
        <f>+'c12_bi&amp;f'!O33</f>
        <v>45000</v>
      </c>
      <c r="L13" s="1466">
        <f>+'c12_bi&amp;f'!P33</f>
        <v>72000</v>
      </c>
      <c r="M13" s="1466">
        <f>+'c12_bi&amp;f'!Q33</f>
        <v>72000</v>
      </c>
      <c r="N13" s="1466">
        <f>+'c12_bi&amp;f'!R33</f>
        <v>72000</v>
      </c>
      <c r="P13" s="825"/>
      <c r="AW13" s="1"/>
    </row>
    <row r="14" spans="1:49">
      <c r="A14" s="775" t="s">
        <v>814</v>
      </c>
      <c r="B14" s="2063">
        <v>667500</v>
      </c>
      <c r="C14" s="1460">
        <f>'c12_d&amp;s'!G75</f>
        <v>11055.25</v>
      </c>
      <c r="D14" s="1461">
        <f>'c12_d&amp;s'!H75</f>
        <v>11055.25</v>
      </c>
      <c r="E14" s="1461">
        <f>'c12_d&amp;s'!I75</f>
        <v>11055.25</v>
      </c>
      <c r="F14" s="1462">
        <f>'c12_d&amp;s'!J75</f>
        <v>36255.25</v>
      </c>
      <c r="G14" s="1463">
        <f>'c12_d&amp;s'!K75</f>
        <v>0</v>
      </c>
      <c r="H14" s="1464">
        <f>'c12_d&amp;s'!L75</f>
        <v>86850</v>
      </c>
      <c r="I14" s="1464">
        <f>'c12_d&amp;s'!M75</f>
        <v>99395.7</v>
      </c>
      <c r="J14" s="1465">
        <f>'c12_d&amp;s'!N75</f>
        <v>130290</v>
      </c>
      <c r="K14" s="1466">
        <f>'c12_d&amp;s'!O75</f>
        <v>308310</v>
      </c>
      <c r="L14" s="1466">
        <f>'c12_d&amp;s'!P75</f>
        <v>326400</v>
      </c>
      <c r="M14" s="1466">
        <f>'c12_d&amp;s'!Q75</f>
        <v>404400</v>
      </c>
      <c r="N14" s="1466">
        <f>'c12_d&amp;s'!R75</f>
        <v>406200</v>
      </c>
      <c r="P14" s="825"/>
      <c r="AH14" s="1"/>
      <c r="AI14" s="1"/>
      <c r="AJ14" s="1"/>
      <c r="AK14" s="1"/>
      <c r="AL14" s="1"/>
      <c r="AM14" s="1"/>
      <c r="AN14" s="1"/>
      <c r="AP14" s="1"/>
      <c r="AQ14" s="1"/>
      <c r="AR14" s="1"/>
      <c r="AS14" s="1"/>
      <c r="AT14" s="1"/>
      <c r="AU14" s="1"/>
      <c r="AV14" s="1"/>
    </row>
    <row r="15" spans="1:49">
      <c r="A15" s="845" t="s">
        <v>815</v>
      </c>
      <c r="B15" s="2067">
        <v>667500</v>
      </c>
      <c r="C15" s="846">
        <f t="shared" ref="C15:N15" si="1">SUM(C12:C14)</f>
        <v>58805.25</v>
      </c>
      <c r="D15" s="847">
        <f t="shared" si="1"/>
        <v>58805.25</v>
      </c>
      <c r="E15" s="847">
        <f t="shared" si="1"/>
        <v>58805.25</v>
      </c>
      <c r="F15" s="848">
        <f t="shared" si="1"/>
        <v>84005.25</v>
      </c>
      <c r="G15" s="849">
        <f t="shared" si="1"/>
        <v>9000</v>
      </c>
      <c r="H15" s="850">
        <f t="shared" si="1"/>
        <v>95850</v>
      </c>
      <c r="I15" s="850">
        <f t="shared" si="1"/>
        <v>108395.7</v>
      </c>
      <c r="J15" s="851">
        <f t="shared" si="1"/>
        <v>189990</v>
      </c>
      <c r="K15" s="852">
        <f t="shared" si="1"/>
        <v>353310</v>
      </c>
      <c r="L15" s="852">
        <f t="shared" si="1"/>
        <v>398400</v>
      </c>
      <c r="M15" s="852">
        <f t="shared" si="1"/>
        <v>476400</v>
      </c>
      <c r="N15" s="852">
        <f t="shared" si="1"/>
        <v>478200</v>
      </c>
      <c r="P15" s="825"/>
    </row>
    <row r="16" spans="1:49">
      <c r="A16" s="774"/>
      <c r="B16" s="2063"/>
      <c r="C16" s="834"/>
      <c r="D16" s="783"/>
      <c r="E16" s="783"/>
      <c r="F16" s="835"/>
      <c r="G16" s="834"/>
      <c r="H16" s="783"/>
      <c r="I16" s="783"/>
      <c r="J16" s="835"/>
      <c r="K16" s="836"/>
      <c r="L16" s="836"/>
      <c r="M16" s="836"/>
      <c r="N16" s="836"/>
      <c r="P16" s="825"/>
    </row>
    <row r="17" spans="1:18" s="88" customFormat="1">
      <c r="A17" s="828" t="s">
        <v>816</v>
      </c>
      <c r="B17" s="2156"/>
      <c r="C17" s="864"/>
      <c r="D17" s="863"/>
      <c r="E17" s="863"/>
      <c r="F17" s="865"/>
      <c r="G17" s="864"/>
      <c r="H17" s="863"/>
      <c r="I17" s="863"/>
      <c r="J17" s="865"/>
      <c r="K17" s="866"/>
      <c r="L17" s="866"/>
      <c r="M17" s="866"/>
      <c r="N17" s="866"/>
      <c r="P17" s="825"/>
    </row>
    <row r="18" spans="1:18">
      <c r="A18" s="775" t="s">
        <v>817</v>
      </c>
      <c r="B18" s="2063">
        <v>0</v>
      </c>
      <c r="C18" s="1470">
        <f>+'c12_hm'!G32</f>
        <v>0</v>
      </c>
      <c r="D18" s="800">
        <f>+'c12_hm'!H32</f>
        <v>0</v>
      </c>
      <c r="E18" s="800">
        <f>+'c12_hm'!I32</f>
        <v>0</v>
      </c>
      <c r="F18" s="1471">
        <f>+'c12_hm'!J32</f>
        <v>0</v>
      </c>
      <c r="G18" s="1470">
        <f>+'c12_hm'!K32</f>
        <v>0</v>
      </c>
      <c r="H18" s="800">
        <f>+'c12_hm'!L32</f>
        <v>0</v>
      </c>
      <c r="I18" s="800">
        <f>+'c12_hm'!M32</f>
        <v>0</v>
      </c>
      <c r="J18" s="1471">
        <f>+'c12_hm'!N32</f>
        <v>0</v>
      </c>
      <c r="K18" s="1472">
        <f>+'c12_hm'!O32</f>
        <v>0</v>
      </c>
      <c r="L18" s="1472">
        <f>+'c12_hm'!P32</f>
        <v>0</v>
      </c>
      <c r="M18" s="1472">
        <f>+'c12_hm'!Q32</f>
        <v>0</v>
      </c>
      <c r="N18" s="1472">
        <f>+'c12_hm'!R32</f>
        <v>0</v>
      </c>
      <c r="P18" s="825"/>
    </row>
    <row r="19" spans="1:18">
      <c r="A19" s="769" t="s">
        <v>818</v>
      </c>
      <c r="B19" s="2063">
        <v>0</v>
      </c>
      <c r="C19" s="1470">
        <f>+'c12_d&amp;s'!G86</f>
        <v>0</v>
      </c>
      <c r="D19" s="800">
        <f>+'c12_d&amp;s'!H86</f>
        <v>0</v>
      </c>
      <c r="E19" s="800">
        <f>+'c12_d&amp;s'!I86</f>
        <v>0</v>
      </c>
      <c r="F19" s="1471">
        <f>+'c12_d&amp;s'!J86</f>
        <v>0</v>
      </c>
      <c r="G19" s="1470">
        <f>+'c12_d&amp;s'!K86</f>
        <v>0</v>
      </c>
      <c r="H19" s="800">
        <f>+'c12_d&amp;s'!L86</f>
        <v>0</v>
      </c>
      <c r="I19" s="800">
        <f>+'c12_d&amp;s'!M86</f>
        <v>0</v>
      </c>
      <c r="J19" s="1471">
        <f>+'c12_d&amp;s'!N86</f>
        <v>0</v>
      </c>
      <c r="K19" s="1472">
        <f>+'c12_d&amp;s'!O86</f>
        <v>0</v>
      </c>
      <c r="L19" s="1472">
        <f>+'c12_d&amp;s'!P86</f>
        <v>0</v>
      </c>
      <c r="M19" s="1472">
        <f>+'c12_d&amp;s'!Q86</f>
        <v>0</v>
      </c>
      <c r="N19" s="1472">
        <f>+'c12_d&amp;s'!R86</f>
        <v>0</v>
      </c>
      <c r="P19" s="825"/>
    </row>
    <row r="20" spans="1:18">
      <c r="A20" s="822" t="s">
        <v>819</v>
      </c>
      <c r="B20" s="2067">
        <v>0</v>
      </c>
      <c r="C20" s="856">
        <f t="shared" ref="C20:N20" si="2">SUM(C18:C19)</f>
        <v>0</v>
      </c>
      <c r="D20" s="789">
        <f t="shared" si="2"/>
        <v>0</v>
      </c>
      <c r="E20" s="789">
        <f t="shared" si="2"/>
        <v>0</v>
      </c>
      <c r="F20" s="857">
        <f t="shared" si="2"/>
        <v>0</v>
      </c>
      <c r="G20" s="856">
        <f t="shared" si="2"/>
        <v>0</v>
      </c>
      <c r="H20" s="789">
        <f t="shared" si="2"/>
        <v>0</v>
      </c>
      <c r="I20" s="789">
        <f t="shared" si="2"/>
        <v>0</v>
      </c>
      <c r="J20" s="857">
        <f t="shared" si="2"/>
        <v>0</v>
      </c>
      <c r="K20" s="858">
        <f t="shared" si="2"/>
        <v>0</v>
      </c>
      <c r="L20" s="858">
        <f t="shared" si="2"/>
        <v>0</v>
      </c>
      <c r="M20" s="858">
        <f t="shared" si="2"/>
        <v>0</v>
      </c>
      <c r="N20" s="858">
        <f t="shared" si="2"/>
        <v>0</v>
      </c>
      <c r="P20" s="825"/>
    </row>
    <row r="21" spans="1:18" s="88" customFormat="1">
      <c r="A21" s="859"/>
      <c r="B21" s="2156"/>
      <c r="C21" s="864"/>
      <c r="D21" s="863"/>
      <c r="E21" s="863"/>
      <c r="F21" s="865"/>
      <c r="G21" s="864"/>
      <c r="H21" s="863"/>
      <c r="I21" s="863"/>
      <c r="J21" s="865"/>
      <c r="K21" s="866"/>
      <c r="L21" s="866"/>
      <c r="M21" s="866"/>
      <c r="N21" s="866"/>
      <c r="P21" s="825"/>
    </row>
    <row r="22" spans="1:18">
      <c r="A22" s="877" t="s">
        <v>820</v>
      </c>
      <c r="B22" s="2067">
        <v>5450569</v>
      </c>
      <c r="C22" s="856">
        <f t="shared" ref="C22:N22" si="3">-C40</f>
        <v>1637186</v>
      </c>
      <c r="D22" s="789">
        <f t="shared" si="3"/>
        <v>1733477</v>
      </c>
      <c r="E22" s="789">
        <f t="shared" si="3"/>
        <v>1694124</v>
      </c>
      <c r="F22" s="857">
        <f t="shared" si="3"/>
        <v>3109273</v>
      </c>
      <c r="G22" s="856">
        <f t="shared" si="3"/>
        <v>3917714.36</v>
      </c>
      <c r="H22" s="789">
        <f t="shared" si="3"/>
        <v>4742246.5398626681</v>
      </c>
      <c r="I22" s="789">
        <f t="shared" si="3"/>
        <v>2968724.1506860717</v>
      </c>
      <c r="J22" s="857">
        <f t="shared" si="3"/>
        <v>4689321.0773</v>
      </c>
      <c r="K22" s="858">
        <f t="shared" si="3"/>
        <v>13266364.132103998</v>
      </c>
      <c r="L22" s="858">
        <f t="shared" si="3"/>
        <v>13803437.523463439</v>
      </c>
      <c r="M22" s="858">
        <f t="shared" si="3"/>
        <v>13242450.65316527</v>
      </c>
      <c r="N22" s="858">
        <f t="shared" si="3"/>
        <v>13524175.12502921</v>
      </c>
      <c r="P22" s="825"/>
      <c r="R22" s="4"/>
    </row>
    <row r="23" spans="1:18">
      <c r="A23" s="774"/>
      <c r="B23" s="2063"/>
      <c r="C23" s="834"/>
      <c r="D23" s="783"/>
      <c r="E23" s="783"/>
      <c r="F23" s="835"/>
      <c r="G23" s="834"/>
      <c r="H23" s="783"/>
      <c r="I23" s="783"/>
      <c r="J23" s="835"/>
      <c r="K23" s="836"/>
      <c r="L23" s="836"/>
      <c r="M23" s="836"/>
      <c r="N23" s="836"/>
      <c r="P23" s="825"/>
      <c r="R23" s="4"/>
    </row>
    <row r="24" spans="1:18">
      <c r="A24" s="828" t="s">
        <v>821</v>
      </c>
      <c r="B24" s="2063"/>
      <c r="C24" s="834"/>
      <c r="D24" s="783"/>
      <c r="E24" s="783"/>
      <c r="F24" s="835"/>
      <c r="G24" s="834"/>
      <c r="H24" s="783"/>
      <c r="I24" s="783"/>
      <c r="J24" s="835"/>
      <c r="K24" s="836"/>
      <c r="L24" s="836"/>
      <c r="M24" s="836"/>
      <c r="N24" s="836"/>
      <c r="P24" s="825"/>
    </row>
    <row r="25" spans="1:18">
      <c r="A25" s="775" t="s">
        <v>298</v>
      </c>
      <c r="B25" s="2063"/>
      <c r="C25" s="1470">
        <f>-'c12_hm'!G124</f>
        <v>-360000</v>
      </c>
      <c r="D25" s="800">
        <f>-'c12_hm'!H124</f>
        <v>-360000</v>
      </c>
      <c r="E25" s="800">
        <f>-'c12_hm'!I124</f>
        <v>-360000</v>
      </c>
      <c r="F25" s="1471">
        <f>-'c12_hm'!J124</f>
        <v>-593775</v>
      </c>
      <c r="G25" s="1470">
        <f>-'c12_hm'!K124</f>
        <v>-453600</v>
      </c>
      <c r="H25" s="800">
        <f>-'c12_hm'!L124</f>
        <v>-484560</v>
      </c>
      <c r="I25" s="800">
        <f>-'c12_hm'!M124</f>
        <v>-515520</v>
      </c>
      <c r="J25" s="1471">
        <f>-'c12_hm'!N124</f>
        <v>-1066190</v>
      </c>
      <c r="K25" s="1472">
        <f>-'c12_hm'!O124</f>
        <v>-3123806.6999999997</v>
      </c>
      <c r="L25" s="1472">
        <f>-'c12_hm'!P124</f>
        <v>-3251086.8599999994</v>
      </c>
      <c r="M25" s="1472">
        <f>-'c12_hm'!Q124</f>
        <v>-3384731.0279999995</v>
      </c>
      <c r="N25" s="1472">
        <f>-'c12_hm'!R124</f>
        <v>-3525057.4043999994</v>
      </c>
      <c r="P25" s="825"/>
    </row>
    <row r="26" spans="1:18">
      <c r="A26" s="775" t="s">
        <v>813</v>
      </c>
      <c r="B26" s="2063"/>
      <c r="C26" s="1470">
        <f>-'c12_bi&amp;f'!G95</f>
        <v>-204479.99999999997</v>
      </c>
      <c r="D26" s="800">
        <f>-'c12_bi&amp;f'!H95</f>
        <v>-204479.99999999997</v>
      </c>
      <c r="E26" s="800">
        <f>-'c12_bi&amp;f'!I95</f>
        <v>-228959.99999999997</v>
      </c>
      <c r="F26" s="1471">
        <f>-'c12_bi&amp;f'!J95</f>
        <v>-444552.49999999994</v>
      </c>
      <c r="G26" s="1470">
        <f>-'c12_bi&amp;f'!K95</f>
        <v>-231839.99999999997</v>
      </c>
      <c r="H26" s="800">
        <f>-'c12_bi&amp;f'!L95</f>
        <v>-375840</v>
      </c>
      <c r="I26" s="800">
        <f>-'c12_bi&amp;f'!M95</f>
        <v>-375840</v>
      </c>
      <c r="J26" s="1471">
        <f>-'c12_bi&amp;f'!N95</f>
        <v>-721307.5</v>
      </c>
      <c r="K26" s="1472">
        <f>-'c12_bi&amp;f'!O95</f>
        <v>-1942337.5</v>
      </c>
      <c r="L26" s="1472">
        <f>-'c12_bi&amp;f'!P95</f>
        <v>-1942337.5</v>
      </c>
      <c r="M26" s="1472">
        <f>-'c12_bi&amp;f'!Q95</f>
        <v>-1942337.5</v>
      </c>
      <c r="N26" s="1472">
        <f>-'c12_bi&amp;f'!R95</f>
        <v>-1942337.5</v>
      </c>
      <c r="P26" s="825"/>
    </row>
    <row r="27" spans="1:18">
      <c r="A27" s="775" t="s">
        <v>822</v>
      </c>
      <c r="B27" s="2063"/>
      <c r="C27" s="1470">
        <f>-'c12_d&amp;s'!G156</f>
        <v>-429119.99999999994</v>
      </c>
      <c r="D27" s="800">
        <f>-'c12_d&amp;s'!H156</f>
        <v>-429119.99999999994</v>
      </c>
      <c r="E27" s="800">
        <f>-'c12_d&amp;s'!I156</f>
        <v>-429119.99999999994</v>
      </c>
      <c r="F27" s="1471">
        <f>-'c12_d&amp;s'!J156</f>
        <v>-1583449</v>
      </c>
      <c r="G27" s="1470">
        <f>-'c12_d&amp;s'!K156</f>
        <v>-610559.99999999988</v>
      </c>
      <c r="H27" s="800">
        <f>-'c12_d&amp;s'!L156</f>
        <v>-610559.99999999988</v>
      </c>
      <c r="I27" s="800">
        <f>-'c12_d&amp;s'!M156</f>
        <v>-610559.99999999988</v>
      </c>
      <c r="J27" s="1471">
        <f>-'c12_d&amp;s'!N156</f>
        <v>-1458384</v>
      </c>
      <c r="K27" s="1472">
        <f>-'c12_d&amp;s'!O156</f>
        <v>-3290064</v>
      </c>
      <c r="L27" s="1472">
        <f>-'c12_d&amp;s'!P156</f>
        <v>-3290064</v>
      </c>
      <c r="M27" s="1472">
        <f>-'c12_d&amp;s'!Q156</f>
        <v>-2290065</v>
      </c>
      <c r="N27" s="1472">
        <f>-'c12_d&amp;s'!R156</f>
        <v>-2290065</v>
      </c>
      <c r="P27" s="825"/>
    </row>
    <row r="28" spans="1:18">
      <c r="A28" s="792" t="s">
        <v>823</v>
      </c>
      <c r="B28" s="2063"/>
      <c r="C28" s="834"/>
      <c r="D28" s="783"/>
      <c r="E28" s="783"/>
      <c r="F28" s="835"/>
      <c r="G28" s="834"/>
      <c r="H28" s="783"/>
      <c r="I28" s="783"/>
      <c r="J28" s="835"/>
      <c r="K28" s="836"/>
      <c r="L28" s="836"/>
      <c r="M28" s="836"/>
      <c r="N28" s="836"/>
      <c r="P28" s="825"/>
    </row>
    <row r="29" spans="1:18">
      <c r="A29" s="771" t="s">
        <v>824</v>
      </c>
      <c r="B29" s="2156">
        <v>0</v>
      </c>
      <c r="C29" s="1485">
        <f>-189940/4</f>
        <v>-47485</v>
      </c>
      <c r="D29" s="1486">
        <f>-189940/4</f>
        <v>-47485</v>
      </c>
      <c r="E29" s="1486">
        <f>-189940/4</f>
        <v>-47485</v>
      </c>
      <c r="F29" s="1487">
        <f>-189940/4</f>
        <v>-47485</v>
      </c>
      <c r="G29" s="1485">
        <f>-540000/4</f>
        <v>-135000</v>
      </c>
      <c r="H29" s="1486">
        <f>-540000/4</f>
        <v>-135000</v>
      </c>
      <c r="I29" s="1486">
        <f>-540000/4</f>
        <v>-135000</v>
      </c>
      <c r="J29" s="1487">
        <f>-540000/4</f>
        <v>-135000</v>
      </c>
      <c r="K29" s="855">
        <f>J29*4</f>
        <v>-540000</v>
      </c>
      <c r="L29" s="855">
        <f>+K29</f>
        <v>-540000</v>
      </c>
      <c r="M29" s="855">
        <f>+L29</f>
        <v>-540000</v>
      </c>
      <c r="N29" s="855">
        <f>-75000*4</f>
        <v>-300000</v>
      </c>
      <c r="P29" s="870"/>
    </row>
    <row r="30" spans="1:18" s="649" customFormat="1">
      <c r="A30" s="2195" t="s">
        <v>145</v>
      </c>
      <c r="B30" s="2063">
        <v>-480000</v>
      </c>
      <c r="C30" s="2192">
        <v>-112553</v>
      </c>
      <c r="D30" s="2189">
        <v>-186705</v>
      </c>
      <c r="E30" s="2189">
        <v>-148699</v>
      </c>
      <c r="F30" s="2193">
        <v>-249431</v>
      </c>
      <c r="G30" s="1707">
        <v>-174347</v>
      </c>
      <c r="H30" s="2189">
        <v>-174347</v>
      </c>
      <c r="I30" s="2189">
        <v>-174347</v>
      </c>
      <c r="J30" s="2193">
        <v>-174347</v>
      </c>
      <c r="K30" s="2194">
        <v>-697388</v>
      </c>
      <c r="L30" s="2194">
        <v>-697388</v>
      </c>
      <c r="M30" s="2194">
        <v>-697388</v>
      </c>
      <c r="N30" s="2194">
        <v>-697388</v>
      </c>
      <c r="P30" s="2190"/>
    </row>
    <row r="31" spans="1:18">
      <c r="A31" s="771" t="s">
        <v>146</v>
      </c>
      <c r="B31" s="2157">
        <v>0</v>
      </c>
      <c r="C31" s="303">
        <f>+B155</f>
        <v>0</v>
      </c>
      <c r="D31" s="89">
        <f>+C155</f>
        <v>0</v>
      </c>
      <c r="E31" s="89">
        <f>+D155</f>
        <v>0</v>
      </c>
      <c r="F31" s="304">
        <f>+E155</f>
        <v>0</v>
      </c>
      <c r="G31" s="303">
        <f>-F155</f>
        <v>0</v>
      </c>
      <c r="H31" s="89">
        <f>-G155</f>
        <v>-100000</v>
      </c>
      <c r="I31" s="89">
        <f>-H155</f>
        <v>-100000</v>
      </c>
      <c r="J31" s="304">
        <f>-I155</f>
        <v>0</v>
      </c>
      <c r="K31" s="412">
        <f>+J31</f>
        <v>0</v>
      </c>
      <c r="L31" s="412">
        <f>+K31</f>
        <v>0</v>
      </c>
      <c r="M31" s="412">
        <f>+L31</f>
        <v>0</v>
      </c>
      <c r="N31" s="412">
        <f>+M31</f>
        <v>0</v>
      </c>
      <c r="P31" s="825"/>
    </row>
    <row r="32" spans="1:18" s="649" customFormat="1">
      <c r="A32" s="2191" t="s">
        <v>825</v>
      </c>
      <c r="B32" s="2158">
        <v>-1000000</v>
      </c>
      <c r="C32" s="2192">
        <v>-375000</v>
      </c>
      <c r="D32" s="2189">
        <v>-375000</v>
      </c>
      <c r="E32" s="2189">
        <v>-375000</v>
      </c>
      <c r="F32" s="2193">
        <v>-375000</v>
      </c>
      <c r="G32" s="1707">
        <v>-375000</v>
      </c>
      <c r="H32" s="2189">
        <v>-375000</v>
      </c>
      <c r="I32" s="2189">
        <v>-375000</v>
      </c>
      <c r="J32" s="2193">
        <v>-375000</v>
      </c>
      <c r="K32" s="2194">
        <v>-1500000</v>
      </c>
      <c r="L32" s="2194">
        <v>-1500000</v>
      </c>
      <c r="M32" s="2194">
        <v>-1500000</v>
      </c>
      <c r="N32" s="2194">
        <v>-1500000</v>
      </c>
      <c r="P32" s="2190"/>
    </row>
    <row r="33" spans="1:49" s="88" customFormat="1">
      <c r="A33" s="771" t="s">
        <v>826</v>
      </c>
      <c r="B33" s="2063">
        <v>0</v>
      </c>
      <c r="C33" s="834">
        <f t="shared" ref="C33:N33" si="4">-C113-C44</f>
        <v>0</v>
      </c>
      <c r="D33" s="783">
        <f t="shared" si="4"/>
        <v>0</v>
      </c>
      <c r="E33" s="783">
        <f t="shared" si="4"/>
        <v>0</v>
      </c>
      <c r="F33" s="835">
        <f t="shared" si="4"/>
        <v>-191999.99999999997</v>
      </c>
      <c r="G33" s="834">
        <f t="shared" si="4"/>
        <v>-317367.36</v>
      </c>
      <c r="H33" s="783">
        <f t="shared" si="4"/>
        <v>-317367.36</v>
      </c>
      <c r="I33" s="783">
        <f t="shared" si="4"/>
        <v>-317367.36</v>
      </c>
      <c r="J33" s="835">
        <f t="shared" si="4"/>
        <v>-322510.40999999997</v>
      </c>
      <c r="K33" s="836">
        <f t="shared" si="4"/>
        <v>-1411224.36</v>
      </c>
      <c r="L33" s="836">
        <f t="shared" si="4"/>
        <v>-1411224.36</v>
      </c>
      <c r="M33" s="836">
        <f t="shared" si="4"/>
        <v>-1411224.36</v>
      </c>
      <c r="N33" s="836">
        <f t="shared" si="4"/>
        <v>-1411224.36</v>
      </c>
      <c r="P33" s="825"/>
    </row>
    <row r="34" spans="1:49">
      <c r="A34" s="771" t="s">
        <v>827</v>
      </c>
      <c r="B34" s="2156"/>
      <c r="C34" s="853"/>
      <c r="D34" s="788"/>
      <c r="E34" s="868">
        <v>-45000</v>
      </c>
      <c r="F34" s="869">
        <v>-599728</v>
      </c>
      <c r="G34" s="867">
        <v>-1620000</v>
      </c>
      <c r="H34" s="868">
        <v>-2100000</v>
      </c>
      <c r="I34" s="868">
        <v>-300000</v>
      </c>
      <c r="J34" s="869">
        <v>-300000</v>
      </c>
      <c r="K34" s="855"/>
      <c r="L34" s="855"/>
      <c r="M34" s="855"/>
      <c r="N34" s="855"/>
      <c r="P34" s="825"/>
      <c r="R34" s="4"/>
    </row>
    <row r="35" spans="1:49">
      <c r="A35" s="771" t="s">
        <v>219</v>
      </c>
      <c r="B35" s="2063"/>
      <c r="C35" s="834"/>
      <c r="D35" s="783"/>
      <c r="E35" s="783"/>
      <c r="F35" s="835"/>
      <c r="G35" s="834"/>
      <c r="H35" s="783">
        <f>SUM(H25:H34)*(1.03^0.5-1)</f>
        <v>-69572.179862668534</v>
      </c>
      <c r="I35" s="783">
        <f>SUM(I25:I34)*(1.03^0.75-1)</f>
        <v>-65089.790686072047</v>
      </c>
      <c r="J35" s="835">
        <f>SUM(J25:J34)*(1.03^1-1)</f>
        <v>-136582.16730000012</v>
      </c>
      <c r="K35" s="836">
        <f>SUM(K25:K34)*(1.03^2-1)</f>
        <v>-761543.57210399932</v>
      </c>
      <c r="L35" s="836">
        <f>SUM(L25:L34)*(1.03^3-1)</f>
        <v>-1171336.8034634399</v>
      </c>
      <c r="M35" s="836">
        <f>SUM(M25:M34)*(1.03^4-1)</f>
        <v>-1476704.7651652722</v>
      </c>
      <c r="N35" s="836">
        <f>SUM(N25:N34)*(1.03^5-1)</f>
        <v>-1858102.8606292128</v>
      </c>
      <c r="P35" s="825"/>
      <c r="R35" s="4"/>
    </row>
    <row r="36" spans="1:49">
      <c r="A36" s="771" t="s">
        <v>828</v>
      </c>
      <c r="B36" s="2156">
        <v>1</v>
      </c>
      <c r="C36" s="853">
        <v>1</v>
      </c>
      <c r="D36" s="788">
        <v>1</v>
      </c>
      <c r="E36" s="788">
        <v>1</v>
      </c>
      <c r="F36" s="854">
        <v>1</v>
      </c>
      <c r="G36" s="853"/>
      <c r="H36" s="788"/>
      <c r="I36" s="788"/>
      <c r="J36" s="854"/>
      <c r="K36" s="855"/>
      <c r="L36" s="855"/>
      <c r="M36" s="855"/>
      <c r="N36" s="855"/>
      <c r="P36" s="825"/>
      <c r="R36" s="4"/>
    </row>
    <row r="37" spans="1:49">
      <c r="A37" s="771" t="s">
        <v>829</v>
      </c>
      <c r="B37" s="2156">
        <v>-3970569</v>
      </c>
      <c r="C37" s="867">
        <v>-1102148</v>
      </c>
      <c r="D37" s="868">
        <v>-1124287</v>
      </c>
      <c r="E37" s="868">
        <v>-1077940</v>
      </c>
      <c r="F37" s="869">
        <v>-1645629</v>
      </c>
      <c r="G37" s="853"/>
      <c r="H37" s="788"/>
      <c r="I37" s="788"/>
      <c r="J37" s="854"/>
      <c r="K37" s="855"/>
      <c r="L37" s="855"/>
      <c r="M37" s="855"/>
      <c r="N37" s="855"/>
      <c r="P37" s="825"/>
      <c r="R37" s="4"/>
    </row>
    <row r="38" spans="1:49">
      <c r="A38" s="771" t="s">
        <v>830</v>
      </c>
      <c r="B38" s="2078">
        <v>-3970569</v>
      </c>
      <c r="C38" s="834">
        <f t="shared" ref="C38:N38" si="5">-IF(C36=1,SUM(C25,C26,C27)-C37,0)</f>
        <v>-108548</v>
      </c>
      <c r="D38" s="783">
        <f t="shared" si="5"/>
        <v>-130687</v>
      </c>
      <c r="E38" s="783">
        <f t="shared" si="5"/>
        <v>-59860</v>
      </c>
      <c r="F38" s="835">
        <f t="shared" si="5"/>
        <v>976147.5</v>
      </c>
      <c r="G38" s="834">
        <f t="shared" si="5"/>
        <v>0</v>
      </c>
      <c r="H38" s="783">
        <f t="shared" si="5"/>
        <v>0</v>
      </c>
      <c r="I38" s="783">
        <f t="shared" si="5"/>
        <v>0</v>
      </c>
      <c r="J38" s="835">
        <f t="shared" si="5"/>
        <v>0</v>
      </c>
      <c r="K38" s="836">
        <f t="shared" si="5"/>
        <v>0</v>
      </c>
      <c r="L38" s="836">
        <f t="shared" si="5"/>
        <v>0</v>
      </c>
      <c r="M38" s="836">
        <f t="shared" si="5"/>
        <v>0</v>
      </c>
      <c r="N38" s="836">
        <f t="shared" si="5"/>
        <v>0</v>
      </c>
      <c r="P38" s="825"/>
      <c r="R38" s="4"/>
    </row>
    <row r="39" spans="1:49">
      <c r="A39" s="871"/>
      <c r="B39" s="2159"/>
      <c r="C39" s="873"/>
      <c r="D39" s="872"/>
      <c r="E39" s="872"/>
      <c r="F39" s="874"/>
      <c r="G39" s="873"/>
      <c r="H39" s="872"/>
      <c r="I39" s="872"/>
      <c r="J39" s="874"/>
      <c r="K39" s="875"/>
      <c r="L39" s="875"/>
      <c r="M39" s="875"/>
      <c r="N39" s="875"/>
      <c r="P39" s="825"/>
      <c r="AW39" s="1"/>
    </row>
    <row r="40" spans="1:49">
      <c r="A40" s="828" t="s">
        <v>831</v>
      </c>
      <c r="B40" s="2160">
        <v>-5450569</v>
      </c>
      <c r="C40" s="860">
        <f t="shared" ref="C40:N40" si="6">SUM(C25:C35)+C38</f>
        <v>-1637186</v>
      </c>
      <c r="D40" s="793">
        <f t="shared" si="6"/>
        <v>-1733477</v>
      </c>
      <c r="E40" s="793">
        <f t="shared" si="6"/>
        <v>-1694124</v>
      </c>
      <c r="F40" s="861">
        <f t="shared" si="6"/>
        <v>-3109273</v>
      </c>
      <c r="G40" s="860">
        <f t="shared" si="6"/>
        <v>-3917714.36</v>
      </c>
      <c r="H40" s="793">
        <f t="shared" si="6"/>
        <v>-4742246.5398626681</v>
      </c>
      <c r="I40" s="793">
        <f t="shared" si="6"/>
        <v>-2968724.1506860717</v>
      </c>
      <c r="J40" s="861">
        <f t="shared" si="6"/>
        <v>-4689321.0773</v>
      </c>
      <c r="K40" s="862">
        <f t="shared" si="6"/>
        <v>-13266364.132103998</v>
      </c>
      <c r="L40" s="862">
        <f t="shared" si="6"/>
        <v>-13803437.523463439</v>
      </c>
      <c r="M40" s="862">
        <f t="shared" si="6"/>
        <v>-13242450.65316527</v>
      </c>
      <c r="N40" s="862">
        <f t="shared" si="6"/>
        <v>-13524175.12502921</v>
      </c>
      <c r="P40" s="825"/>
    </row>
    <row r="41" spans="1:49">
      <c r="A41" s="813"/>
      <c r="B41" s="2159"/>
      <c r="C41" s="873"/>
      <c r="D41" s="872"/>
      <c r="E41" s="872"/>
      <c r="F41" s="874"/>
      <c r="G41" s="873"/>
      <c r="H41" s="872"/>
      <c r="I41" s="872"/>
      <c r="J41" s="874"/>
      <c r="K41" s="875"/>
      <c r="L41" s="875"/>
      <c r="M41" s="875"/>
      <c r="N41" s="875"/>
      <c r="P41" s="825"/>
    </row>
    <row r="42" spans="1:49">
      <c r="A42" s="774"/>
      <c r="B42" s="2063"/>
      <c r="C42" s="834"/>
      <c r="D42" s="783"/>
      <c r="E42" s="783"/>
      <c r="F42" s="835"/>
      <c r="G42" s="834"/>
      <c r="H42" s="783"/>
      <c r="I42" s="783"/>
      <c r="J42" s="835"/>
      <c r="K42" s="836"/>
      <c r="L42" s="836"/>
      <c r="M42" s="836"/>
      <c r="N42" s="836"/>
      <c r="P42" s="825"/>
      <c r="R42" s="4"/>
    </row>
    <row r="43" spans="1:49">
      <c r="A43" s="876" t="s">
        <v>832</v>
      </c>
      <c r="B43" s="2157"/>
      <c r="C43" s="303">
        <f>+B163</f>
        <v>0</v>
      </c>
      <c r="D43" s="89">
        <f>+C163</f>
        <v>0</v>
      </c>
      <c r="E43" s="89">
        <f>+D163</f>
        <v>0</v>
      </c>
      <c r="F43" s="304">
        <f>-E163</f>
        <v>0</v>
      </c>
      <c r="G43" s="303">
        <f>-SUM($F$163:$I$163)</f>
        <v>-364000</v>
      </c>
      <c r="H43" s="89">
        <f>+SUM($J$163:$M$163)</f>
        <v>0</v>
      </c>
      <c r="I43" s="89">
        <f t="shared" ref="I43:N43" si="7">+H43</f>
        <v>0</v>
      </c>
      <c r="J43" s="304">
        <f t="shared" si="7"/>
        <v>0</v>
      </c>
      <c r="K43" s="412">
        <f t="shared" si="7"/>
        <v>0</v>
      </c>
      <c r="L43" s="412">
        <f t="shared" si="7"/>
        <v>0</v>
      </c>
      <c r="M43" s="412">
        <f t="shared" si="7"/>
        <v>0</v>
      </c>
      <c r="N43" s="412">
        <f t="shared" si="7"/>
        <v>0</v>
      </c>
      <c r="P43" s="825"/>
    </row>
    <row r="44" spans="1:49">
      <c r="A44" s="876" t="s">
        <v>833</v>
      </c>
      <c r="B44" s="2161">
        <v>0</v>
      </c>
      <c r="C44" s="834">
        <f>-SUMPRODUCT($J$71:$J$78,C105:C112)</f>
        <v>-41760</v>
      </c>
      <c r="D44" s="783">
        <f>-SUMPRODUCT($J$71:$J$78,D105:D112)</f>
        <v>-41760</v>
      </c>
      <c r="E44" s="783">
        <f>-SUMPRODUCT($J$71:$J$78,E105:E112)</f>
        <v>-41760</v>
      </c>
      <c r="F44" s="835">
        <f>-SUMPRODUCT($J$71:$J$78,F105:F112)</f>
        <v>-52150</v>
      </c>
      <c r="G44" s="834">
        <f>-SUMPRODUCT($G$105:$G$112,$J$71:$J$78)</f>
        <v>-42056.639999999999</v>
      </c>
      <c r="H44" s="783">
        <f>-SUMPRODUCT($H$105:$H$112,$J$71:$J$78)</f>
        <v>-42056.639999999999</v>
      </c>
      <c r="I44" s="783">
        <f>-SUMPRODUCT($I$105:$I$112,$J$71:$J$78)</f>
        <v>-42056.639999999999</v>
      </c>
      <c r="J44" s="835">
        <f>-SUMPRODUCT($J$105:$J$112,$J$71:$J$78)</f>
        <v>-52498.590000000004</v>
      </c>
      <c r="K44" s="836">
        <f>-SUMPRODUCT($G$105:$G$112,$J$71:$J$78)</f>
        <v>-42056.639999999999</v>
      </c>
      <c r="L44" s="836">
        <f>-SUMPRODUCT($G$105:$G$112,$J$71:$J$78)</f>
        <v>-42056.639999999999</v>
      </c>
      <c r="M44" s="836">
        <f>-SUMPRODUCT($G$105:$G$112,$J$71:$J$78)</f>
        <v>-42056.639999999999</v>
      </c>
      <c r="N44" s="836">
        <f>-SUMPRODUCT($G$105:$G$112,$J$71:$J$78)</f>
        <v>-42056.639999999999</v>
      </c>
      <c r="P44" s="825"/>
    </row>
    <row r="45" spans="1:49" s="88" customFormat="1">
      <c r="A45" s="876" t="s">
        <v>834</v>
      </c>
      <c r="B45" s="2156"/>
      <c r="C45" s="853"/>
      <c r="D45" s="788"/>
      <c r="E45" s="788"/>
      <c r="F45" s="854"/>
      <c r="G45" s="853"/>
      <c r="H45" s="788"/>
      <c r="I45" s="788"/>
      <c r="J45" s="854">
        <v>-200000</v>
      </c>
      <c r="K45" s="855">
        <v>-200000</v>
      </c>
      <c r="L45" s="855">
        <v>-200000</v>
      </c>
      <c r="M45" s="855">
        <v>-200000</v>
      </c>
      <c r="N45" s="855">
        <v>-200000</v>
      </c>
      <c r="P45" s="825"/>
    </row>
    <row r="46" spans="1:49">
      <c r="A46" s="877" t="s">
        <v>835</v>
      </c>
      <c r="B46" s="2067">
        <v>0</v>
      </c>
      <c r="C46" s="856">
        <f t="shared" ref="C46:N46" si="8">SUM(C43:C45)</f>
        <v>-41760</v>
      </c>
      <c r="D46" s="789">
        <f t="shared" si="8"/>
        <v>-41760</v>
      </c>
      <c r="E46" s="789">
        <f t="shared" si="8"/>
        <v>-41760</v>
      </c>
      <c r="F46" s="857">
        <f t="shared" si="8"/>
        <v>-52150</v>
      </c>
      <c r="G46" s="856">
        <f t="shared" si="8"/>
        <v>-406056.64</v>
      </c>
      <c r="H46" s="789">
        <f t="shared" si="8"/>
        <v>-42056.639999999999</v>
      </c>
      <c r="I46" s="789">
        <f t="shared" si="8"/>
        <v>-42056.639999999999</v>
      </c>
      <c r="J46" s="857">
        <f t="shared" si="8"/>
        <v>-252498.59</v>
      </c>
      <c r="K46" s="858">
        <f t="shared" si="8"/>
        <v>-242056.64</v>
      </c>
      <c r="L46" s="858">
        <f t="shared" si="8"/>
        <v>-242056.64</v>
      </c>
      <c r="M46" s="858">
        <f t="shared" si="8"/>
        <v>-242056.64</v>
      </c>
      <c r="N46" s="858">
        <f t="shared" si="8"/>
        <v>-242056.64</v>
      </c>
      <c r="P46" s="825"/>
      <c r="R46" s="4"/>
    </row>
    <row r="47" spans="1:49">
      <c r="A47" s="774"/>
      <c r="B47" s="2063"/>
      <c r="C47" s="834"/>
      <c r="D47" s="783"/>
      <c r="E47" s="783"/>
      <c r="F47" s="835"/>
      <c r="G47" s="834"/>
      <c r="H47" s="783"/>
      <c r="I47" s="783"/>
      <c r="J47" s="835"/>
      <c r="K47" s="836"/>
      <c r="L47" s="836"/>
      <c r="M47" s="836"/>
      <c r="N47" s="836"/>
      <c r="P47" s="825"/>
      <c r="R47" s="4"/>
    </row>
    <row r="48" spans="1:49">
      <c r="A48" s="774"/>
      <c r="B48" s="2063"/>
      <c r="C48" s="834"/>
      <c r="D48" s="783"/>
      <c r="E48" s="783"/>
      <c r="F48" s="835"/>
      <c r="G48" s="834"/>
      <c r="H48" s="783"/>
      <c r="I48" s="783"/>
      <c r="J48" s="835"/>
      <c r="K48" s="836"/>
      <c r="L48" s="836"/>
      <c r="M48" s="836"/>
      <c r="N48" s="836"/>
      <c r="P48" s="825"/>
      <c r="R48" s="4"/>
    </row>
    <row r="49" spans="1:48" ht="14.7" customHeight="1" thickBot="1">
      <c r="A49" s="878" t="s">
        <v>836</v>
      </c>
      <c r="B49" s="2162">
        <v>3119951</v>
      </c>
      <c r="C49" s="880">
        <f t="shared" ref="C49:N49" si="9">+C9+C15+C40+C22+C46+C20</f>
        <v>585319.5</v>
      </c>
      <c r="D49" s="879">
        <f t="shared" si="9"/>
        <v>585319.5</v>
      </c>
      <c r="E49" s="879">
        <f t="shared" si="9"/>
        <v>845319.5</v>
      </c>
      <c r="F49" s="881">
        <f t="shared" si="9"/>
        <v>924179.5</v>
      </c>
      <c r="G49" s="880">
        <f t="shared" si="9"/>
        <v>70537.533750000061</v>
      </c>
      <c r="H49" s="879">
        <f t="shared" si="9"/>
        <v>837432.31000000017</v>
      </c>
      <c r="I49" s="879">
        <f t="shared" si="9"/>
        <v>756978.00999999989</v>
      </c>
      <c r="J49" s="881">
        <f t="shared" si="9"/>
        <v>2038130.3599999996</v>
      </c>
      <c r="K49" s="882">
        <f t="shared" si="9"/>
        <v>3879175.2379999985</v>
      </c>
      <c r="L49" s="882">
        <f t="shared" si="9"/>
        <v>3345240.8752199993</v>
      </c>
      <c r="M49" s="882">
        <f t="shared" si="9"/>
        <v>3404168.0096765985</v>
      </c>
      <c r="N49" s="882">
        <f t="shared" si="9"/>
        <v>3503490.0829549883</v>
      </c>
      <c r="P49" s="825"/>
      <c r="X49" s="79"/>
      <c r="Y49" s="79"/>
      <c r="Z49" s="80"/>
      <c r="AA49" s="80"/>
      <c r="AB49" s="80"/>
      <c r="AC49" s="80"/>
      <c r="AD49" s="80"/>
      <c r="AE49" s="80"/>
      <c r="AF49" s="80"/>
      <c r="AG49" s="80"/>
      <c r="AH49" s="27"/>
    </row>
    <row r="50" spans="1:48" s="620" customFormat="1">
      <c r="A50" s="767" t="s">
        <v>837</v>
      </c>
      <c r="B50" s="2163"/>
      <c r="C50" s="883"/>
      <c r="D50" s="884"/>
      <c r="E50" s="884"/>
      <c r="F50" s="884">
        <f>SUM(C49:F49)/SUM(SUM(C22:F22),SUM(C49:F49))</f>
        <v>0.26453892579563548</v>
      </c>
      <c r="G50" s="884"/>
      <c r="H50" s="884"/>
      <c r="I50" s="884"/>
      <c r="J50" s="884">
        <f>SUM(G49:J49)/SUM(SUM(G22:J22),SUM(G49:J49))</f>
        <v>0.18495892383091067</v>
      </c>
      <c r="K50" s="884">
        <f>K49/(K22+K9+K15)</f>
        <v>0.22310014769987727</v>
      </c>
      <c r="L50" s="884">
        <f>L49/(L22+L9+L15)</f>
        <v>0.1923576472057647</v>
      </c>
      <c r="M50" s="884">
        <f>M49/(M22+M9+M15)</f>
        <v>0.20156512862224174</v>
      </c>
      <c r="N50" s="884">
        <f>N49/(N22+N9+N15)</f>
        <v>0.2028689352263037</v>
      </c>
      <c r="P50" s="825"/>
      <c r="X50" s="621"/>
      <c r="Y50" s="621"/>
      <c r="Z50" s="622"/>
      <c r="AA50" s="622"/>
      <c r="AB50" s="622"/>
      <c r="AC50" s="622"/>
      <c r="AD50" s="623"/>
      <c r="AE50" s="624"/>
    </row>
    <row r="51" spans="1:48" s="620" customFormat="1">
      <c r="A51" s="767" t="s">
        <v>838</v>
      </c>
      <c r="B51" s="2163"/>
      <c r="C51" s="885"/>
      <c r="D51" s="886"/>
      <c r="E51" s="886"/>
      <c r="F51" s="887">
        <v>-7701527.9900000002</v>
      </c>
      <c r="G51" s="886"/>
      <c r="H51" s="886"/>
      <c r="I51" s="886"/>
      <c r="J51" s="887">
        <v>-6500000</v>
      </c>
      <c r="K51" s="887">
        <v>-5000000</v>
      </c>
      <c r="L51" s="887">
        <v>-5000000</v>
      </c>
      <c r="M51" s="887">
        <v>-5000000</v>
      </c>
      <c r="N51" s="887">
        <v>-5000000</v>
      </c>
      <c r="P51" s="825"/>
      <c r="X51" s="621"/>
      <c r="Y51" s="621"/>
      <c r="Z51" s="622"/>
      <c r="AA51" s="622"/>
      <c r="AB51" s="622"/>
      <c r="AC51" s="622"/>
      <c r="AD51" s="623"/>
      <c r="AE51" s="624"/>
    </row>
    <row r="52" spans="1:48" s="620" customFormat="1">
      <c r="A52" s="888" t="s">
        <v>839</v>
      </c>
      <c r="B52" s="2164"/>
      <c r="C52" s="889"/>
      <c r="D52" s="890"/>
      <c r="E52" s="886"/>
      <c r="F52" s="889">
        <f>+F51-SUM(C30:F30)-SUM(C32:F32)-SUM(lgh_oc!E31:H31)-lgh_cuda!D7</f>
        <v>-3304139.99</v>
      </c>
      <c r="G52" s="886"/>
      <c r="H52" s="886"/>
      <c r="I52" s="886"/>
      <c r="J52" s="890">
        <f>+J51-SUM(G30:J30)-SUM(G32:J32)-SUM(lgh_oc!I31:L31)</f>
        <v>-3302612</v>
      </c>
      <c r="K52" s="890">
        <f>+K51-K30-K32-lgh_oc!M31</f>
        <v>-1802612</v>
      </c>
      <c r="L52" s="890">
        <f>+L51-L30-L32-lgh_oc!N31</f>
        <v>-1802612</v>
      </c>
      <c r="M52" s="890">
        <f>+M51-M30-M32-lgh_oc!O31</f>
        <v>-1802612</v>
      </c>
      <c r="N52" s="890">
        <f>+N51-N30-N32-lgh_oc!P31</f>
        <v>-1802612</v>
      </c>
      <c r="P52" s="825"/>
      <c r="X52" s="621"/>
      <c r="Y52" s="621"/>
      <c r="Z52" s="622"/>
      <c r="AA52" s="622"/>
      <c r="AB52" s="622"/>
      <c r="AC52" s="622"/>
      <c r="AD52" s="623"/>
      <c r="AE52" s="624"/>
    </row>
    <row r="53" spans="1:48" s="620" customFormat="1">
      <c r="A53" s="891" t="s">
        <v>840</v>
      </c>
      <c r="B53" s="2165">
        <v>-4651000</v>
      </c>
      <c r="C53" s="893">
        <f>+$F$52/4</f>
        <v>-826034.99750000006</v>
      </c>
      <c r="D53" s="892">
        <f>+$F$52/4</f>
        <v>-826034.99750000006</v>
      </c>
      <c r="E53" s="892">
        <f>+$F$52/4</f>
        <v>-826034.99750000006</v>
      </c>
      <c r="F53" s="894">
        <f>+$F$52/4</f>
        <v>-826034.99750000006</v>
      </c>
      <c r="G53" s="893">
        <f>+$J$52/4</f>
        <v>-825653</v>
      </c>
      <c r="H53" s="892">
        <f>+$J$52/4</f>
        <v>-825653</v>
      </c>
      <c r="I53" s="892">
        <f>+$J$52/4</f>
        <v>-825653</v>
      </c>
      <c r="J53" s="894">
        <f>+$J$52/4</f>
        <v>-825653</v>
      </c>
      <c r="K53" s="895">
        <f>+K52</f>
        <v>-1802612</v>
      </c>
      <c r="L53" s="895">
        <f>+L52</f>
        <v>-1802612</v>
      </c>
      <c r="M53" s="895">
        <f>+M52</f>
        <v>-1802612</v>
      </c>
      <c r="N53" s="895">
        <f>+N52</f>
        <v>-1802612</v>
      </c>
      <c r="P53" s="825"/>
      <c r="X53" s="621"/>
      <c r="Y53" s="621"/>
      <c r="Z53" s="622"/>
      <c r="AA53" s="622"/>
      <c r="AB53" s="622"/>
      <c r="AC53" s="622"/>
      <c r="AD53" s="623"/>
      <c r="AE53" s="624"/>
    </row>
    <row r="54" spans="1:48" s="620" customFormat="1">
      <c r="A54" s="896" t="s">
        <v>841</v>
      </c>
      <c r="B54" s="2166">
        <v>-1531049</v>
      </c>
      <c r="C54" s="898">
        <f t="shared" ref="C54:N54" si="10">+(C49+C53)</f>
        <v>-240715.49750000006</v>
      </c>
      <c r="D54" s="897">
        <f t="shared" si="10"/>
        <v>-240715.49750000006</v>
      </c>
      <c r="E54" s="897">
        <f t="shared" si="10"/>
        <v>19284.502499999944</v>
      </c>
      <c r="F54" s="899">
        <f t="shared" si="10"/>
        <v>98144.502499999944</v>
      </c>
      <c r="G54" s="898">
        <f t="shared" si="10"/>
        <v>-755115.46624999994</v>
      </c>
      <c r="H54" s="897">
        <f t="shared" si="10"/>
        <v>11779.310000000172</v>
      </c>
      <c r="I54" s="897">
        <f t="shared" si="10"/>
        <v>-68674.990000000107</v>
      </c>
      <c r="J54" s="899">
        <f t="shared" si="10"/>
        <v>1212477.3599999996</v>
      </c>
      <c r="K54" s="900">
        <f t="shared" si="10"/>
        <v>2076563.2379999985</v>
      </c>
      <c r="L54" s="900">
        <f t="shared" si="10"/>
        <v>1542628.8752199993</v>
      </c>
      <c r="M54" s="900">
        <f t="shared" si="10"/>
        <v>1601556.0096765985</v>
      </c>
      <c r="N54" s="900">
        <f t="shared" si="10"/>
        <v>1700878.0829549883</v>
      </c>
      <c r="P54" s="825"/>
      <c r="X54" s="621"/>
      <c r="Y54" s="621"/>
      <c r="Z54" s="622"/>
      <c r="AA54" s="622"/>
      <c r="AB54" s="622"/>
      <c r="AC54" s="622"/>
      <c r="AD54" s="623"/>
      <c r="AE54" s="624"/>
    </row>
    <row r="55" spans="1:48" s="620" customFormat="1">
      <c r="A55" s="901" t="s">
        <v>842</v>
      </c>
      <c r="B55" s="2167">
        <v>-1540999</v>
      </c>
      <c r="C55" s="903">
        <f t="shared" ref="C55:N55" si="11">MIN(C54+B55,0)</f>
        <v>-1781714.4975000001</v>
      </c>
      <c r="D55" s="902">
        <f t="shared" si="11"/>
        <v>-2022429.9950000001</v>
      </c>
      <c r="E55" s="902">
        <f t="shared" si="11"/>
        <v>-2003145.4925000002</v>
      </c>
      <c r="F55" s="904">
        <f t="shared" si="11"/>
        <v>-1905000.9900000002</v>
      </c>
      <c r="G55" s="903">
        <f t="shared" si="11"/>
        <v>-2660116.4562500003</v>
      </c>
      <c r="H55" s="902">
        <f t="shared" si="11"/>
        <v>-2648337.1462500002</v>
      </c>
      <c r="I55" s="902">
        <f t="shared" si="11"/>
        <v>-2717012.1362500004</v>
      </c>
      <c r="J55" s="904">
        <f t="shared" si="11"/>
        <v>-1504534.7762500008</v>
      </c>
      <c r="K55" s="905">
        <f t="shared" si="11"/>
        <v>0</v>
      </c>
      <c r="L55" s="905">
        <f t="shared" si="11"/>
        <v>0</v>
      </c>
      <c r="M55" s="905">
        <f t="shared" si="11"/>
        <v>0</v>
      </c>
      <c r="N55" s="905">
        <f t="shared" si="11"/>
        <v>0</v>
      </c>
      <c r="P55" s="825"/>
      <c r="X55" s="621"/>
      <c r="Y55" s="621"/>
      <c r="Z55" s="622"/>
      <c r="AA55" s="622"/>
      <c r="AB55" s="622"/>
      <c r="AC55" s="622"/>
      <c r="AD55" s="623"/>
      <c r="AE55" s="624"/>
    </row>
    <row r="56" spans="1:48">
      <c r="A56" s="768"/>
      <c r="B56" s="2168"/>
      <c r="C56" s="906"/>
      <c r="D56" s="906"/>
      <c r="E56" s="906"/>
      <c r="F56" s="906"/>
      <c r="G56" s="906"/>
      <c r="H56" s="906"/>
      <c r="I56" s="906"/>
      <c r="J56" s="906"/>
      <c r="K56" s="906"/>
      <c r="L56" s="906"/>
      <c r="M56" s="906"/>
      <c r="N56" s="906"/>
      <c r="P56" s="825"/>
      <c r="X56" s="81"/>
      <c r="Y56" s="81"/>
      <c r="Z56" s="7"/>
      <c r="AA56" s="7"/>
      <c r="AB56" s="7"/>
      <c r="AC56" s="7"/>
      <c r="AD56" s="15"/>
      <c r="AE56" s="28"/>
    </row>
    <row r="57" spans="1:48">
      <c r="A57" s="907" t="s">
        <v>157</v>
      </c>
      <c r="B57" s="2078"/>
      <c r="C57" s="798"/>
      <c r="D57" s="798"/>
      <c r="E57" s="798"/>
      <c r="F57" s="798"/>
      <c r="G57" s="798"/>
      <c r="H57" s="798"/>
      <c r="I57" s="798"/>
      <c r="J57" s="798"/>
      <c r="K57" s="1"/>
      <c r="L57" s="1"/>
      <c r="M57" s="1"/>
      <c r="N57" s="1"/>
      <c r="P57" s="825"/>
      <c r="X57" s="81"/>
      <c r="Y57" s="81"/>
      <c r="Z57" s="7"/>
      <c r="AA57" s="7"/>
      <c r="AB57" s="7"/>
      <c r="AC57" s="7"/>
      <c r="AD57" s="15"/>
      <c r="AE57" s="28"/>
    </row>
    <row r="58" spans="1:48">
      <c r="A58" s="768" t="s">
        <v>298</v>
      </c>
      <c r="B58" s="2078">
        <v>0</v>
      </c>
      <c r="C58" s="798">
        <f>-'c12_hm'!G82</f>
        <v>113077.75</v>
      </c>
      <c r="D58" s="798">
        <f>-'c12_hm'!H82</f>
        <v>226155.5</v>
      </c>
      <c r="E58" s="798">
        <f>-'c12_hm'!I82</f>
        <v>339233.25</v>
      </c>
      <c r="F58" s="798">
        <f>-'c12_hm'!J82</f>
        <v>563661</v>
      </c>
      <c r="G58" s="798">
        <f>-'c12_hm'!K82</f>
        <v>1162989</v>
      </c>
      <c r="H58" s="798">
        <f>-'c12_hm'!L82</f>
        <v>1170395.0925</v>
      </c>
      <c r="I58" s="798">
        <f>-'c12_hm'!M82</f>
        <v>1177801.1850000001</v>
      </c>
      <c r="J58" s="798">
        <f>-'c12_hm'!N82</f>
        <v>516207.27750000008</v>
      </c>
      <c r="K58" s="798">
        <f>-'c12_hm'!O82</f>
        <v>1546720.3785999999</v>
      </c>
      <c r="L58" s="798">
        <f>-'c12_hm'!P82</f>
        <v>1578148.872733</v>
      </c>
      <c r="M58" s="798">
        <f>-'c12_hm'!Q82</f>
        <v>610520.22168998979</v>
      </c>
      <c r="N58" s="798">
        <f>-'c12_hm'!R82</f>
        <v>0</v>
      </c>
      <c r="P58" s="825"/>
      <c r="X58" s="81"/>
      <c r="Y58" s="81"/>
      <c r="Z58" s="7"/>
      <c r="AA58" s="7"/>
      <c r="AB58" s="7"/>
      <c r="AC58" s="7"/>
      <c r="AD58" s="15"/>
      <c r="AE58" s="28"/>
    </row>
    <row r="59" spans="1:48">
      <c r="A59" s="768" t="s">
        <v>814</v>
      </c>
      <c r="B59" s="2078">
        <v>0</v>
      </c>
      <c r="C59" s="798">
        <f>-'c12_d&amp;s'!G110</f>
        <v>302954.75</v>
      </c>
      <c r="D59" s="798">
        <f>-'c12_d&amp;s'!H110</f>
        <v>2855909.5</v>
      </c>
      <c r="E59" s="798">
        <f>-'c12_d&amp;s'!I110</f>
        <v>4033864.25</v>
      </c>
      <c r="F59" s="798">
        <f>-'c12_d&amp;s'!J110</f>
        <v>4801819</v>
      </c>
      <c r="G59" s="798">
        <f>-'c12_d&amp;s'!K110</f>
        <v>4957879.68</v>
      </c>
      <c r="H59" s="798">
        <f>-'c12_d&amp;s'!L110</f>
        <v>4470379.68</v>
      </c>
      <c r="I59" s="798">
        <f>-'c12_d&amp;s'!M110</f>
        <v>4201060.68</v>
      </c>
      <c r="J59" s="798">
        <f>-'c12_d&amp;s'!N110</f>
        <v>4928760.68</v>
      </c>
      <c r="K59" s="798">
        <f>-'c12_d&amp;s'!O110</f>
        <v>3750000</v>
      </c>
      <c r="L59" s="798">
        <f>-'c12_d&amp;s'!P110</f>
        <v>2650000</v>
      </c>
      <c r="M59" s="798">
        <f>-'c12_d&amp;s'!Q110</f>
        <v>6000000</v>
      </c>
      <c r="N59" s="798">
        <f>-'c12_d&amp;s'!R110</f>
        <v>8000000.333333334</v>
      </c>
      <c r="P59" s="825"/>
      <c r="X59" s="81"/>
      <c r="Y59" s="81"/>
      <c r="Z59" s="7"/>
      <c r="AA59" s="7"/>
      <c r="AB59" s="7"/>
      <c r="AC59" s="7"/>
      <c r="AD59" s="15"/>
      <c r="AE59" s="28"/>
    </row>
    <row r="60" spans="1:48">
      <c r="A60" s="908" t="s">
        <v>23</v>
      </c>
      <c r="B60" s="2169">
        <v>0</v>
      </c>
      <c r="C60" s="801">
        <f t="shared" ref="C60:N60" si="12">SUM(C58:C59)</f>
        <v>416032.5</v>
      </c>
      <c r="D60" s="801">
        <f t="shared" si="12"/>
        <v>3082065</v>
      </c>
      <c r="E60" s="801">
        <f t="shared" si="12"/>
        <v>4373097.5</v>
      </c>
      <c r="F60" s="801">
        <f t="shared" si="12"/>
        <v>5365480</v>
      </c>
      <c r="G60" s="801">
        <f t="shared" si="12"/>
        <v>6120868.6799999997</v>
      </c>
      <c r="H60" s="801">
        <f t="shared" si="12"/>
        <v>5640774.7725</v>
      </c>
      <c r="I60" s="801">
        <f t="shared" si="12"/>
        <v>5378861.8650000002</v>
      </c>
      <c r="J60" s="801">
        <f t="shared" si="12"/>
        <v>5444967.9574999996</v>
      </c>
      <c r="K60" s="801">
        <f t="shared" si="12"/>
        <v>5296720.3785999995</v>
      </c>
      <c r="L60" s="801">
        <f t="shared" si="12"/>
        <v>4228148.8727329997</v>
      </c>
      <c r="M60" s="801">
        <f t="shared" si="12"/>
        <v>6610520.2216899898</v>
      </c>
      <c r="N60" s="801">
        <f t="shared" si="12"/>
        <v>8000000.333333334</v>
      </c>
      <c r="P60" s="825"/>
    </row>
    <row r="61" spans="1:48">
      <c r="A61" s="802"/>
      <c r="B61" s="2078"/>
      <c r="C61" s="798"/>
      <c r="D61" s="798"/>
      <c r="E61" s="798"/>
      <c r="F61" s="798"/>
      <c r="G61" s="798"/>
      <c r="H61" s="798"/>
      <c r="I61" s="798"/>
      <c r="J61" s="798"/>
      <c r="K61" s="798"/>
      <c r="L61" s="798"/>
      <c r="M61" s="798"/>
      <c r="N61" s="798"/>
      <c r="P61" s="825"/>
      <c r="X61" s="81"/>
      <c r="Y61" s="81"/>
      <c r="Z61" s="7"/>
      <c r="AA61" s="7"/>
      <c r="AB61" s="7"/>
      <c r="AC61" s="7"/>
      <c r="AD61" s="7"/>
      <c r="AE61" s="15"/>
      <c r="AF61" s="28"/>
      <c r="AG61" s="9"/>
      <c r="AH61" s="9"/>
    </row>
    <row r="62" spans="1:48">
      <c r="A62" s="909" t="s">
        <v>158</v>
      </c>
      <c r="B62" s="2078"/>
      <c r="C62" s="798"/>
      <c r="D62" s="798"/>
      <c r="E62" s="798"/>
      <c r="F62" s="798"/>
      <c r="G62" s="798"/>
      <c r="H62" s="798"/>
      <c r="I62" s="798"/>
      <c r="J62" s="798"/>
      <c r="K62" s="798"/>
      <c r="L62" s="798"/>
      <c r="M62" s="798"/>
      <c r="N62" s="798"/>
      <c r="P62" s="825"/>
      <c r="X62" s="81"/>
      <c r="Y62" s="81"/>
      <c r="Z62" s="7"/>
      <c r="AA62" s="7"/>
      <c r="AB62" s="7"/>
      <c r="AC62" s="7"/>
      <c r="AD62" s="7"/>
      <c r="AE62" s="15"/>
      <c r="AF62" s="28"/>
      <c r="AG62" s="9"/>
      <c r="AH62" s="9"/>
    </row>
    <row r="63" spans="1:48">
      <c r="A63" s="768" t="s">
        <v>298</v>
      </c>
      <c r="B63" s="2078">
        <v>0</v>
      </c>
      <c r="C63" s="798">
        <f>+'c12_hm'!G63</f>
        <v>-113077.75</v>
      </c>
      <c r="D63" s="798">
        <f>+'c12_hm'!H63</f>
        <v>-226155.5</v>
      </c>
      <c r="E63" s="798">
        <f>+'c12_hm'!I63</f>
        <v>-339233.25</v>
      </c>
      <c r="F63" s="798">
        <f>+'c12_hm'!J63</f>
        <v>-563661</v>
      </c>
      <c r="G63" s="798">
        <f>+'c12_hm'!K63</f>
        <v>-348896.7</v>
      </c>
      <c r="H63" s="798">
        <f>+'c12_hm'!L63</f>
        <v>-351118.52775000001</v>
      </c>
      <c r="I63" s="798">
        <f>+'c12_hm'!M63</f>
        <v>-353340.35550000001</v>
      </c>
      <c r="J63" s="798">
        <f>+'c12_hm'!N63</f>
        <v>-154862.18325000003</v>
      </c>
      <c r="K63" s="798">
        <f>+'c12_hm'!O63</f>
        <v>-464016.11357999995</v>
      </c>
      <c r="L63" s="798">
        <f>+'c12_hm'!P63</f>
        <v>-473444.66181989998</v>
      </c>
      <c r="M63" s="798">
        <f>+'c12_hm'!Q63</f>
        <v>-183156.06650699693</v>
      </c>
      <c r="N63" s="798">
        <f>+'c12_hm'!R63</f>
        <v>0</v>
      </c>
      <c r="P63" s="825"/>
      <c r="X63" s="81"/>
      <c r="Y63" s="81"/>
      <c r="Z63" s="7"/>
      <c r="AA63" s="7"/>
      <c r="AB63" s="7"/>
      <c r="AC63" s="7"/>
      <c r="AD63" s="7"/>
      <c r="AE63" s="15"/>
      <c r="AF63" s="28"/>
      <c r="AG63" s="9"/>
      <c r="AH63" s="9"/>
    </row>
    <row r="64" spans="1:48">
      <c r="A64" s="768" t="s">
        <v>814</v>
      </c>
      <c r="B64" s="2170">
        <v>0</v>
      </c>
      <c r="C64" s="910">
        <f>+'c12_d&amp;s'!G91</f>
        <v>-201025.125</v>
      </c>
      <c r="D64" s="910">
        <f>+'c12_d&amp;s'!H91</f>
        <v>-1527050.25</v>
      </c>
      <c r="E64" s="910">
        <f>+'c12_d&amp;s'!I91</f>
        <v>-2165575.375</v>
      </c>
      <c r="F64" s="910">
        <f>+'c12_d&amp;s'!J91</f>
        <v>-2599100.5</v>
      </c>
      <c r="G64" s="910">
        <f>+'c12_d&amp;s'!K91</f>
        <v>-1591497.8039999998</v>
      </c>
      <c r="H64" s="910">
        <f>+'c12_d&amp;s'!L91</f>
        <v>-1486174.4039999999</v>
      </c>
      <c r="I64" s="910">
        <f>+'c12_d&amp;s'!M91</f>
        <v>-1446305.304</v>
      </c>
      <c r="J64" s="910">
        <f>+'c12_d&amp;s'!N91</f>
        <v>-1645541.9039999999</v>
      </c>
      <c r="K64" s="910">
        <f>+'c12_d&amp;s'!O91</f>
        <v>-1293617.5919999999</v>
      </c>
      <c r="L64" s="910">
        <f>+'c12_d&amp;s'!P91</f>
        <v>-968676.11975999991</v>
      </c>
      <c r="M64" s="910">
        <f>+'c12_d&amp;s'!Q91</f>
        <v>-1978886.4033528001</v>
      </c>
      <c r="N64" s="910">
        <f>+'c12_d&amp;s'!R91</f>
        <v>-2400000.1</v>
      </c>
      <c r="O64" s="88"/>
      <c r="P64" s="825"/>
      <c r="AF64" s="1"/>
      <c r="AG64" s="1"/>
      <c r="AH64" s="1"/>
      <c r="AI64" s="1"/>
      <c r="AJ64" s="1"/>
      <c r="AK64" s="1"/>
      <c r="AL64" s="1"/>
      <c r="AM64" s="1"/>
      <c r="AN64" s="1"/>
      <c r="AP64" s="1"/>
      <c r="AQ64" s="1"/>
      <c r="AR64" s="1"/>
      <c r="AS64" s="1"/>
      <c r="AT64" s="1"/>
      <c r="AU64" s="1"/>
      <c r="AV64" s="1"/>
    </row>
    <row r="65" spans="1:54">
      <c r="A65" s="799" t="s">
        <v>23</v>
      </c>
      <c r="B65" s="2150">
        <v>0</v>
      </c>
      <c r="C65" s="911">
        <f t="shared" ref="C65:N65" si="13">SUM(C63:C64)</f>
        <v>-314102.875</v>
      </c>
      <c r="D65" s="911">
        <f t="shared" si="13"/>
        <v>-1753205.75</v>
      </c>
      <c r="E65" s="911">
        <f t="shared" si="13"/>
        <v>-2504808.625</v>
      </c>
      <c r="F65" s="911">
        <f t="shared" si="13"/>
        <v>-3162761.5</v>
      </c>
      <c r="G65" s="911">
        <f t="shared" si="13"/>
        <v>-1940394.5039999997</v>
      </c>
      <c r="H65" s="911">
        <f t="shared" si="13"/>
        <v>-1837292.93175</v>
      </c>
      <c r="I65" s="911">
        <f t="shared" si="13"/>
        <v>-1799645.6595000001</v>
      </c>
      <c r="J65" s="911">
        <f t="shared" si="13"/>
        <v>-1800404.0872499999</v>
      </c>
      <c r="K65" s="911">
        <f t="shared" si="13"/>
        <v>-1757633.7055799998</v>
      </c>
      <c r="L65" s="911">
        <f t="shared" si="13"/>
        <v>-1442120.7815798998</v>
      </c>
      <c r="M65" s="911">
        <f t="shared" si="13"/>
        <v>-2162042.469859797</v>
      </c>
      <c r="N65" s="911">
        <f t="shared" si="13"/>
        <v>-2400000.1</v>
      </c>
      <c r="P65" s="825"/>
      <c r="S65" s="26"/>
      <c r="AH65" s="1"/>
      <c r="AI65" s="1"/>
      <c r="AJ65" s="1"/>
      <c r="AK65" s="1"/>
      <c r="AL65" s="1"/>
      <c r="AM65" s="1"/>
      <c r="AN65" s="1"/>
      <c r="AP65" s="1"/>
      <c r="AQ65" s="1"/>
      <c r="AR65" s="1"/>
      <c r="AS65" s="1"/>
      <c r="AT65" s="1"/>
      <c r="AU65" s="1"/>
      <c r="AV65" s="1"/>
    </row>
    <row r="66" spans="1:54">
      <c r="A66" s="912" t="s">
        <v>673</v>
      </c>
      <c r="B66" s="2171"/>
      <c r="C66" s="913">
        <f t="shared" ref="C66:N66" si="14">+C65/C60</f>
        <v>-0.75499600391796318</v>
      </c>
      <c r="D66" s="913">
        <f t="shared" si="14"/>
        <v>-0.56884126389287704</v>
      </c>
      <c r="E66" s="913">
        <f t="shared" si="14"/>
        <v>-0.57277676178040848</v>
      </c>
      <c r="F66" s="913">
        <f t="shared" si="14"/>
        <v>-0.58946478227483845</v>
      </c>
      <c r="G66" s="913">
        <f t="shared" si="14"/>
        <v>-0.31701292830219646</v>
      </c>
      <c r="H66" s="914">
        <f t="shared" si="14"/>
        <v>-0.32571641411871316</v>
      </c>
      <c r="I66" s="914">
        <f t="shared" si="14"/>
        <v>-0.33457740776170686</v>
      </c>
      <c r="J66" s="914">
        <f t="shared" si="14"/>
        <v>-0.33065467075340454</v>
      </c>
      <c r="K66" s="196">
        <f t="shared" si="14"/>
        <v>-0.33183433897723863</v>
      </c>
      <c r="L66" s="196">
        <f t="shared" si="14"/>
        <v>-0.34107616003779423</v>
      </c>
      <c r="M66" s="196">
        <f t="shared" si="14"/>
        <v>-0.32706086621834241</v>
      </c>
      <c r="N66" s="196">
        <f t="shared" si="14"/>
        <v>-0.3</v>
      </c>
      <c r="P66" s="825"/>
      <c r="S66" s="26"/>
      <c r="AH66" s="1"/>
      <c r="AI66" s="1"/>
      <c r="AJ66" s="1"/>
      <c r="AK66" s="1"/>
      <c r="AL66" s="1"/>
      <c r="AM66" s="1"/>
      <c r="AN66" s="1"/>
      <c r="AP66" s="1"/>
      <c r="AQ66" s="1"/>
      <c r="AR66" s="1"/>
      <c r="AS66" s="1"/>
      <c r="AT66" s="1"/>
      <c r="AU66" s="1"/>
      <c r="AV66" s="1"/>
    </row>
    <row r="67" spans="1:54">
      <c r="A67" s="912"/>
      <c r="B67" s="768"/>
      <c r="C67" s="768"/>
      <c r="D67" s="768"/>
      <c r="E67" s="768"/>
      <c r="F67" s="768"/>
      <c r="G67" s="910"/>
      <c r="H67" s="910"/>
      <c r="I67" s="910"/>
      <c r="J67" s="910"/>
      <c r="K67" s="768"/>
      <c r="L67" s="768"/>
      <c r="M67" s="768"/>
      <c r="N67" s="768"/>
      <c r="T67" s="825"/>
      <c r="W67" s="26"/>
      <c r="AL67" s="1"/>
      <c r="AM67" s="1"/>
      <c r="AN67" s="1"/>
      <c r="AO67" s="1"/>
      <c r="AP67" s="1"/>
      <c r="AQ67" s="1"/>
      <c r="AR67" s="1"/>
      <c r="AT67" s="1"/>
      <c r="AU67" s="1"/>
      <c r="AV67" s="1"/>
      <c r="AW67" s="1"/>
      <c r="AX67" s="1"/>
      <c r="AY67" s="1"/>
      <c r="AZ67" s="1"/>
    </row>
    <row r="68" spans="1:54">
      <c r="A68" s="912"/>
      <c r="B68" s="768"/>
      <c r="C68" s="768"/>
      <c r="D68" s="768"/>
      <c r="E68" s="768"/>
      <c r="F68" s="910"/>
      <c r="G68" s="910"/>
      <c r="H68" s="910"/>
      <c r="I68" s="910"/>
      <c r="J68" s="910"/>
      <c r="K68" s="768"/>
      <c r="L68" s="768"/>
      <c r="M68" s="768"/>
      <c r="N68" s="768"/>
      <c r="T68" s="825"/>
      <c r="W68" s="26"/>
      <c r="AL68" s="1"/>
      <c r="AM68" s="1"/>
      <c r="AN68" s="1"/>
      <c r="AO68" s="1"/>
      <c r="AP68" s="1"/>
      <c r="AQ68" s="1"/>
      <c r="AR68" s="1"/>
      <c r="AT68" s="1"/>
      <c r="AU68" s="1"/>
      <c r="AV68" s="1"/>
      <c r="AW68" s="1"/>
      <c r="AX68" s="1"/>
      <c r="AY68" s="1"/>
      <c r="AZ68" s="1"/>
    </row>
    <row r="69" spans="1:54">
      <c r="A69" s="912"/>
      <c r="B69" s="768"/>
      <c r="C69" s="768"/>
      <c r="D69" s="768"/>
      <c r="E69" s="768"/>
      <c r="F69" s="768"/>
      <c r="G69" s="768"/>
      <c r="H69" s="768"/>
      <c r="I69" s="768"/>
      <c r="J69" s="768"/>
      <c r="K69" s="768"/>
      <c r="L69" s="768"/>
      <c r="M69" s="768"/>
      <c r="N69" s="768"/>
      <c r="T69" s="825"/>
      <c r="W69" s="26"/>
      <c r="AL69" s="1"/>
      <c r="AM69" s="1"/>
      <c r="AN69" s="1"/>
      <c r="AO69" s="1"/>
      <c r="AP69" s="1"/>
      <c r="AQ69" s="1"/>
      <c r="AR69" s="1"/>
      <c r="AT69" s="1"/>
      <c r="AU69" s="1"/>
      <c r="AV69" s="1"/>
      <c r="AW69" s="1"/>
      <c r="AX69" s="1"/>
      <c r="AY69" s="1"/>
      <c r="AZ69" s="1"/>
    </row>
    <row r="70" spans="1:54">
      <c r="A70" s="5" t="s">
        <v>843</v>
      </c>
      <c r="B70" s="90"/>
      <c r="C70" s="90"/>
      <c r="D70" s="90"/>
      <c r="E70" s="198" t="s">
        <v>844</v>
      </c>
      <c r="F70" s="198" t="s">
        <v>805</v>
      </c>
      <c r="G70" s="79" t="s">
        <v>845</v>
      </c>
      <c r="H70" s="79" t="s">
        <v>23</v>
      </c>
      <c r="I70" s="821" t="s">
        <v>846</v>
      </c>
      <c r="J70" s="821" t="s">
        <v>299</v>
      </c>
      <c r="K70" s="821" t="s">
        <v>847</v>
      </c>
      <c r="L70" s="821" t="s">
        <v>848</v>
      </c>
      <c r="M70" s="821" t="s">
        <v>849</v>
      </c>
      <c r="N70" s="768"/>
      <c r="O70" s="768"/>
      <c r="P70" s="768"/>
      <c r="Q70" s="768"/>
      <c r="R70" s="768"/>
      <c r="S70" s="768"/>
      <c r="T70" s="825"/>
      <c r="V70" s="41"/>
      <c r="AL70" s="1"/>
      <c r="AM70" s="1"/>
      <c r="AN70" s="1"/>
      <c r="AO70" s="1"/>
      <c r="AP70" s="1"/>
      <c r="AQ70" s="1"/>
      <c r="AR70" s="1"/>
      <c r="AS70" s="1"/>
      <c r="AT70" s="1"/>
      <c r="AV70" s="1"/>
      <c r="AW70" s="1"/>
      <c r="AX70" s="1"/>
      <c r="AY70" s="1"/>
      <c r="AZ70" s="1"/>
      <c r="BA70" s="1"/>
      <c r="BB70" s="1"/>
    </row>
    <row r="71" spans="1:54">
      <c r="A71" s="430" t="s">
        <v>850</v>
      </c>
      <c r="B71" s="432">
        <v>1000000</v>
      </c>
      <c r="C71" s="199">
        <f>+B71*'c12_inputs'!$C$4</f>
        <v>152000</v>
      </c>
      <c r="D71" s="432"/>
      <c r="E71" s="199">
        <f t="shared" ref="E71:E78" si="15">SUM(B71:D71)</f>
        <v>1152000</v>
      </c>
      <c r="F71" s="915">
        <v>0.33</v>
      </c>
      <c r="G71" s="915">
        <v>0.33</v>
      </c>
      <c r="H71" s="915">
        <v>0.34</v>
      </c>
      <c r="I71" s="916">
        <f t="shared" ref="I71:I78" si="16">SUM(F71:H71)</f>
        <v>1</v>
      </c>
      <c r="J71" s="916">
        <f t="shared" ref="J71:J78" si="17">-I71+100%</f>
        <v>0</v>
      </c>
      <c r="K71" s="768"/>
      <c r="Q71" s="825"/>
      <c r="S71" s="41"/>
    </row>
    <row r="72" spans="1:54" ht="16.2" customHeight="1">
      <c r="A72" s="430" t="s">
        <v>851</v>
      </c>
      <c r="B72" s="432">
        <v>0</v>
      </c>
      <c r="C72" s="199">
        <f>+B72*'c12_inputs'!$C$4</f>
        <v>0</v>
      </c>
      <c r="D72" s="432">
        <v>0</v>
      </c>
      <c r="E72" s="199">
        <f t="shared" si="15"/>
        <v>0</v>
      </c>
      <c r="F72" s="915">
        <v>0</v>
      </c>
      <c r="G72" s="915">
        <v>0</v>
      </c>
      <c r="H72" s="915">
        <v>0</v>
      </c>
      <c r="I72" s="916">
        <f t="shared" si="16"/>
        <v>0</v>
      </c>
      <c r="J72" s="916">
        <f t="shared" si="17"/>
        <v>1</v>
      </c>
      <c r="K72" s="768"/>
      <c r="N72" s="196">
        <v>5.0000000000000001E-3</v>
      </c>
      <c r="Q72" s="825"/>
      <c r="S72" s="41"/>
      <c r="X72" s="21"/>
      <c r="Y72" s="1"/>
      <c r="Z72" s="1"/>
      <c r="AA72" s="28"/>
      <c r="AB72" s="28"/>
      <c r="AC72" s="1"/>
      <c r="AD72" s="1"/>
      <c r="AE72" s="1"/>
      <c r="AF72" s="1"/>
      <c r="AG72" s="1"/>
      <c r="AH72" s="1"/>
      <c r="AI72" s="1"/>
      <c r="AJ72" s="1"/>
      <c r="AK72" s="82"/>
      <c r="AL72" s="82"/>
      <c r="AM72" s="82"/>
      <c r="AN72" s="82"/>
      <c r="AO72" s="82"/>
      <c r="AP72" s="82"/>
      <c r="AQ72" s="82"/>
      <c r="AS72" s="82"/>
      <c r="AT72" s="82"/>
      <c r="AU72" s="82"/>
      <c r="AV72" s="82"/>
      <c r="AW72" s="82"/>
      <c r="AX72" s="82"/>
      <c r="AY72" s="82"/>
      <c r="AZ72" s="2"/>
    </row>
    <row r="73" spans="1:54">
      <c r="A73" s="430" t="s">
        <v>852</v>
      </c>
      <c r="B73" s="432">
        <v>103000</v>
      </c>
      <c r="C73" s="199">
        <f>+B73*'c12_inputs'!$C$4</f>
        <v>15656</v>
      </c>
      <c r="D73" s="432">
        <v>5000</v>
      </c>
      <c r="E73" s="199">
        <f t="shared" si="15"/>
        <v>123656</v>
      </c>
      <c r="F73" s="915">
        <v>0.33</v>
      </c>
      <c r="G73" s="915">
        <v>0.33</v>
      </c>
      <c r="H73" s="915">
        <v>0.33</v>
      </c>
      <c r="I73" s="916">
        <f t="shared" si="16"/>
        <v>0.99</v>
      </c>
      <c r="J73" s="916">
        <f t="shared" si="17"/>
        <v>1.0000000000000009E-2</v>
      </c>
      <c r="K73" s="768"/>
      <c r="N73" s="1">
        <v>7000000</v>
      </c>
      <c r="S73" s="41"/>
      <c r="Y73" s="2"/>
      <c r="Z73" s="2"/>
      <c r="AI73" s="2"/>
      <c r="AJ73" s="2"/>
    </row>
    <row r="74" spans="1:54">
      <c r="A74" s="430" t="s">
        <v>853</v>
      </c>
      <c r="B74" s="432">
        <v>145000</v>
      </c>
      <c r="C74" s="199">
        <f>+B74*'c12_inputs'!$C$4</f>
        <v>22040</v>
      </c>
      <c r="D74" s="432">
        <v>10000</v>
      </c>
      <c r="E74" s="199">
        <f t="shared" si="15"/>
        <v>177040</v>
      </c>
      <c r="F74" s="915">
        <v>0</v>
      </c>
      <c r="G74" s="915">
        <v>0</v>
      </c>
      <c r="H74" s="915">
        <v>0</v>
      </c>
      <c r="I74" s="916">
        <f t="shared" si="16"/>
        <v>0</v>
      </c>
      <c r="J74" s="916">
        <f t="shared" si="17"/>
        <v>1</v>
      </c>
      <c r="K74" s="768"/>
      <c r="N74" s="1">
        <f>+N73*N72</f>
        <v>35000</v>
      </c>
      <c r="S74" s="41"/>
      <c r="T74" s="8"/>
      <c r="AK74" s="1"/>
      <c r="AL74" s="1"/>
      <c r="AM74" s="1"/>
      <c r="AN74" s="1"/>
      <c r="AO74" s="1"/>
      <c r="AP74" s="1"/>
      <c r="AQ74" s="1"/>
    </row>
    <row r="75" spans="1:54">
      <c r="A75" s="430" t="s">
        <v>854</v>
      </c>
      <c r="B75" s="432"/>
      <c r="C75" s="199">
        <f>+B75*'c12_inputs'!$C$4</f>
        <v>0</v>
      </c>
      <c r="D75" s="432"/>
      <c r="E75" s="199">
        <f t="shared" si="15"/>
        <v>0</v>
      </c>
      <c r="F75" s="915">
        <v>0.33</v>
      </c>
      <c r="G75" s="915">
        <v>0.34</v>
      </c>
      <c r="H75" s="915">
        <v>0.33</v>
      </c>
      <c r="I75" s="916">
        <f t="shared" si="16"/>
        <v>1</v>
      </c>
      <c r="J75" s="916">
        <f t="shared" si="17"/>
        <v>0</v>
      </c>
      <c r="K75" s="768"/>
      <c r="Q75" s="825"/>
      <c r="S75" s="41"/>
    </row>
    <row r="76" spans="1:54">
      <c r="A76" s="431" t="s">
        <v>854</v>
      </c>
      <c r="B76" s="432"/>
      <c r="C76" s="200">
        <f>+B76*'c12_inputs'!$C$4</f>
        <v>0</v>
      </c>
      <c r="D76" s="432"/>
      <c r="E76" s="199">
        <f t="shared" si="15"/>
        <v>0</v>
      </c>
      <c r="F76" s="915"/>
      <c r="G76" s="915"/>
      <c r="H76" s="915"/>
      <c r="I76" s="916">
        <f t="shared" si="16"/>
        <v>0</v>
      </c>
      <c r="J76" s="916">
        <f t="shared" si="17"/>
        <v>1</v>
      </c>
      <c r="K76" s="768"/>
      <c r="L76" s="768"/>
      <c r="M76" s="768"/>
      <c r="N76" s="768"/>
      <c r="O76" s="768"/>
      <c r="P76" s="768"/>
      <c r="Q76" s="825"/>
      <c r="S76" s="41"/>
      <c r="T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6"/>
      <c r="AT76" s="1"/>
      <c r="AU76" s="1"/>
      <c r="AV76" s="1"/>
      <c r="AW76" s="1"/>
      <c r="AX76" s="1"/>
      <c r="AY76" s="1"/>
    </row>
    <row r="77" spans="1:54">
      <c r="A77" s="431" t="s">
        <v>854</v>
      </c>
      <c r="B77" s="432"/>
      <c r="C77" s="200">
        <f>+B77*'c12_inputs'!$C$4</f>
        <v>0</v>
      </c>
      <c r="D77" s="432"/>
      <c r="E77" s="199">
        <f t="shared" si="15"/>
        <v>0</v>
      </c>
      <c r="F77" s="915"/>
      <c r="G77" s="915"/>
      <c r="H77" s="915"/>
      <c r="I77" s="916">
        <f t="shared" si="16"/>
        <v>0</v>
      </c>
      <c r="J77" s="916">
        <f t="shared" si="17"/>
        <v>1</v>
      </c>
      <c r="K77" s="768"/>
      <c r="L77" s="768"/>
      <c r="M77" s="768"/>
      <c r="N77" s="768"/>
      <c r="O77" s="768"/>
      <c r="P77" s="768"/>
      <c r="Q77" s="825"/>
      <c r="S77" s="41"/>
      <c r="T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6"/>
      <c r="AT77" s="1"/>
      <c r="AU77" s="1"/>
      <c r="AV77" s="1"/>
      <c r="AW77" s="1"/>
      <c r="AX77" s="1"/>
      <c r="AY77" s="1"/>
    </row>
    <row r="78" spans="1:54">
      <c r="A78" s="431" t="s">
        <v>854</v>
      </c>
      <c r="B78" s="432"/>
      <c r="C78" s="197">
        <f>+B78*'c12_inputs'!$C$4</f>
        <v>0</v>
      </c>
      <c r="D78" s="432"/>
      <c r="E78" s="199">
        <f t="shared" si="15"/>
        <v>0</v>
      </c>
      <c r="F78" s="915"/>
      <c r="G78" s="915"/>
      <c r="H78" s="915"/>
      <c r="I78" s="916">
        <f t="shared" si="16"/>
        <v>0</v>
      </c>
      <c r="J78" s="916">
        <f t="shared" si="17"/>
        <v>1</v>
      </c>
      <c r="K78" s="768"/>
      <c r="L78" s="768"/>
      <c r="M78" s="768"/>
      <c r="N78" s="768"/>
      <c r="O78" s="768"/>
      <c r="P78" s="768"/>
      <c r="Q78" s="825"/>
      <c r="S78" s="41"/>
      <c r="T78" s="1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</row>
    <row r="79" spans="1:54">
      <c r="A79" s="91" t="s">
        <v>23</v>
      </c>
      <c r="B79" s="75">
        <f t="shared" ref="B79:H79" si="18">SUM(B71:B78)</f>
        <v>1248000</v>
      </c>
      <c r="C79" s="75">
        <f t="shared" si="18"/>
        <v>189696</v>
      </c>
      <c r="D79" s="75">
        <f t="shared" si="18"/>
        <v>15000</v>
      </c>
      <c r="E79" s="75">
        <f t="shared" si="18"/>
        <v>1452696</v>
      </c>
      <c r="F79" s="917">
        <f t="shared" si="18"/>
        <v>0.99</v>
      </c>
      <c r="G79" s="917">
        <f t="shared" si="18"/>
        <v>1</v>
      </c>
      <c r="H79" s="917">
        <f t="shared" si="18"/>
        <v>1</v>
      </c>
      <c r="I79" s="918"/>
      <c r="J79" s="918"/>
      <c r="K79" s="768"/>
      <c r="L79" s="768"/>
      <c r="M79" s="768"/>
      <c r="N79" s="768"/>
      <c r="O79" s="768"/>
      <c r="P79" s="768"/>
      <c r="Q79" s="825"/>
      <c r="S79" s="41"/>
      <c r="T79" s="1"/>
    </row>
    <row r="80" spans="1:54">
      <c r="A80" s="768"/>
      <c r="B80" s="768"/>
      <c r="C80" s="768"/>
      <c r="D80" s="768"/>
      <c r="E80" s="768"/>
      <c r="F80" s="768"/>
      <c r="G80" s="768"/>
      <c r="H80" s="768"/>
      <c r="I80" s="768"/>
      <c r="J80" s="768"/>
      <c r="K80" s="768"/>
      <c r="L80" s="768"/>
      <c r="M80" s="768"/>
      <c r="N80" s="768"/>
      <c r="T80" s="825"/>
      <c r="U80" s="825"/>
      <c r="AO80" s="2"/>
      <c r="AP80" s="2"/>
    </row>
    <row r="81" spans="1:26">
      <c r="A81" s="768" t="s">
        <v>855</v>
      </c>
      <c r="B81" s="2175">
        <v>0</v>
      </c>
      <c r="C81" s="919">
        <v>0</v>
      </c>
      <c r="D81" s="919">
        <v>0</v>
      </c>
      <c r="E81" s="919">
        <v>0</v>
      </c>
      <c r="F81" s="919">
        <v>0</v>
      </c>
      <c r="G81" s="919">
        <v>0</v>
      </c>
      <c r="H81" s="919">
        <v>0</v>
      </c>
      <c r="I81" s="919">
        <v>0</v>
      </c>
      <c r="J81" s="919">
        <v>0</v>
      </c>
      <c r="K81" s="651">
        <v>0</v>
      </c>
      <c r="L81" s="651">
        <v>0</v>
      </c>
      <c r="M81" s="651">
        <v>0</v>
      </c>
      <c r="N81" s="651">
        <v>0</v>
      </c>
      <c r="O81" s="15"/>
      <c r="P81" s="825"/>
      <c r="Q81" s="825"/>
      <c r="Z81" s="4"/>
    </row>
    <row r="82" spans="1:26">
      <c r="A82" s="768"/>
      <c r="B82" s="2172"/>
      <c r="C82" s="768"/>
      <c r="D82" s="768"/>
      <c r="E82" s="768"/>
      <c r="F82" s="768"/>
      <c r="G82" s="768"/>
      <c r="H82" s="768"/>
      <c r="I82" s="768"/>
      <c r="J82" s="768"/>
      <c r="P82" s="825"/>
      <c r="Q82" s="825"/>
      <c r="Z82" s="4"/>
    </row>
    <row r="83" spans="1:26">
      <c r="A83" t="s">
        <v>856</v>
      </c>
      <c r="B83" s="2176">
        <v>45657</v>
      </c>
      <c r="C83" s="920">
        <f t="shared" ref="C83:N83" si="19">+C2</f>
        <v>45747</v>
      </c>
      <c r="D83" s="920">
        <f t="shared" si="19"/>
        <v>45838</v>
      </c>
      <c r="E83" s="920">
        <f t="shared" si="19"/>
        <v>45930</v>
      </c>
      <c r="F83" s="920">
        <f t="shared" si="19"/>
        <v>46022</v>
      </c>
      <c r="G83" s="920">
        <f t="shared" si="19"/>
        <v>46112</v>
      </c>
      <c r="H83" s="920">
        <f t="shared" si="19"/>
        <v>46203</v>
      </c>
      <c r="I83" s="920">
        <f t="shared" si="19"/>
        <v>46295</v>
      </c>
      <c r="J83" s="920">
        <f t="shared" si="19"/>
        <v>46387</v>
      </c>
      <c r="K83" s="920">
        <f t="shared" si="19"/>
        <v>46752</v>
      </c>
      <c r="L83" s="920">
        <f t="shared" si="19"/>
        <v>47118</v>
      </c>
      <c r="M83" s="920">
        <f t="shared" si="19"/>
        <v>47483</v>
      </c>
      <c r="N83" s="920">
        <f t="shared" si="19"/>
        <v>47848</v>
      </c>
      <c r="O83" s="766"/>
      <c r="P83" s="825"/>
      <c r="Q83" s="825"/>
      <c r="Z83" s="4"/>
    </row>
    <row r="84" spans="1:26" ht="14.7" customHeight="1" thickBot="1">
      <c r="A84" s="160" t="s">
        <v>844</v>
      </c>
      <c r="B84" s="2177"/>
      <c r="C84" s="780" t="str">
        <f t="shared" ref="C84:N84" si="20">+C3</f>
        <v>Q1</v>
      </c>
      <c r="D84" s="780" t="str">
        <f t="shared" si="20"/>
        <v>Q2</v>
      </c>
      <c r="E84" s="780" t="str">
        <f t="shared" si="20"/>
        <v>Q3</v>
      </c>
      <c r="F84" s="780" t="str">
        <f t="shared" si="20"/>
        <v>Q4</v>
      </c>
      <c r="G84" s="780" t="str">
        <f t="shared" si="20"/>
        <v>Q1</v>
      </c>
      <c r="H84" s="780" t="str">
        <f t="shared" si="20"/>
        <v>Q2</v>
      </c>
      <c r="I84" s="780" t="str">
        <f t="shared" si="20"/>
        <v>Q3</v>
      </c>
      <c r="J84" s="780" t="str">
        <f t="shared" si="20"/>
        <v>Q4</v>
      </c>
      <c r="K84" s="781" t="str">
        <f t="shared" si="20"/>
        <v>Q4</v>
      </c>
      <c r="L84" s="781" t="str">
        <f t="shared" si="20"/>
        <v>Q4</v>
      </c>
      <c r="M84" s="781" t="str">
        <f t="shared" si="20"/>
        <v>Q4</v>
      </c>
      <c r="N84" s="781" t="str">
        <f t="shared" si="20"/>
        <v>Q4</v>
      </c>
      <c r="O84" s="921"/>
      <c r="P84" s="825"/>
      <c r="Q84" s="825"/>
      <c r="Z84" s="4"/>
    </row>
    <row r="85" spans="1:26">
      <c r="A85" s="105" t="str">
        <f t="shared" ref="A85:A92" si="21">+A71</f>
        <v>Managing Member</v>
      </c>
      <c r="B85" s="2178"/>
      <c r="C85" s="197">
        <v>0</v>
      </c>
      <c r="D85" s="197">
        <v>0</v>
      </c>
      <c r="E85" s="197">
        <v>0</v>
      </c>
      <c r="F85" s="294">
        <f>(2/3)*B71/4</f>
        <v>166666.66666666666</v>
      </c>
      <c r="G85" s="407">
        <f>+B71/4</f>
        <v>250000</v>
      </c>
      <c r="H85" s="298">
        <f>$G$85</f>
        <v>250000</v>
      </c>
      <c r="I85" s="298">
        <f>$G$85</f>
        <v>250000</v>
      </c>
      <c r="J85" s="299">
        <f>$G$85</f>
        <v>250000</v>
      </c>
      <c r="K85" s="426">
        <f t="shared" ref="K85:K92" si="22">J85*4*(1+K$81)</f>
        <v>1000000</v>
      </c>
      <c r="L85" s="426">
        <f t="shared" ref="L85:N92" si="23">K85*(1+L$81)</f>
        <v>1000000</v>
      </c>
      <c r="M85" s="426">
        <f t="shared" si="23"/>
        <v>1000000</v>
      </c>
      <c r="N85" s="426">
        <f t="shared" si="23"/>
        <v>1000000</v>
      </c>
      <c r="O85" s="159"/>
      <c r="P85" s="825"/>
      <c r="Q85" s="825"/>
      <c r="Z85" s="4"/>
    </row>
    <row r="86" spans="1:26">
      <c r="A86" s="105" t="str">
        <f t="shared" si="21"/>
        <v>Roots MD</v>
      </c>
      <c r="B86" s="2179"/>
      <c r="C86" s="259">
        <v>0</v>
      </c>
      <c r="D86" s="259">
        <f>C86</f>
        <v>0</v>
      </c>
      <c r="E86" s="259">
        <f>D86</f>
        <v>0</v>
      </c>
      <c r="F86" s="404">
        <f>E86</f>
        <v>0</v>
      </c>
      <c r="G86" s="406">
        <f>+B72</f>
        <v>0</v>
      </c>
      <c r="H86" s="260">
        <f>$G$86</f>
        <v>0</v>
      </c>
      <c r="I86" s="260">
        <f>$G$86</f>
        <v>0</v>
      </c>
      <c r="J86" s="290">
        <f>$G$86</f>
        <v>0</v>
      </c>
      <c r="K86" s="408">
        <f t="shared" si="22"/>
        <v>0</v>
      </c>
      <c r="L86" s="408">
        <f t="shared" si="23"/>
        <v>0</v>
      </c>
      <c r="M86" s="408">
        <f t="shared" si="23"/>
        <v>0</v>
      </c>
      <c r="N86" s="408">
        <f t="shared" si="23"/>
        <v>0</v>
      </c>
      <c r="O86" s="159"/>
      <c r="P86" s="825"/>
      <c r="Q86" s="825"/>
      <c r="Z86" s="4"/>
    </row>
    <row r="87" spans="1:26">
      <c r="A87" s="105" t="str">
        <f t="shared" si="21"/>
        <v>Bookkeeper</v>
      </c>
      <c r="B87" s="2179"/>
      <c r="C87" s="259">
        <v>0</v>
      </c>
      <c r="D87" s="259">
        <v>0</v>
      </c>
      <c r="E87" s="259">
        <v>0</v>
      </c>
      <c r="F87" s="404">
        <v>0</v>
      </c>
      <c r="G87" s="405">
        <f t="shared" ref="G87:G92" si="24">+B73/4</f>
        <v>25750</v>
      </c>
      <c r="H87" s="260">
        <f>$G$87</f>
        <v>25750</v>
      </c>
      <c r="I87" s="260">
        <f>$G$87</f>
        <v>25750</v>
      </c>
      <c r="J87" s="290">
        <f>$G$87</f>
        <v>25750</v>
      </c>
      <c r="K87" s="408">
        <f t="shared" si="22"/>
        <v>103000</v>
      </c>
      <c r="L87" s="408">
        <f t="shared" si="23"/>
        <v>103000</v>
      </c>
      <c r="M87" s="408">
        <f t="shared" si="23"/>
        <v>103000</v>
      </c>
      <c r="N87" s="408">
        <f t="shared" si="23"/>
        <v>103000</v>
      </c>
      <c r="O87" s="159"/>
      <c r="P87" s="825"/>
      <c r="Q87" s="825"/>
      <c r="V87" s="9"/>
      <c r="Z87" s="4"/>
    </row>
    <row r="88" spans="1:26">
      <c r="A88" s="105" t="str">
        <f t="shared" si="21"/>
        <v>Administrative Assistant</v>
      </c>
      <c r="B88" s="2180"/>
      <c r="C88" s="2188">
        <v>36250</v>
      </c>
      <c r="D88" s="259">
        <f t="shared" ref="D88:F89" si="25">C88</f>
        <v>36250</v>
      </c>
      <c r="E88" s="259">
        <f t="shared" si="25"/>
        <v>36250</v>
      </c>
      <c r="F88" s="404">
        <f t="shared" si="25"/>
        <v>36250</v>
      </c>
      <c r="G88" s="405">
        <f t="shared" si="24"/>
        <v>36250</v>
      </c>
      <c r="H88" s="260">
        <f>$G$88</f>
        <v>36250</v>
      </c>
      <c r="I88" s="260">
        <f>$G$88</f>
        <v>36250</v>
      </c>
      <c r="J88" s="290">
        <f>$G$88</f>
        <v>36250</v>
      </c>
      <c r="K88" s="408">
        <f t="shared" si="22"/>
        <v>145000</v>
      </c>
      <c r="L88" s="408">
        <f t="shared" si="23"/>
        <v>145000</v>
      </c>
      <c r="M88" s="408">
        <f t="shared" si="23"/>
        <v>145000</v>
      </c>
      <c r="N88" s="408">
        <f t="shared" si="23"/>
        <v>145000</v>
      </c>
      <c r="O88" s="159"/>
      <c r="P88" s="825"/>
      <c r="Q88" s="825"/>
      <c r="Z88" s="4"/>
    </row>
    <row r="89" spans="1:26">
      <c r="A89" s="105" t="str">
        <f t="shared" si="21"/>
        <v>[]</v>
      </c>
      <c r="B89" s="2180"/>
      <c r="C89" s="259">
        <f>B75/4</f>
        <v>0</v>
      </c>
      <c r="D89" s="259">
        <f t="shared" si="25"/>
        <v>0</v>
      </c>
      <c r="E89" s="259">
        <f t="shared" si="25"/>
        <v>0</v>
      </c>
      <c r="F89" s="404">
        <f t="shared" si="25"/>
        <v>0</v>
      </c>
      <c r="G89" s="405">
        <f t="shared" si="24"/>
        <v>0</v>
      </c>
      <c r="H89" s="260">
        <f>$G$89</f>
        <v>0</v>
      </c>
      <c r="I89" s="260">
        <f>$G$89</f>
        <v>0</v>
      </c>
      <c r="J89" s="290">
        <f>$G$89</f>
        <v>0</v>
      </c>
      <c r="K89" s="408">
        <f t="shared" si="22"/>
        <v>0</v>
      </c>
      <c r="L89" s="408">
        <f t="shared" si="23"/>
        <v>0</v>
      </c>
      <c r="M89" s="408">
        <f t="shared" si="23"/>
        <v>0</v>
      </c>
      <c r="N89" s="408">
        <f t="shared" si="23"/>
        <v>0</v>
      </c>
      <c r="O89" s="159"/>
      <c r="P89" s="825"/>
      <c r="Q89" s="825"/>
      <c r="Z89" s="4"/>
    </row>
    <row r="90" spans="1:26">
      <c r="A90" s="105" t="str">
        <f t="shared" si="21"/>
        <v>[]</v>
      </c>
      <c r="B90" s="2180"/>
      <c r="C90" s="197"/>
      <c r="D90" s="197"/>
      <c r="E90" s="197">
        <v>0</v>
      </c>
      <c r="F90" s="294">
        <v>0</v>
      </c>
      <c r="G90" s="295">
        <f t="shared" si="24"/>
        <v>0</v>
      </c>
      <c r="H90" s="197">
        <v>0</v>
      </c>
      <c r="I90" s="197">
        <v>0</v>
      </c>
      <c r="J90" s="296">
        <v>0</v>
      </c>
      <c r="K90" s="409">
        <f t="shared" si="22"/>
        <v>0</v>
      </c>
      <c r="L90" s="409">
        <f t="shared" si="23"/>
        <v>0</v>
      </c>
      <c r="M90" s="409">
        <f t="shared" si="23"/>
        <v>0</v>
      </c>
      <c r="N90" s="409">
        <f t="shared" si="23"/>
        <v>0</v>
      </c>
      <c r="O90" s="159"/>
      <c r="P90" s="825"/>
      <c r="Q90" s="825"/>
      <c r="Z90" s="4"/>
    </row>
    <row r="91" spans="1:26">
      <c r="A91" s="105" t="str">
        <f t="shared" si="21"/>
        <v>[]</v>
      </c>
      <c r="B91" s="2180"/>
      <c r="C91" s="197"/>
      <c r="D91" s="197"/>
      <c r="E91" s="197">
        <v>0</v>
      </c>
      <c r="F91" s="294">
        <v>0</v>
      </c>
      <c r="G91" s="295">
        <f t="shared" si="24"/>
        <v>0</v>
      </c>
      <c r="H91" s="197">
        <v>0</v>
      </c>
      <c r="I91" s="197">
        <v>0</v>
      </c>
      <c r="J91" s="296">
        <v>0</v>
      </c>
      <c r="K91" s="409">
        <f t="shared" si="22"/>
        <v>0</v>
      </c>
      <c r="L91" s="409">
        <f t="shared" si="23"/>
        <v>0</v>
      </c>
      <c r="M91" s="409">
        <f t="shared" si="23"/>
        <v>0</v>
      </c>
      <c r="N91" s="409">
        <f t="shared" si="23"/>
        <v>0</v>
      </c>
      <c r="O91" s="159"/>
      <c r="P91" s="825"/>
      <c r="Q91" s="825"/>
      <c r="R91" s="5"/>
      <c r="Z91" s="4"/>
    </row>
    <row r="92" spans="1:26">
      <c r="A92" s="105" t="str">
        <f t="shared" si="21"/>
        <v>[]</v>
      </c>
      <c r="B92" s="2181"/>
      <c r="C92" s="197"/>
      <c r="D92" s="197"/>
      <c r="E92" s="197">
        <v>0</v>
      </c>
      <c r="F92" s="404">
        <v>0</v>
      </c>
      <c r="G92" s="402">
        <f t="shared" si="24"/>
        <v>0</v>
      </c>
      <c r="H92" s="259">
        <v>0</v>
      </c>
      <c r="I92" s="259">
        <v>0</v>
      </c>
      <c r="J92" s="403">
        <v>0</v>
      </c>
      <c r="K92" s="410">
        <f t="shared" si="22"/>
        <v>0</v>
      </c>
      <c r="L92" s="410">
        <f t="shared" si="23"/>
        <v>0</v>
      </c>
      <c r="M92" s="410">
        <f t="shared" si="23"/>
        <v>0</v>
      </c>
      <c r="N92" s="410">
        <f t="shared" si="23"/>
        <v>0</v>
      </c>
      <c r="O92" s="159"/>
      <c r="P92" s="825"/>
      <c r="Q92" s="825"/>
      <c r="Z92" s="4"/>
    </row>
    <row r="93" spans="1:26" ht="14.7" customHeight="1" thickBot="1">
      <c r="A93" s="922" t="s">
        <v>23</v>
      </c>
      <c r="B93" s="2174">
        <v>0</v>
      </c>
      <c r="C93" s="75">
        <f t="shared" ref="C93:N93" si="26">SUM(C85:C92)</f>
        <v>36250</v>
      </c>
      <c r="D93" s="75">
        <f t="shared" si="26"/>
        <v>36250</v>
      </c>
      <c r="E93" s="75">
        <f t="shared" si="26"/>
        <v>36250</v>
      </c>
      <c r="F93" s="289">
        <f t="shared" si="26"/>
        <v>202916.66666666666</v>
      </c>
      <c r="G93" s="291">
        <f t="shared" si="26"/>
        <v>312000</v>
      </c>
      <c r="H93" s="292">
        <f t="shared" si="26"/>
        <v>312000</v>
      </c>
      <c r="I93" s="292">
        <f t="shared" si="26"/>
        <v>312000</v>
      </c>
      <c r="J93" s="293">
        <f t="shared" si="26"/>
        <v>312000</v>
      </c>
      <c r="K93" s="411">
        <f t="shared" si="26"/>
        <v>1248000</v>
      </c>
      <c r="L93" s="411">
        <f t="shared" si="26"/>
        <v>1248000</v>
      </c>
      <c r="M93" s="411">
        <f t="shared" si="26"/>
        <v>1248000</v>
      </c>
      <c r="N93" s="411">
        <f t="shared" si="26"/>
        <v>1248000</v>
      </c>
      <c r="O93" s="22"/>
      <c r="P93" s="825"/>
      <c r="Q93" s="825"/>
      <c r="Z93" s="4"/>
    </row>
    <row r="94" spans="1:26" ht="14.7" customHeight="1" thickBot="1">
      <c r="A94" s="923" t="s">
        <v>845</v>
      </c>
      <c r="B94" s="2172"/>
      <c r="C94" s="768"/>
      <c r="D94" s="768"/>
      <c r="E94" s="768"/>
      <c r="F94" s="768"/>
      <c r="G94" s="768"/>
      <c r="H94" s="768"/>
      <c r="I94" s="768"/>
      <c r="J94" s="768"/>
      <c r="P94" s="825"/>
      <c r="Q94" s="825"/>
      <c r="Z94" s="4"/>
    </row>
    <row r="95" spans="1:26">
      <c r="A95" s="105" t="str">
        <f t="shared" ref="A95:A102" si="27">+A85</f>
        <v>Managing Member</v>
      </c>
      <c r="B95" s="2182"/>
      <c r="C95" s="263"/>
      <c r="D95" s="263"/>
      <c r="E95" s="263"/>
      <c r="F95" s="442"/>
      <c r="G95" s="407"/>
      <c r="H95" s="443"/>
      <c r="I95" s="443"/>
      <c r="J95" s="441"/>
      <c r="K95" s="626">
        <f t="shared" ref="K95:N102" si="28">J95</f>
        <v>0</v>
      </c>
      <c r="L95" s="626">
        <f t="shared" si="28"/>
        <v>0</v>
      </c>
      <c r="M95" s="626">
        <f t="shared" si="28"/>
        <v>0</v>
      </c>
      <c r="N95" s="626">
        <f t="shared" si="28"/>
        <v>0</v>
      </c>
      <c r="O95" s="160"/>
      <c r="P95" s="825"/>
      <c r="Q95" s="825"/>
      <c r="Z95" s="4"/>
    </row>
    <row r="96" spans="1:26">
      <c r="A96" s="105" t="str">
        <f t="shared" si="27"/>
        <v>Roots MD</v>
      </c>
      <c r="B96" s="2173"/>
      <c r="C96" s="197"/>
      <c r="D96" s="197"/>
      <c r="E96" s="197"/>
      <c r="F96" s="442">
        <v>0</v>
      </c>
      <c r="G96" s="406"/>
      <c r="H96" s="199"/>
      <c r="I96" s="199"/>
      <c r="J96" s="433">
        <f>+D72</f>
        <v>0</v>
      </c>
      <c r="K96" s="409">
        <f t="shared" si="28"/>
        <v>0</v>
      </c>
      <c r="L96" s="409">
        <f t="shared" si="28"/>
        <v>0</v>
      </c>
      <c r="M96" s="409">
        <f t="shared" si="28"/>
        <v>0</v>
      </c>
      <c r="N96" s="409">
        <f t="shared" si="28"/>
        <v>0</v>
      </c>
      <c r="O96" s="159"/>
      <c r="P96" s="825"/>
      <c r="Q96" s="825"/>
      <c r="Z96" s="4"/>
    </row>
    <row r="97" spans="1:26">
      <c r="A97" s="106" t="str">
        <f t="shared" si="27"/>
        <v>Bookkeeper</v>
      </c>
      <c r="B97" s="2173"/>
      <c r="C97" s="197"/>
      <c r="D97" s="197"/>
      <c r="E97" s="197"/>
      <c r="F97" s="442">
        <v>0</v>
      </c>
      <c r="G97" s="405"/>
      <c r="H97" s="199"/>
      <c r="I97" s="199"/>
      <c r="J97" s="433">
        <f>+D73</f>
        <v>5000</v>
      </c>
      <c r="K97" s="409">
        <f t="shared" si="28"/>
        <v>5000</v>
      </c>
      <c r="L97" s="409">
        <f t="shared" si="28"/>
        <v>5000</v>
      </c>
      <c r="M97" s="409">
        <f t="shared" si="28"/>
        <v>5000</v>
      </c>
      <c r="N97" s="409">
        <f t="shared" si="28"/>
        <v>5000</v>
      </c>
      <c r="O97" s="159"/>
      <c r="P97" s="825"/>
      <c r="Q97" s="825"/>
    </row>
    <row r="98" spans="1:26">
      <c r="A98" s="105" t="str">
        <f t="shared" si="27"/>
        <v>Administrative Assistant</v>
      </c>
      <c r="B98" s="2173"/>
      <c r="C98" s="197"/>
      <c r="D98" s="197"/>
      <c r="E98" s="197"/>
      <c r="F98" s="442">
        <v>10000</v>
      </c>
      <c r="G98" s="405"/>
      <c r="H98" s="199"/>
      <c r="I98" s="199"/>
      <c r="J98" s="433">
        <v>10000</v>
      </c>
      <c r="K98" s="409">
        <f t="shared" si="28"/>
        <v>10000</v>
      </c>
      <c r="L98" s="409">
        <f t="shared" si="28"/>
        <v>10000</v>
      </c>
      <c r="M98" s="409">
        <f t="shared" si="28"/>
        <v>10000</v>
      </c>
      <c r="N98" s="409">
        <f t="shared" si="28"/>
        <v>10000</v>
      </c>
      <c r="O98" s="159"/>
      <c r="P98" s="825"/>
      <c r="Q98" s="825"/>
    </row>
    <row r="99" spans="1:26">
      <c r="A99" s="105" t="str">
        <f t="shared" si="27"/>
        <v>[]</v>
      </c>
      <c r="B99" s="2173"/>
      <c r="C99" s="197"/>
      <c r="D99" s="197"/>
      <c r="E99" s="197"/>
      <c r="F99" s="442">
        <v>0</v>
      </c>
      <c r="G99" s="405"/>
      <c r="H99" s="199"/>
      <c r="I99" s="199"/>
      <c r="J99" s="433">
        <f>+D75</f>
        <v>0</v>
      </c>
      <c r="K99" s="409">
        <f t="shared" si="28"/>
        <v>0</v>
      </c>
      <c r="L99" s="409">
        <f t="shared" si="28"/>
        <v>0</v>
      </c>
      <c r="M99" s="409">
        <f t="shared" si="28"/>
        <v>0</v>
      </c>
      <c r="N99" s="409">
        <f t="shared" si="28"/>
        <v>0</v>
      </c>
      <c r="O99" s="159"/>
      <c r="P99" s="825"/>
      <c r="Q99" s="825"/>
    </row>
    <row r="100" spans="1:26">
      <c r="A100" s="105" t="str">
        <f t="shared" si="27"/>
        <v>[]</v>
      </c>
      <c r="B100" s="2173"/>
      <c r="C100" s="197"/>
      <c r="D100" s="197"/>
      <c r="E100" s="197"/>
      <c r="F100" s="442">
        <v>0</v>
      </c>
      <c r="G100" s="444"/>
      <c r="H100" s="199"/>
      <c r="I100" s="199"/>
      <c r="J100" s="433">
        <v>0</v>
      </c>
      <c r="K100" s="409">
        <f t="shared" si="28"/>
        <v>0</v>
      </c>
      <c r="L100" s="409">
        <f t="shared" si="28"/>
        <v>0</v>
      </c>
      <c r="M100" s="409">
        <f t="shared" si="28"/>
        <v>0</v>
      </c>
      <c r="N100" s="409">
        <f t="shared" si="28"/>
        <v>0</v>
      </c>
      <c r="O100" s="159"/>
      <c r="P100" s="825"/>
      <c r="Q100" s="825"/>
    </row>
    <row r="101" spans="1:26">
      <c r="A101" s="105" t="str">
        <f t="shared" si="27"/>
        <v>[]</v>
      </c>
      <c r="B101" s="2173"/>
      <c r="C101" s="197"/>
      <c r="D101" s="197"/>
      <c r="E101" s="197"/>
      <c r="F101" s="442">
        <v>0</v>
      </c>
      <c r="G101" s="444"/>
      <c r="H101" s="197"/>
      <c r="I101" s="197"/>
      <c r="J101" s="433">
        <v>0</v>
      </c>
      <c r="K101" s="409">
        <f t="shared" si="28"/>
        <v>0</v>
      </c>
      <c r="L101" s="409">
        <f t="shared" si="28"/>
        <v>0</v>
      </c>
      <c r="M101" s="409">
        <f t="shared" si="28"/>
        <v>0</v>
      </c>
      <c r="N101" s="409">
        <f t="shared" si="28"/>
        <v>0</v>
      </c>
      <c r="O101" s="159"/>
      <c r="P101" s="825"/>
      <c r="Q101" s="825"/>
    </row>
    <row r="102" spans="1:26">
      <c r="A102" s="105" t="str">
        <f t="shared" si="27"/>
        <v>[]</v>
      </c>
      <c r="B102" s="2173"/>
      <c r="C102" s="197">
        <f>$G$114/4</f>
        <v>0</v>
      </c>
      <c r="D102" s="197">
        <f>$G$114/4</f>
        <v>0</v>
      </c>
      <c r="E102" s="197">
        <f>$G$114/4</f>
        <v>0</v>
      </c>
      <c r="F102" s="442">
        <v>0</v>
      </c>
      <c r="G102" s="444"/>
      <c r="H102" s="197"/>
      <c r="I102" s="197"/>
      <c r="J102" s="433">
        <v>0</v>
      </c>
      <c r="K102" s="409">
        <f t="shared" si="28"/>
        <v>0</v>
      </c>
      <c r="L102" s="409">
        <f t="shared" si="28"/>
        <v>0</v>
      </c>
      <c r="M102" s="409">
        <f t="shared" si="28"/>
        <v>0</v>
      </c>
      <c r="N102" s="409">
        <f t="shared" si="28"/>
        <v>0</v>
      </c>
      <c r="O102" s="159"/>
      <c r="P102" s="825"/>
      <c r="Q102" s="825"/>
    </row>
    <row r="103" spans="1:26" ht="14.7" customHeight="1" thickBot="1">
      <c r="A103" s="922" t="s">
        <v>23</v>
      </c>
      <c r="B103" s="2174">
        <v>0</v>
      </c>
      <c r="C103" s="75">
        <f t="shared" ref="C103:N103" si="29">SUM(C95:C102)</f>
        <v>0</v>
      </c>
      <c r="D103" s="75">
        <f t="shared" si="29"/>
        <v>0</v>
      </c>
      <c r="E103" s="75">
        <f t="shared" si="29"/>
        <v>0</v>
      </c>
      <c r="F103" s="289">
        <f t="shared" si="29"/>
        <v>10000</v>
      </c>
      <c r="G103" s="291">
        <f t="shared" si="29"/>
        <v>0</v>
      </c>
      <c r="H103" s="292">
        <f t="shared" si="29"/>
        <v>0</v>
      </c>
      <c r="I103" s="292">
        <f t="shared" si="29"/>
        <v>0</v>
      </c>
      <c r="J103" s="293">
        <f t="shared" si="29"/>
        <v>15000</v>
      </c>
      <c r="K103" s="411">
        <f t="shared" si="29"/>
        <v>15000</v>
      </c>
      <c r="L103" s="411">
        <f t="shared" si="29"/>
        <v>15000</v>
      </c>
      <c r="M103" s="411">
        <f t="shared" si="29"/>
        <v>15000</v>
      </c>
      <c r="N103" s="411">
        <f t="shared" si="29"/>
        <v>15000</v>
      </c>
      <c r="O103" s="22"/>
      <c r="P103" s="825"/>
      <c r="Q103" s="825"/>
    </row>
    <row r="104" spans="1:26" ht="14.7" customHeight="1" thickBot="1">
      <c r="A104" s="924" t="s">
        <v>23</v>
      </c>
      <c r="B104" s="2172"/>
      <c r="C104" s="768"/>
      <c r="D104" s="768"/>
      <c r="E104" s="768"/>
      <c r="F104" s="768"/>
      <c r="G104" s="768"/>
      <c r="H104" s="768"/>
      <c r="I104" s="768"/>
      <c r="J104" s="768"/>
      <c r="P104" s="825"/>
      <c r="Q104" s="825"/>
    </row>
    <row r="105" spans="1:26">
      <c r="A105" s="105" t="str">
        <f t="shared" ref="A105:A112" si="30">+A85</f>
        <v>Managing Member</v>
      </c>
      <c r="B105" s="2183">
        <v>0</v>
      </c>
      <c r="C105" s="925">
        <f>C85*(1+'c12_inputs'!$C$4)+(C95*(1+'c12_inputs'!$C$5))</f>
        <v>0</v>
      </c>
      <c r="D105" s="925">
        <f>D85*(1+'c12_inputs'!$C$4)+(D95*(1+'c12_inputs'!$C$5))</f>
        <v>0</v>
      </c>
      <c r="E105" s="925">
        <f>E85*(1+'c12_inputs'!$C$4)+(E95*(1+'c12_inputs'!$C$5))</f>
        <v>0</v>
      </c>
      <c r="F105" s="926">
        <f>F85*(1+'c12_inputs'!$C$4)+(F95*(1+'c12_inputs'!$C$5))</f>
        <v>191999.99999999997</v>
      </c>
      <c r="G105" s="927">
        <f>G85*(1+'c12_inputs'!$C$4)+(G95*(1+'c12_inputs'!$C$5))</f>
        <v>288000</v>
      </c>
      <c r="H105" s="928">
        <f>H85*(1+'c12_inputs'!$C$4)+(H95*(1+'c12_inputs'!$C$5))</f>
        <v>288000</v>
      </c>
      <c r="I105" s="928">
        <f>I85*(1+'c12_inputs'!$C$4)+(I95*(1+'c12_inputs'!$C$5))</f>
        <v>288000</v>
      </c>
      <c r="J105" s="929">
        <f>J85*(1+'c12_inputs'!$C$4)+(J95*(1+'c12_inputs'!$C$5))</f>
        <v>288000</v>
      </c>
      <c r="K105" s="930">
        <f>K85*(1+'c12_inputs'!$C$4)+(K95*(1+'c12_inputs'!$C$5))</f>
        <v>1152000</v>
      </c>
      <c r="L105" s="930">
        <f>L85*(1+'c12_inputs'!$C$4)+(L95*(1+'c12_inputs'!$C$5))</f>
        <v>1152000</v>
      </c>
      <c r="M105" s="930">
        <f>M85*(1+'c12_inputs'!$C$4)+(M95*(1+'c12_inputs'!$C$5))</f>
        <v>1152000</v>
      </c>
      <c r="N105" s="930">
        <f>N85*(1+'c12_inputs'!$C$4)+(N95*(1+'c12_inputs'!$C$5))</f>
        <v>1152000</v>
      </c>
      <c r="O105" s="931"/>
      <c r="P105" s="825"/>
      <c r="Q105" s="825"/>
    </row>
    <row r="106" spans="1:26">
      <c r="A106" s="105" t="str">
        <f t="shared" si="30"/>
        <v>Roots MD</v>
      </c>
      <c r="B106" s="2184">
        <v>0</v>
      </c>
      <c r="C106" s="925">
        <f>C86*(1+'c12_inputs'!$C$4)+(C96*(1+'c12_inputs'!$C$5))</f>
        <v>0</v>
      </c>
      <c r="D106" s="925">
        <f>D86*(1+'c12_inputs'!$C$4)+(D96*(1+'c12_inputs'!$C$5))</f>
        <v>0</v>
      </c>
      <c r="E106" s="925">
        <f>E86*(1+'c12_inputs'!$C$4)+(E96*(1+'c12_inputs'!$C$5))</f>
        <v>0</v>
      </c>
      <c r="F106" s="926">
        <f>F86*(1+'c12_inputs'!$C$4)+(F96*(1+'c12_inputs'!$C$5))</f>
        <v>0</v>
      </c>
      <c r="G106" s="932">
        <f>G86*(1+'c12_inputs'!$C$4)+(G96*(1+'c12_inputs'!$C$5))</f>
        <v>0</v>
      </c>
      <c r="H106" s="925">
        <f>H86*(1+'c12_inputs'!$C$4)+(H96*(1+'c12_inputs'!$C$5))</f>
        <v>0</v>
      </c>
      <c r="I106" s="925">
        <f>I86*(1+'c12_inputs'!$C$4)+(I96*(1+'c12_inputs'!$C$5))</f>
        <v>0</v>
      </c>
      <c r="J106" s="933">
        <f>J86*(1+'c12_inputs'!$C$4)+(J96*(1+'c12_inputs'!$C$5))</f>
        <v>0</v>
      </c>
      <c r="K106" s="934">
        <f>K86*(1+'c12_inputs'!$C$4)+(K96*(1+'c12_inputs'!$C$5))</f>
        <v>0</v>
      </c>
      <c r="L106" s="934">
        <f>L86*(1+'c12_inputs'!$C$4)+(L96*(1+'c12_inputs'!$C$5))</f>
        <v>0</v>
      </c>
      <c r="M106" s="934">
        <f>M86*(1+'c12_inputs'!$C$4)+(M96*(1+'c12_inputs'!$C$5))</f>
        <v>0</v>
      </c>
      <c r="N106" s="934">
        <f>N86*(1+'c12_inputs'!$C$4)+(N96*(1+'c12_inputs'!$C$5))</f>
        <v>0</v>
      </c>
      <c r="O106" s="931"/>
      <c r="P106" s="825"/>
      <c r="Q106" s="825"/>
    </row>
    <row r="107" spans="1:26">
      <c r="A107" s="105" t="str">
        <f t="shared" si="30"/>
        <v>Bookkeeper</v>
      </c>
      <c r="B107" s="2184">
        <v>0</v>
      </c>
      <c r="C107" s="925">
        <f>C87*(1+'c12_inputs'!$C$4)+(C97*(1+'c12_inputs'!$C$5))</f>
        <v>0</v>
      </c>
      <c r="D107" s="925">
        <f>D87*(1+'c12_inputs'!$C$4)+(D97*(1+'c12_inputs'!$C$5))</f>
        <v>0</v>
      </c>
      <c r="E107" s="925">
        <f>E87*(1+'c12_inputs'!$C$4)+(E97*(1+'c12_inputs'!$C$5))</f>
        <v>0</v>
      </c>
      <c r="F107" s="926">
        <f>F87*(1+'c12_inputs'!$C$4)+(F97*(1+'c12_inputs'!$C$5))</f>
        <v>0</v>
      </c>
      <c r="G107" s="932">
        <f>G87*(1+'c12_inputs'!$C$4)+(G97*(1+'c12_inputs'!$C$5))</f>
        <v>29663.999999999996</v>
      </c>
      <c r="H107" s="925">
        <f>H87*(1+'c12_inputs'!$C$4)+(H97*(1+'c12_inputs'!$C$5))</f>
        <v>29663.999999999996</v>
      </c>
      <c r="I107" s="925">
        <f>I87*(1+'c12_inputs'!$C$4)+(I97*(1+'c12_inputs'!$C$5))</f>
        <v>29663.999999999996</v>
      </c>
      <c r="J107" s="933">
        <f>J87*(1+'c12_inputs'!$C$4)+(J97*(1+'c12_inputs'!$C$5))</f>
        <v>34859</v>
      </c>
      <c r="K107" s="934">
        <f>K87*(1+'c12_inputs'!$C$4)+(K97*(1+'c12_inputs'!$C$5))</f>
        <v>123850.99999999999</v>
      </c>
      <c r="L107" s="934">
        <f>L87*(1+'c12_inputs'!$C$4)+(L97*(1+'c12_inputs'!$C$5))</f>
        <v>123850.99999999999</v>
      </c>
      <c r="M107" s="934">
        <f>M87*(1+'c12_inputs'!$C$4)+(M97*(1+'c12_inputs'!$C$5))</f>
        <v>123850.99999999999</v>
      </c>
      <c r="N107" s="934">
        <f>N87*(1+'c12_inputs'!$C$4)+(N97*(1+'c12_inputs'!$C$5))</f>
        <v>123850.99999999999</v>
      </c>
      <c r="O107" s="931"/>
      <c r="P107" s="825"/>
    </row>
    <row r="108" spans="1:26">
      <c r="A108" s="105" t="str">
        <f t="shared" si="30"/>
        <v>Administrative Assistant</v>
      </c>
      <c r="B108" s="2184">
        <v>0</v>
      </c>
      <c r="C108" s="925">
        <f>C88*(1+'c12_inputs'!$C$4)+(C98*(1+'c12_inputs'!$C$5))</f>
        <v>41760</v>
      </c>
      <c r="D108" s="925">
        <f>D88*(1+'c12_inputs'!$C$4)+(D98*(1+'c12_inputs'!$C$5))</f>
        <v>41760</v>
      </c>
      <c r="E108" s="925">
        <f>E88*(1+'c12_inputs'!$C$4)+(E98*(1+'c12_inputs'!$C$5))</f>
        <v>41760</v>
      </c>
      <c r="F108" s="926">
        <f>F88*(1+'c12_inputs'!$C$4)+(F98*(1+'c12_inputs'!$C$5))</f>
        <v>52150</v>
      </c>
      <c r="G108" s="932">
        <f>G88*(1+'c12_inputs'!$C$4)+(G98*(1+'c12_inputs'!$C$5))</f>
        <v>41760</v>
      </c>
      <c r="H108" s="925">
        <f>H88*(1+'c12_inputs'!$C$4)+(H98*(1+'c12_inputs'!$C$5))</f>
        <v>41760</v>
      </c>
      <c r="I108" s="925">
        <f>I88*(1+'c12_inputs'!$C$4)+(I98*(1+'c12_inputs'!$C$5))</f>
        <v>41760</v>
      </c>
      <c r="J108" s="933">
        <f>J88*(1+'c12_inputs'!$C$4)+(J98*(1+'c12_inputs'!$C$5))</f>
        <v>52150</v>
      </c>
      <c r="K108" s="934">
        <f>K88*(1+'c12_inputs'!$C$4)+(K98*(1+'c12_inputs'!$C$5))</f>
        <v>177430</v>
      </c>
      <c r="L108" s="934">
        <f>L88*(1+'c12_inputs'!$C$4)+(L98*(1+'c12_inputs'!$C$5))</f>
        <v>177430</v>
      </c>
      <c r="M108" s="934">
        <f>M88*(1+'c12_inputs'!$C$4)+(M98*(1+'c12_inputs'!$C$5))</f>
        <v>177430</v>
      </c>
      <c r="N108" s="934">
        <f>N88*(1+'c12_inputs'!$C$4)+(N98*(1+'c12_inputs'!$C$5))</f>
        <v>177430</v>
      </c>
      <c r="O108" s="931"/>
      <c r="P108" s="825"/>
      <c r="Z108" s="4"/>
    </row>
    <row r="109" spans="1:26">
      <c r="A109" s="105" t="str">
        <f t="shared" si="30"/>
        <v>[]</v>
      </c>
      <c r="B109" s="2184">
        <v>0</v>
      </c>
      <c r="C109" s="925">
        <f>C89*(1+'c12_inputs'!$C$4)+(C99*(1+'c12_inputs'!$C$5))</f>
        <v>0</v>
      </c>
      <c r="D109" s="925">
        <f>D89*(1+'c12_inputs'!$C$4)+(D99*(1+'c12_inputs'!$C$5))</f>
        <v>0</v>
      </c>
      <c r="E109" s="925">
        <f>E89*(1+'c12_inputs'!$C$4)+(E99*(1+'c12_inputs'!$C$5))</f>
        <v>0</v>
      </c>
      <c r="F109" s="926">
        <f>F89*(1+'c12_inputs'!$C$4)+(F99*(1+'c12_inputs'!$C$5))</f>
        <v>0</v>
      </c>
      <c r="G109" s="932">
        <f>G89*(1+'c12_inputs'!$C$4)+(G99*(1+'c12_inputs'!$C$5))</f>
        <v>0</v>
      </c>
      <c r="H109" s="925">
        <f>H89*(1+'c12_inputs'!$C$4)+(H99*(1+'c12_inputs'!$C$5))</f>
        <v>0</v>
      </c>
      <c r="I109" s="925">
        <f>I89*(1+'c12_inputs'!$C$4)+(I99*(1+'c12_inputs'!$C$5))</f>
        <v>0</v>
      </c>
      <c r="J109" s="933">
        <f>J89*(1+'c12_inputs'!$C$4)+(J99*(1+'c12_inputs'!$C$5))</f>
        <v>0</v>
      </c>
      <c r="K109" s="934">
        <f>K89*(1+'c12_inputs'!$C$4)+(K99*(1+'c12_inputs'!$C$5))</f>
        <v>0</v>
      </c>
      <c r="L109" s="934">
        <f>L89*(1+'c12_inputs'!$C$4)+(L99*(1+'c12_inputs'!$C$5))</f>
        <v>0</v>
      </c>
      <c r="M109" s="934">
        <f>M89*(1+'c12_inputs'!$C$4)+(M99*(1+'c12_inputs'!$C$5))</f>
        <v>0</v>
      </c>
      <c r="N109" s="934">
        <f>N89*(1+'c12_inputs'!$C$4)+(N99*(1+'c12_inputs'!$C$5))</f>
        <v>0</v>
      </c>
      <c r="O109" s="931"/>
      <c r="P109" s="825"/>
      <c r="Z109" s="4"/>
    </row>
    <row r="110" spans="1:26">
      <c r="A110" s="105" t="str">
        <f t="shared" si="30"/>
        <v>[]</v>
      </c>
      <c r="B110" s="2184">
        <v>0</v>
      </c>
      <c r="C110" s="925">
        <f>C90*(1+'c12_inputs'!$C$4)+(C100*(1+'c12_inputs'!$C$5))</f>
        <v>0</v>
      </c>
      <c r="D110" s="925">
        <f>D90*(1+'c12_inputs'!$C$4)+(D100*(1+'c12_inputs'!$C$5))</f>
        <v>0</v>
      </c>
      <c r="E110" s="925">
        <f>E90*(1+'c12_inputs'!$C$4)+(E100*(1+'c12_inputs'!$C$5))</f>
        <v>0</v>
      </c>
      <c r="F110" s="926">
        <f>F90*(1+'c12_inputs'!$C$4)+(F100*(1+'c12_inputs'!$C$5))</f>
        <v>0</v>
      </c>
      <c r="G110" s="932">
        <f>G90*(1+'c12_inputs'!$C$4)+(G100*(1+'c12_inputs'!$C$5))</f>
        <v>0</v>
      </c>
      <c r="H110" s="925">
        <f>H90*(1+'c12_inputs'!$C$4)+(H100*(1+'c12_inputs'!$C$5))</f>
        <v>0</v>
      </c>
      <c r="I110" s="925">
        <f>I90*(1+'c12_inputs'!$C$4)+(I100*(1+'c12_inputs'!$C$5))</f>
        <v>0</v>
      </c>
      <c r="J110" s="933">
        <f>J90*(1+'c12_inputs'!$C$4)+(J100*(1+'c12_inputs'!$C$5))</f>
        <v>0</v>
      </c>
      <c r="K110" s="934">
        <f>K90*(1+'c12_inputs'!$C$4)+(K100*(1+'c12_inputs'!$C$5))</f>
        <v>0</v>
      </c>
      <c r="L110" s="934">
        <f>L90*(1+'c12_inputs'!$C$4)+(L100*(1+'c12_inputs'!$C$5))</f>
        <v>0</v>
      </c>
      <c r="M110" s="934">
        <f>M90*(1+'c12_inputs'!$C$4)+(M100*(1+'c12_inputs'!$C$5))</f>
        <v>0</v>
      </c>
      <c r="N110" s="934">
        <f>N90*(1+'c12_inputs'!$C$4)+(N100*(1+'c12_inputs'!$C$5))</f>
        <v>0</v>
      </c>
      <c r="O110" s="931"/>
      <c r="P110" s="825"/>
      <c r="Z110" s="4"/>
    </row>
    <row r="111" spans="1:26">
      <c r="A111" s="105" t="str">
        <f t="shared" si="30"/>
        <v>[]</v>
      </c>
      <c r="B111" s="2184">
        <v>0</v>
      </c>
      <c r="C111" s="925">
        <f>C91*(1+'c12_inputs'!$C$4)+(C101*(1+'c12_inputs'!$C$5))</f>
        <v>0</v>
      </c>
      <c r="D111" s="925">
        <f>D91*(1+'c12_inputs'!$C$4)+(D101*(1+'c12_inputs'!$C$5))</f>
        <v>0</v>
      </c>
      <c r="E111" s="925">
        <f>E91*(1+'c12_inputs'!$C$4)+(E101*(1+'c12_inputs'!$C$5))</f>
        <v>0</v>
      </c>
      <c r="F111" s="926">
        <f>F91*(1+'c12_inputs'!$C$4)+(F101*(1+'c12_inputs'!$C$5))</f>
        <v>0</v>
      </c>
      <c r="G111" s="932">
        <f>G91*(1+'c12_inputs'!$C$4)+(G101*(1+'c12_inputs'!$C$5))</f>
        <v>0</v>
      </c>
      <c r="H111" s="925">
        <f>H91*(1+'c12_inputs'!$C$4)+(H101*(1+'c12_inputs'!$C$5))</f>
        <v>0</v>
      </c>
      <c r="I111" s="925">
        <f>I91*(1+'c12_inputs'!$C$4)+(I101*(1+'c12_inputs'!$C$5))</f>
        <v>0</v>
      </c>
      <c r="J111" s="933">
        <f>J91*(1+'c12_inputs'!$C$4)+(J101*(1+'c12_inputs'!$C$5))</f>
        <v>0</v>
      </c>
      <c r="K111" s="934">
        <f>K91*(1+'c12_inputs'!$C$4)+(K101*(1+'c12_inputs'!$C$5))</f>
        <v>0</v>
      </c>
      <c r="L111" s="934">
        <f>L91*(1+'c12_inputs'!$C$4)+(L101*(1+'c12_inputs'!$C$5))</f>
        <v>0</v>
      </c>
      <c r="M111" s="934">
        <f>M91*(1+'c12_inputs'!$C$4)+(M101*(1+'c12_inputs'!$C$5))</f>
        <v>0</v>
      </c>
      <c r="N111" s="934">
        <f>N91*(1+'c12_inputs'!$C$4)+(N101*(1+'c12_inputs'!$C$5))</f>
        <v>0</v>
      </c>
      <c r="O111" s="931"/>
      <c r="P111" s="825"/>
      <c r="Z111" s="4"/>
    </row>
    <row r="112" spans="1:26">
      <c r="A112" s="105" t="str">
        <f t="shared" si="30"/>
        <v>[]</v>
      </c>
      <c r="B112" s="2184">
        <v>0</v>
      </c>
      <c r="C112" s="925">
        <f>C92*(1+'c12_inputs'!$C$4)+(C102*(1+'c12_inputs'!$C$5))</f>
        <v>0</v>
      </c>
      <c r="D112" s="925">
        <f>D92*(1+'c12_inputs'!$C$4)+(D102*(1+'c12_inputs'!$C$5))</f>
        <v>0</v>
      </c>
      <c r="E112" s="925">
        <f>E92*(1+'c12_inputs'!$C$4)+(E102*(1+'c12_inputs'!$C$5))</f>
        <v>0</v>
      </c>
      <c r="F112" s="926">
        <f>F92*(1+'c12_inputs'!$C$4)+(F102*(1+'c12_inputs'!$C$5))</f>
        <v>0</v>
      </c>
      <c r="G112" s="932">
        <f>G92*(1+'c12_inputs'!$C$4)+(G102*(1+'c12_inputs'!$C$5))</f>
        <v>0</v>
      </c>
      <c r="H112" s="925">
        <f>H92*(1+'c12_inputs'!$C$4)+(H102*(1+'c12_inputs'!$C$5))</f>
        <v>0</v>
      </c>
      <c r="I112" s="925">
        <f>I92*(1+'c12_inputs'!$C$4)+(I102*(1+'c12_inputs'!$C$5))</f>
        <v>0</v>
      </c>
      <c r="J112" s="933">
        <f>J92*(1+'c12_inputs'!$C$4)+(J102*(1+'c12_inputs'!$C$5))</f>
        <v>0</v>
      </c>
      <c r="K112" s="934">
        <f>K92*(1+'c12_inputs'!$C$4)+(K102*(1+'c12_inputs'!$C$5))</f>
        <v>0</v>
      </c>
      <c r="L112" s="934">
        <f>L92*(1+'c12_inputs'!$C$4)+(L102*(1+'c12_inputs'!$C$5))</f>
        <v>0</v>
      </c>
      <c r="M112" s="934">
        <f>M92*(1+'c12_inputs'!$C$4)+(M102*(1+'c12_inputs'!$C$5))</f>
        <v>0</v>
      </c>
      <c r="N112" s="934">
        <f>N92*(1+'c12_inputs'!$C$4)+(N102*(1+'c12_inputs'!$C$5))</f>
        <v>0</v>
      </c>
      <c r="O112" s="931"/>
      <c r="P112" s="825"/>
      <c r="Z112" s="4"/>
    </row>
    <row r="113" spans="1:38" ht="14.7" customHeight="1" thickBot="1">
      <c r="A113" s="922" t="s">
        <v>857</v>
      </c>
      <c r="B113" s="2185">
        <v>0</v>
      </c>
      <c r="C113" s="918">
        <f t="shared" ref="C113:N113" si="31">SUM(C105:C112)*(1+C81)</f>
        <v>41760</v>
      </c>
      <c r="D113" s="918">
        <f t="shared" si="31"/>
        <v>41760</v>
      </c>
      <c r="E113" s="918">
        <f t="shared" si="31"/>
        <v>41760</v>
      </c>
      <c r="F113" s="935">
        <f t="shared" si="31"/>
        <v>244149.99999999997</v>
      </c>
      <c r="G113" s="936">
        <f t="shared" si="31"/>
        <v>359424</v>
      </c>
      <c r="H113" s="937">
        <f t="shared" si="31"/>
        <v>359424</v>
      </c>
      <c r="I113" s="937">
        <f t="shared" si="31"/>
        <v>359424</v>
      </c>
      <c r="J113" s="938">
        <f t="shared" si="31"/>
        <v>375009</v>
      </c>
      <c r="K113" s="939">
        <f t="shared" si="31"/>
        <v>1453281</v>
      </c>
      <c r="L113" s="939">
        <f t="shared" si="31"/>
        <v>1453281</v>
      </c>
      <c r="M113" s="939">
        <f t="shared" si="31"/>
        <v>1453281</v>
      </c>
      <c r="N113" s="939">
        <f t="shared" si="31"/>
        <v>1453281</v>
      </c>
      <c r="O113" s="940"/>
      <c r="P113" s="825"/>
      <c r="Z113" s="4"/>
    </row>
    <row r="114" spans="1:38">
      <c r="A114" s="768"/>
      <c r="B114" s="2172"/>
      <c r="C114" s="768"/>
      <c r="D114" s="768"/>
      <c r="E114" s="768"/>
      <c r="F114" s="768"/>
      <c r="G114" s="768"/>
      <c r="H114" s="768"/>
      <c r="I114" s="768"/>
      <c r="J114" s="768"/>
      <c r="P114" s="825"/>
      <c r="AH114" s="2"/>
      <c r="AK114" s="2"/>
      <c r="AL114" s="2"/>
    </row>
    <row r="115" spans="1:38">
      <c r="A115" s="941" t="s">
        <v>858</v>
      </c>
      <c r="B115" s="2172"/>
      <c r="C115" s="768"/>
      <c r="D115" s="768"/>
      <c r="E115" s="768"/>
      <c r="F115" s="768"/>
      <c r="G115" s="768"/>
      <c r="H115" s="768"/>
      <c r="I115" s="768"/>
      <c r="J115" s="768"/>
      <c r="P115" s="825"/>
      <c r="V115" s="83"/>
      <c r="W115" s="83"/>
      <c r="AH115" s="4"/>
      <c r="AK115" s="2"/>
    </row>
    <row r="116" spans="1:38">
      <c r="A116" s="768"/>
      <c r="B116" s="2172"/>
      <c r="C116" s="768"/>
      <c r="D116" s="768"/>
      <c r="E116" s="768"/>
      <c r="F116" s="768"/>
      <c r="G116" s="768"/>
      <c r="H116" s="768"/>
      <c r="I116" s="768"/>
      <c r="J116" s="768"/>
      <c r="P116" s="825"/>
      <c r="S116" s="5"/>
      <c r="T116" s="83"/>
      <c r="U116" s="83"/>
      <c r="V116" s="83"/>
      <c r="W116" s="83"/>
      <c r="X116" s="83"/>
    </row>
    <row r="117" spans="1:38">
      <c r="A117" s="768" t="s">
        <v>859</v>
      </c>
      <c r="B117" s="2186">
        <v>-5450569</v>
      </c>
      <c r="C117" s="931">
        <f>+lgh_oc!E25</f>
        <v>-1626130.75</v>
      </c>
      <c r="D117" s="931">
        <f>+lgh_oc!F25</f>
        <v>-1722421.75</v>
      </c>
      <c r="E117" s="931">
        <f>+lgh_oc!G25</f>
        <v>-1423068.75</v>
      </c>
      <c r="F117" s="931">
        <f>+lgh_oc!H25</f>
        <v>-2688017.75</v>
      </c>
      <c r="G117" s="931">
        <f>+lgh_oc!I25</f>
        <v>-2599598.7879166659</v>
      </c>
      <c r="H117" s="931">
        <f>+lgh_oc!J25</f>
        <v>-2455824.4065293353</v>
      </c>
      <c r="I117" s="931">
        <f>+lgh_oc!K25</f>
        <v>-841809.9673527386</v>
      </c>
      <c r="J117" s="931">
        <f>+lgh_oc!L25</f>
        <v>1917979.8060333328</v>
      </c>
      <c r="K117" s="9">
        <f>+lgh_oc!M25</f>
        <v>-247656.41677066498</v>
      </c>
      <c r="L117" s="9">
        <f>+lgh_oc!N25</f>
        <v>-4275451.6546167694</v>
      </c>
      <c r="M117" s="9">
        <f>+lgh_oc!O25</f>
        <v>-3519086.8872532025</v>
      </c>
      <c r="N117" s="9">
        <f>+lgh_oc!P25</f>
        <v>-3508284.5423009023</v>
      </c>
      <c r="P117" s="825"/>
      <c r="T117" s="17"/>
      <c r="U117" s="17"/>
      <c r="V117" s="17"/>
      <c r="W117" s="17"/>
    </row>
    <row r="118" spans="1:38">
      <c r="A118" s="768"/>
      <c r="B118" s="2186"/>
      <c r="C118" s="931"/>
      <c r="D118" s="931"/>
      <c r="E118" s="931"/>
      <c r="F118" s="931"/>
      <c r="G118" s="931"/>
      <c r="H118" s="931"/>
      <c r="I118" s="931"/>
      <c r="J118" s="931"/>
      <c r="K118" s="9"/>
      <c r="L118" s="9"/>
      <c r="M118" s="9"/>
      <c r="N118" s="9"/>
      <c r="P118" s="825"/>
      <c r="T118" s="17"/>
      <c r="U118" s="17"/>
      <c r="V118" s="17"/>
      <c r="W118" s="17"/>
    </row>
    <row r="119" spans="1:38">
      <c r="A119" s="941" t="s">
        <v>860</v>
      </c>
      <c r="B119" s="2186"/>
      <c r="C119" s="931"/>
      <c r="D119" s="931"/>
      <c r="E119" s="931"/>
      <c r="F119" s="931"/>
      <c r="G119" s="931"/>
      <c r="H119" s="931"/>
      <c r="I119" s="931"/>
      <c r="J119" s="931"/>
      <c r="K119" s="9"/>
      <c r="L119" s="9"/>
      <c r="M119" s="9"/>
      <c r="N119" s="9"/>
      <c r="P119" s="825"/>
      <c r="T119" s="17"/>
      <c r="U119" s="17"/>
      <c r="V119" s="17"/>
      <c r="W119" s="17"/>
    </row>
    <row r="120" spans="1:38">
      <c r="A120" s="766" t="s">
        <v>861</v>
      </c>
      <c r="B120" s="2186">
        <v>-160000</v>
      </c>
      <c r="C120" s="931">
        <f>+'c12_hm'!G$80</f>
        <v>-413346</v>
      </c>
      <c r="D120" s="931">
        <f>+'c12_hm'!H$80</f>
        <v>-438063.33333333331</v>
      </c>
      <c r="E120" s="931">
        <f>+'c12_hm'!I$80</f>
        <v>-440394.66666666663</v>
      </c>
      <c r="F120" s="931">
        <f>+'c12_hm'!J$80</f>
        <v>-956656.33333333337</v>
      </c>
      <c r="G120" s="931">
        <f>+'c12_hm'!K$80</f>
        <v>-961442.57191666658</v>
      </c>
      <c r="H120" s="931">
        <f>+'c12_hm'!L$80</f>
        <v>-743171.82000000007</v>
      </c>
      <c r="I120" s="931">
        <f>+'c12_hm'!M$80</f>
        <v>-145913.06999999995</v>
      </c>
      <c r="J120" s="931">
        <f>+'c12_hm'!N$80</f>
        <v>153335.91333333333</v>
      </c>
      <c r="K120" s="9">
        <f>+'c12_hm'!O$80</f>
        <v>-737875.8806666662</v>
      </c>
      <c r="L120" s="9">
        <f>+'c12_hm'!P$80</f>
        <v>330508.00751333358</v>
      </c>
      <c r="M120" s="9">
        <f>+'c12_hm'!Q$80</f>
        <v>2186438.5051387344</v>
      </c>
      <c r="N120" s="9">
        <f>+'c12_hm'!R$80</f>
        <v>2012637.361113877</v>
      </c>
      <c r="P120" s="825"/>
      <c r="T120" s="17"/>
      <c r="U120" s="17"/>
      <c r="V120" s="17"/>
      <c r="W120" s="17"/>
    </row>
    <row r="121" spans="1:38">
      <c r="A121" s="766" t="s">
        <v>862</v>
      </c>
      <c r="B121" s="2186">
        <v>-160000</v>
      </c>
      <c r="C121" s="931">
        <f>+'c12_d&amp;s'!G$108</f>
        <v>-471410.74999999994</v>
      </c>
      <c r="D121" s="931">
        <f>+'c12_d&amp;s'!H$108</f>
        <v>-496128.08333333326</v>
      </c>
      <c r="E121" s="931">
        <f>+'c12_d&amp;s'!I$108</f>
        <v>-238459.41666666657</v>
      </c>
      <c r="F121" s="931">
        <f>+'c12_d&amp;s'!J$108</f>
        <v>-1525075.0833333333</v>
      </c>
      <c r="G121" s="931">
        <f>+'c12_d&amp;s'!K$108</f>
        <v>-303411.42933333339</v>
      </c>
      <c r="H121" s="931">
        <f>+'c12_d&amp;s'!L$108</f>
        <v>28997.713333333144</v>
      </c>
      <c r="I121" s="931">
        <f>+'c12_d&amp;s'!M$108</f>
        <v>441271.01333333342</v>
      </c>
      <c r="J121" s="931">
        <f>+'c12_d&amp;s'!N$108</f>
        <v>2287152.6966666663</v>
      </c>
      <c r="K121" s="9">
        <f>+'c12_d&amp;s'!O$108</f>
        <v>3171971.322666666</v>
      </c>
      <c r="L121" s="9">
        <f>+'c12_d&amp;s'!P$108</f>
        <v>722585.42799999984</v>
      </c>
      <c r="M121" s="9">
        <f>+'c12_d&amp;s'!Q$108</f>
        <v>-71612.34056000039</v>
      </c>
      <c r="N121" s="9">
        <f>+'c12_d&amp;s'!R$108</f>
        <v>414389.24388109567</v>
      </c>
      <c r="P121" s="825"/>
      <c r="T121" s="17"/>
      <c r="U121" s="17"/>
      <c r="V121" s="17"/>
      <c r="W121" s="17"/>
    </row>
    <row r="122" spans="1:38">
      <c r="A122" s="766" t="s">
        <v>863</v>
      </c>
      <c r="B122" s="2186">
        <v>-160000</v>
      </c>
      <c r="C122" s="931">
        <f>+'c12_bi&amp;f'!G$54</f>
        <v>-257825.99999999997</v>
      </c>
      <c r="D122" s="931">
        <f>+'c12_bi&amp;f'!H$54</f>
        <v>-282543.33333333331</v>
      </c>
      <c r="E122" s="931">
        <f>+'c12_bi&amp;f'!I$54</f>
        <v>-309354.66666666663</v>
      </c>
      <c r="F122" s="931">
        <f>+'c12_bi&amp;f'!J$54</f>
        <v>-807433.83333333326</v>
      </c>
      <c r="G122" s="931">
        <f>+'c12_bi&amp;f'!K$54</f>
        <v>-959744.78666666662</v>
      </c>
      <c r="H122" s="931">
        <f>+'c12_bi&amp;f'!L$54</f>
        <v>-1297078.1200000001</v>
      </c>
      <c r="I122" s="931">
        <f>+'c12_bi&amp;f'!M$54</f>
        <v>-697078.12</v>
      </c>
      <c r="J122" s="931">
        <f>+'c12_bi&amp;f'!N$54</f>
        <v>-1010926.6366666666</v>
      </c>
      <c r="K122" s="9">
        <f>+'c12_bi&amp;f'!O$54</f>
        <v>-2720208.2866666666</v>
      </c>
      <c r="L122" s="9">
        <f>+'c12_bi&amp;f'!P$54</f>
        <v>-2657208.2866666666</v>
      </c>
      <c r="M122" s="9">
        <f>+'c12_bi&amp;f'!Q$54</f>
        <v>-2657208.2866666666</v>
      </c>
      <c r="N122" s="9">
        <f>+'c12_bi&amp;f'!R$54</f>
        <v>-2577208.2866666666</v>
      </c>
      <c r="P122" s="825"/>
      <c r="T122" s="17"/>
      <c r="U122" s="17"/>
      <c r="V122" s="17"/>
      <c r="W122" s="17"/>
    </row>
    <row r="123" spans="1:38">
      <c r="A123" s="942" t="s">
        <v>23</v>
      </c>
      <c r="B123" s="2187">
        <v>-480000</v>
      </c>
      <c r="C123" s="943">
        <f t="shared" ref="C123:N123" si="32">SUM(C120:C122)</f>
        <v>-1142582.75</v>
      </c>
      <c r="D123" s="943">
        <f t="shared" si="32"/>
        <v>-1216734.7499999998</v>
      </c>
      <c r="E123" s="943">
        <f t="shared" si="32"/>
        <v>-988208.74999999988</v>
      </c>
      <c r="F123" s="943">
        <f t="shared" si="32"/>
        <v>-3289165.25</v>
      </c>
      <c r="G123" s="943">
        <f t="shared" si="32"/>
        <v>-2224598.7879166668</v>
      </c>
      <c r="H123" s="943">
        <f t="shared" si="32"/>
        <v>-2011252.226666667</v>
      </c>
      <c r="I123" s="943">
        <f t="shared" si="32"/>
        <v>-401720.17666666652</v>
      </c>
      <c r="J123" s="943">
        <f t="shared" si="32"/>
        <v>1429561.9733333327</v>
      </c>
      <c r="K123" s="116">
        <f t="shared" si="32"/>
        <v>-286112.84466666682</v>
      </c>
      <c r="L123" s="116">
        <f t="shared" si="32"/>
        <v>-1604114.8511533332</v>
      </c>
      <c r="M123" s="116">
        <f t="shared" si="32"/>
        <v>-542382.12208793266</v>
      </c>
      <c r="N123" s="116">
        <f t="shared" si="32"/>
        <v>-150181.68167169392</v>
      </c>
      <c r="P123" s="825"/>
      <c r="T123" s="17"/>
      <c r="U123" s="17"/>
      <c r="V123" s="17"/>
      <c r="W123" s="17"/>
    </row>
    <row r="124" spans="1:38">
      <c r="A124" s="768"/>
      <c r="B124" s="2172"/>
      <c r="C124" s="768"/>
      <c r="D124" s="768"/>
      <c r="E124" s="768"/>
      <c r="F124" s="768"/>
      <c r="G124" s="768"/>
      <c r="H124" s="768"/>
      <c r="I124" s="768"/>
      <c r="J124" s="768"/>
      <c r="P124" s="825"/>
      <c r="T124" s="17"/>
      <c r="U124" s="17"/>
      <c r="V124" s="17"/>
      <c r="W124" s="17"/>
    </row>
    <row r="125" spans="1:38">
      <c r="A125" s="944" t="s">
        <v>848</v>
      </c>
      <c r="B125" s="2186">
        <v>-4970569</v>
      </c>
      <c r="C125" s="945">
        <f t="shared" ref="C125:N125" si="33">+C117-C123</f>
        <v>-483548</v>
      </c>
      <c r="D125" s="945">
        <f t="shared" si="33"/>
        <v>-505687.00000000023</v>
      </c>
      <c r="E125" s="945">
        <f t="shared" si="33"/>
        <v>-434860.00000000012</v>
      </c>
      <c r="F125" s="945">
        <f t="shared" si="33"/>
        <v>601147.5</v>
      </c>
      <c r="G125" s="945">
        <f t="shared" si="33"/>
        <v>-374999.99999999907</v>
      </c>
      <c r="H125" s="945">
        <f t="shared" si="33"/>
        <v>-444572.17986266827</v>
      </c>
      <c r="I125" s="945">
        <f t="shared" si="33"/>
        <v>-440089.79068607208</v>
      </c>
      <c r="J125" s="945">
        <f t="shared" si="33"/>
        <v>488417.83270000014</v>
      </c>
      <c r="K125" s="945">
        <f t="shared" si="33"/>
        <v>38456.427896001842</v>
      </c>
      <c r="L125" s="945">
        <f t="shared" si="33"/>
        <v>-2671336.8034634362</v>
      </c>
      <c r="M125" s="945">
        <f t="shared" si="33"/>
        <v>-2976704.7651652698</v>
      </c>
      <c r="N125" s="945">
        <f t="shared" si="33"/>
        <v>-3358102.8606292084</v>
      </c>
      <c r="O125" t="s">
        <v>864</v>
      </c>
      <c r="P125" s="825"/>
      <c r="T125" s="11"/>
      <c r="U125" s="11"/>
      <c r="V125" s="11"/>
      <c r="W125" s="11"/>
    </row>
    <row r="126" spans="1:38">
      <c r="A126" s="768"/>
      <c r="B126" s="768"/>
      <c r="C126" s="768"/>
      <c r="D126" s="768"/>
      <c r="E126" s="768"/>
      <c r="F126" s="768"/>
      <c r="G126" s="768"/>
      <c r="H126" s="768"/>
      <c r="I126" s="768"/>
      <c r="J126" s="768"/>
      <c r="K126" s="768"/>
      <c r="L126" s="768"/>
      <c r="M126" s="768"/>
      <c r="N126" s="768"/>
      <c r="T126" s="825"/>
    </row>
    <row r="127" spans="1:38">
      <c r="A127" s="5" t="s">
        <v>865</v>
      </c>
      <c r="B127" s="4"/>
      <c r="C127" s="4"/>
      <c r="D127" s="77"/>
      <c r="E127" s="73"/>
      <c r="F127" s="73"/>
      <c r="G127" s="73"/>
      <c r="H127" s="73"/>
      <c r="I127" s="73"/>
      <c r="J127" s="768"/>
      <c r="K127" s="768"/>
      <c r="L127" s="768"/>
      <c r="M127" s="768"/>
      <c r="N127" s="768"/>
      <c r="T127" s="825"/>
    </row>
    <row r="128" spans="1:38">
      <c r="A128" s="16" t="s">
        <v>298</v>
      </c>
      <c r="B128" s="78" t="s">
        <v>866</v>
      </c>
      <c r="C128" s="78" t="s">
        <v>867</v>
      </c>
      <c r="D128" s="76" t="s">
        <v>868</v>
      </c>
      <c r="E128" s="76" t="s">
        <v>869</v>
      </c>
      <c r="F128" s="76" t="s">
        <v>229</v>
      </c>
      <c r="G128" s="76" t="s">
        <v>870</v>
      </c>
      <c r="H128" s="76" t="s">
        <v>871</v>
      </c>
      <c r="I128" s="76" t="s">
        <v>872</v>
      </c>
      <c r="J128" s="768"/>
      <c r="K128" s="768"/>
      <c r="L128" s="768"/>
      <c r="M128" s="768"/>
      <c r="N128" s="768"/>
      <c r="T128" s="825"/>
    </row>
    <row r="129" spans="1:20">
      <c r="A129" s="86" t="str">
        <f t="shared" ref="A129:A136" si="34">+A85</f>
        <v>Managing Member</v>
      </c>
      <c r="B129" s="70">
        <f t="shared" ref="B129:B136" si="35">1-C129</f>
        <v>1</v>
      </c>
      <c r="C129" s="70">
        <f t="shared" ref="C129:C136" si="36">+SUM(D129:I129)</f>
        <v>0</v>
      </c>
      <c r="D129" s="434">
        <v>0</v>
      </c>
      <c r="E129" s="434">
        <v>0</v>
      </c>
      <c r="F129" s="434">
        <v>0</v>
      </c>
      <c r="G129" s="434"/>
      <c r="H129" s="435">
        <v>0</v>
      </c>
      <c r="I129" s="436">
        <v>0</v>
      </c>
      <c r="J129" s="768"/>
      <c r="K129" s="768"/>
      <c r="L129" s="768"/>
      <c r="M129" s="768"/>
      <c r="N129" s="768"/>
      <c r="T129" s="825"/>
    </row>
    <row r="130" spans="1:20">
      <c r="A130" s="86" t="str">
        <f t="shared" si="34"/>
        <v>Roots MD</v>
      </c>
      <c r="B130" s="70">
        <f t="shared" si="35"/>
        <v>9.9999999999999978E-2</v>
      </c>
      <c r="C130" s="70">
        <f t="shared" si="36"/>
        <v>0.9</v>
      </c>
      <c r="D130" s="437">
        <v>0.2</v>
      </c>
      <c r="E130" s="437">
        <v>0.3</v>
      </c>
      <c r="F130" s="437">
        <v>0.3</v>
      </c>
      <c r="G130" s="437">
        <v>0.1</v>
      </c>
      <c r="H130" s="435">
        <v>0</v>
      </c>
      <c r="I130" s="436">
        <v>0</v>
      </c>
      <c r="J130" s="768"/>
      <c r="K130" s="768"/>
      <c r="L130" s="768"/>
      <c r="M130" s="768"/>
      <c r="N130" s="768"/>
      <c r="T130" s="825"/>
    </row>
    <row r="131" spans="1:20">
      <c r="A131" s="87" t="str">
        <f t="shared" si="34"/>
        <v>Bookkeeper</v>
      </c>
      <c r="B131" s="70">
        <f t="shared" si="35"/>
        <v>0</v>
      </c>
      <c r="C131" s="70">
        <f t="shared" si="36"/>
        <v>1</v>
      </c>
      <c r="D131" s="437">
        <v>0</v>
      </c>
      <c r="E131" s="437">
        <v>1</v>
      </c>
      <c r="F131" s="437">
        <v>0</v>
      </c>
      <c r="G131" s="437"/>
      <c r="H131" s="435">
        <v>0</v>
      </c>
      <c r="I131" s="436">
        <v>0</v>
      </c>
      <c r="J131" s="768"/>
      <c r="K131" s="768"/>
      <c r="L131" s="768"/>
      <c r="M131" s="768"/>
      <c r="N131" s="768"/>
      <c r="T131" s="825"/>
    </row>
    <row r="132" spans="1:20">
      <c r="A132" s="86" t="str">
        <f t="shared" si="34"/>
        <v>Administrative Assistant</v>
      </c>
      <c r="B132" s="70">
        <f t="shared" si="35"/>
        <v>1</v>
      </c>
      <c r="C132" s="70">
        <f t="shared" si="36"/>
        <v>0</v>
      </c>
      <c r="D132" s="437">
        <v>0</v>
      </c>
      <c r="E132" s="437">
        <v>0</v>
      </c>
      <c r="F132" s="437">
        <v>0</v>
      </c>
      <c r="G132" s="437"/>
      <c r="H132" s="435">
        <v>0</v>
      </c>
      <c r="I132" s="436">
        <v>0</v>
      </c>
      <c r="J132" s="768"/>
      <c r="K132" s="768"/>
      <c r="L132" s="768"/>
      <c r="M132" s="768"/>
      <c r="N132" s="768"/>
      <c r="T132" s="825"/>
    </row>
    <row r="133" spans="1:20">
      <c r="A133" s="86" t="str">
        <f t="shared" si="34"/>
        <v>[]</v>
      </c>
      <c r="B133" s="70">
        <f t="shared" si="35"/>
        <v>0</v>
      </c>
      <c r="C133" s="70">
        <f t="shared" si="36"/>
        <v>1</v>
      </c>
      <c r="D133" s="437">
        <v>0.34</v>
      </c>
      <c r="E133" s="437">
        <v>0.33</v>
      </c>
      <c r="F133" s="437">
        <v>0.33</v>
      </c>
      <c r="G133" s="437"/>
      <c r="H133" s="435">
        <v>0</v>
      </c>
      <c r="I133" s="436">
        <v>0</v>
      </c>
      <c r="J133" s="768"/>
      <c r="K133" s="768"/>
      <c r="L133" s="768"/>
      <c r="M133" s="768"/>
      <c r="N133" s="768"/>
      <c r="T133" s="825"/>
    </row>
    <row r="134" spans="1:20">
      <c r="A134" s="86" t="str">
        <f t="shared" si="34"/>
        <v>[]</v>
      </c>
      <c r="B134" s="70">
        <f t="shared" si="35"/>
        <v>0.29999999999999993</v>
      </c>
      <c r="C134" s="70">
        <f t="shared" si="36"/>
        <v>0.70000000000000007</v>
      </c>
      <c r="D134" s="437">
        <v>0.2</v>
      </c>
      <c r="E134" s="437">
        <v>0.2</v>
      </c>
      <c r="F134" s="437">
        <v>0.2</v>
      </c>
      <c r="G134" s="437">
        <v>0.1</v>
      </c>
      <c r="H134" s="435">
        <v>0</v>
      </c>
      <c r="I134" s="436">
        <v>0</v>
      </c>
      <c r="J134" s="768"/>
      <c r="K134" s="768"/>
      <c r="L134" s="768"/>
      <c r="M134" s="768"/>
      <c r="N134" s="768"/>
      <c r="T134" s="825"/>
    </row>
    <row r="135" spans="1:20">
      <c r="A135" s="86" t="str">
        <f t="shared" si="34"/>
        <v>[]</v>
      </c>
      <c r="B135" s="70">
        <f t="shared" si="35"/>
        <v>9.9999999999999978E-2</v>
      </c>
      <c r="C135" s="70">
        <f t="shared" si="36"/>
        <v>0.9</v>
      </c>
      <c r="D135" s="437">
        <v>0.2</v>
      </c>
      <c r="E135" s="437">
        <v>0.3</v>
      </c>
      <c r="F135" s="437">
        <v>0.3</v>
      </c>
      <c r="G135" s="437">
        <v>0.1</v>
      </c>
      <c r="H135" s="435">
        <v>0</v>
      </c>
      <c r="I135" s="436">
        <v>0</v>
      </c>
      <c r="J135" s="768"/>
      <c r="K135" s="768"/>
      <c r="L135" s="768"/>
      <c r="M135" s="768"/>
      <c r="N135" s="768"/>
      <c r="T135" s="825"/>
    </row>
    <row r="136" spans="1:20">
      <c r="A136" s="86" t="str">
        <f t="shared" si="34"/>
        <v>[]</v>
      </c>
      <c r="B136" s="70">
        <f t="shared" si="35"/>
        <v>5.0000000000000044E-2</v>
      </c>
      <c r="C136" s="70">
        <f t="shared" si="36"/>
        <v>0.95</v>
      </c>
      <c r="D136" s="437">
        <v>0.3</v>
      </c>
      <c r="E136" s="437">
        <v>0.3</v>
      </c>
      <c r="F136" s="437">
        <v>0.25</v>
      </c>
      <c r="G136" s="437">
        <v>0.1</v>
      </c>
      <c r="H136" s="435">
        <v>0</v>
      </c>
      <c r="I136" s="436">
        <v>0</v>
      </c>
      <c r="J136" s="768"/>
      <c r="K136" s="768"/>
      <c r="L136" s="768"/>
      <c r="M136" s="768"/>
      <c r="N136" s="768"/>
      <c r="T136" s="825"/>
    </row>
    <row r="137" spans="1:20">
      <c r="A137" s="74" t="s">
        <v>23</v>
      </c>
      <c r="B137" s="93">
        <f t="shared" ref="B137:I137" si="37">SUMPRODUCT(B129:B136,$G$105:$G$112)</f>
        <v>329760</v>
      </c>
      <c r="C137" s="93">
        <f t="shared" si="37"/>
        <v>29663.999999999996</v>
      </c>
      <c r="D137" s="93">
        <f t="shared" si="37"/>
        <v>0</v>
      </c>
      <c r="E137" s="93">
        <f t="shared" si="37"/>
        <v>29663.999999999996</v>
      </c>
      <c r="F137" s="93">
        <f t="shared" si="37"/>
        <v>0</v>
      </c>
      <c r="G137" s="93">
        <f t="shared" si="37"/>
        <v>0</v>
      </c>
      <c r="H137" s="93">
        <f t="shared" si="37"/>
        <v>0</v>
      </c>
      <c r="I137" s="93">
        <f t="shared" si="37"/>
        <v>0</v>
      </c>
      <c r="J137" s="768"/>
      <c r="K137" s="768"/>
      <c r="L137" s="768"/>
      <c r="M137" s="768"/>
      <c r="N137" s="768"/>
    </row>
    <row r="138" spans="1:20">
      <c r="A138" s="768"/>
      <c r="B138" s="768"/>
      <c r="C138" s="768"/>
      <c r="D138" s="768"/>
      <c r="E138" s="768"/>
      <c r="F138" s="768"/>
      <c r="G138" s="768"/>
      <c r="H138" s="768"/>
      <c r="I138" s="768"/>
      <c r="J138" s="768"/>
      <c r="K138" s="768"/>
      <c r="L138" s="768"/>
      <c r="M138" s="768"/>
      <c r="N138" s="768"/>
    </row>
    <row r="139" spans="1:20">
      <c r="A139" s="768"/>
      <c r="B139" s="768"/>
      <c r="C139" s="768"/>
      <c r="D139" s="768"/>
      <c r="E139" s="768"/>
      <c r="F139" s="768"/>
      <c r="G139" s="768"/>
      <c r="H139" s="768"/>
      <c r="I139" s="768"/>
      <c r="J139" s="768"/>
      <c r="K139" s="768"/>
      <c r="L139" s="768"/>
      <c r="M139" s="768"/>
      <c r="N139" s="768"/>
    </row>
    <row r="140" spans="1:20" ht="14.7" customHeight="1" thickBot="1">
      <c r="A140" s="768"/>
      <c r="B140" s="768"/>
      <c r="C140" s="113" t="s">
        <v>873</v>
      </c>
      <c r="D140" s="114"/>
      <c r="E140" s="115"/>
      <c r="F140" s="115"/>
      <c r="G140" s="768"/>
      <c r="H140" s="768"/>
      <c r="I140" s="768"/>
      <c r="J140" s="768"/>
      <c r="K140" s="768"/>
      <c r="L140" s="768"/>
      <c r="M140" s="768"/>
      <c r="N140" s="768"/>
    </row>
    <row r="141" spans="1:20">
      <c r="A141" s="768"/>
      <c r="B141" s="768"/>
      <c r="D141" s="83" t="s">
        <v>874</v>
      </c>
      <c r="F141" s="83" t="s">
        <v>875</v>
      </c>
      <c r="G141" s="768"/>
      <c r="H141" s="768"/>
      <c r="I141" s="768"/>
      <c r="J141" s="768"/>
      <c r="K141" s="768"/>
      <c r="L141" s="768"/>
      <c r="M141" s="768"/>
      <c r="N141" s="768"/>
    </row>
    <row r="142" spans="1:20">
      <c r="A142" s="768"/>
      <c r="B142" s="768"/>
      <c r="C142" t="s">
        <v>876</v>
      </c>
      <c r="D142" s="108">
        <f>SUM(B137:C137)</f>
        <v>359424</v>
      </c>
      <c r="F142" s="83"/>
      <c r="G142" s="768"/>
      <c r="H142" s="768"/>
      <c r="I142" s="768"/>
      <c r="J142" s="768"/>
      <c r="K142" s="768"/>
      <c r="L142" s="768"/>
      <c r="M142" s="768"/>
      <c r="N142" s="768"/>
    </row>
    <row r="143" spans="1:20">
      <c r="A143" s="768"/>
      <c r="B143" s="768"/>
      <c r="C143" t="s">
        <v>877</v>
      </c>
      <c r="F143" s="109">
        <f>G1</f>
        <v>0</v>
      </c>
      <c r="G143" s="768"/>
      <c r="H143" s="768"/>
      <c r="I143" s="768"/>
      <c r="J143" s="768"/>
      <c r="K143" s="768"/>
      <c r="L143" s="768"/>
      <c r="M143" s="768"/>
      <c r="N143" s="768"/>
    </row>
    <row r="144" spans="1:20">
      <c r="A144" s="768"/>
      <c r="B144" s="768"/>
      <c r="C144" t="s">
        <v>878</v>
      </c>
      <c r="D144" s="108">
        <f>+G15</f>
        <v>9000</v>
      </c>
      <c r="F144" s="109"/>
      <c r="G144" s="768"/>
      <c r="H144" s="768"/>
      <c r="I144" s="768"/>
      <c r="J144" s="768"/>
      <c r="K144" s="768"/>
      <c r="L144" s="768"/>
      <c r="M144" s="768"/>
      <c r="N144" s="768"/>
    </row>
    <row r="145" spans="1:14">
      <c r="A145" s="768"/>
      <c r="B145" s="768"/>
      <c r="C145" s="23" t="s">
        <v>23</v>
      </c>
      <c r="D145" s="112">
        <f>SUM(D142:D144)</f>
        <v>368424</v>
      </c>
      <c r="F145" s="112">
        <f>SUM(F142:F144)</f>
        <v>0</v>
      </c>
      <c r="G145" s="768"/>
      <c r="H145" s="768"/>
      <c r="I145" s="768"/>
      <c r="J145" s="768"/>
      <c r="K145" s="768"/>
      <c r="L145" s="768"/>
      <c r="M145" s="768"/>
      <c r="N145" s="768"/>
    </row>
    <row r="146" spans="1:14">
      <c r="A146" s="768"/>
      <c r="B146" s="768"/>
      <c r="C146" s="5" t="s">
        <v>873</v>
      </c>
      <c r="D146" s="83"/>
      <c r="E146" s="5"/>
      <c r="F146" s="112">
        <f>+F145-D145</f>
        <v>-368424</v>
      </c>
      <c r="G146" s="768"/>
      <c r="H146" s="768"/>
      <c r="I146" s="768"/>
      <c r="J146" s="768"/>
      <c r="K146" s="768"/>
      <c r="L146" s="768"/>
      <c r="M146" s="768"/>
      <c r="N146" s="768"/>
    </row>
    <row r="147" spans="1:14">
      <c r="A147" s="768"/>
      <c r="B147" s="768"/>
      <c r="D147" s="3"/>
      <c r="F147" s="3"/>
      <c r="G147" s="768"/>
      <c r="H147" s="768"/>
      <c r="I147" s="768"/>
      <c r="J147" s="768"/>
      <c r="K147" s="768"/>
      <c r="L147" s="768"/>
      <c r="M147" s="768"/>
      <c r="N147" s="768"/>
    </row>
    <row r="148" spans="1:14" ht="14.7" customHeight="1" thickBot="1">
      <c r="A148" s="768"/>
      <c r="B148" s="768"/>
      <c r="C148" s="107" t="s">
        <v>879</v>
      </c>
      <c r="D148" s="110"/>
      <c r="E148" s="85"/>
      <c r="F148" s="111">
        <f>F140+F146</f>
        <v>-368424</v>
      </c>
      <c r="G148" s="768"/>
      <c r="H148" s="768"/>
      <c r="I148" s="768"/>
      <c r="J148" s="768"/>
      <c r="K148" s="768"/>
      <c r="L148" s="768"/>
      <c r="M148" s="768"/>
      <c r="N148" s="768"/>
    </row>
    <row r="149" spans="1:14" ht="14.7" customHeight="1" thickTop="1">
      <c r="A149" s="768"/>
      <c r="B149" s="768"/>
      <c r="C149" s="768"/>
      <c r="D149" s="768"/>
      <c r="E149" s="768"/>
      <c r="F149" s="768"/>
      <c r="G149" s="768"/>
      <c r="H149" s="768"/>
      <c r="I149" s="768"/>
      <c r="J149" s="768"/>
      <c r="K149" s="768"/>
      <c r="L149" s="768"/>
      <c r="M149" s="768"/>
      <c r="N149" s="768"/>
    </row>
    <row r="150" spans="1:14">
      <c r="A150" s="768"/>
      <c r="B150" s="946">
        <v>2025</v>
      </c>
      <c r="C150" s="946"/>
      <c r="D150" s="946"/>
      <c r="E150" s="946"/>
      <c r="F150" s="946">
        <v>2026</v>
      </c>
      <c r="G150" s="946"/>
      <c r="H150" s="946"/>
      <c r="I150" s="946"/>
      <c r="J150" s="946">
        <v>2027</v>
      </c>
      <c r="K150" s="946"/>
      <c r="L150" s="946"/>
      <c r="M150" s="946"/>
      <c r="N150" s="768"/>
    </row>
    <row r="151" spans="1:14" ht="14.7" customHeight="1" thickBot="1">
      <c r="A151" s="941" t="s">
        <v>880</v>
      </c>
      <c r="B151" s="825" t="s">
        <v>3</v>
      </c>
      <c r="C151" s="825" t="s">
        <v>4</v>
      </c>
      <c r="D151" s="825" t="s">
        <v>5</v>
      </c>
      <c r="E151" s="825" t="s">
        <v>2</v>
      </c>
      <c r="F151" s="825" t="s">
        <v>3</v>
      </c>
      <c r="G151" s="825" t="s">
        <v>4</v>
      </c>
      <c r="H151" s="825" t="s">
        <v>5</v>
      </c>
      <c r="I151" s="825" t="s">
        <v>2</v>
      </c>
      <c r="J151" s="825" t="s">
        <v>3</v>
      </c>
      <c r="K151" s="825" t="s">
        <v>4</v>
      </c>
      <c r="L151" s="825" t="s">
        <v>5</v>
      </c>
      <c r="M151" s="825" t="s">
        <v>2</v>
      </c>
      <c r="N151" s="768"/>
    </row>
    <row r="152" spans="1:14">
      <c r="A152" s="947" t="s">
        <v>854</v>
      </c>
      <c r="B152" s="948"/>
      <c r="C152" s="948"/>
      <c r="D152" s="948"/>
      <c r="E152" s="949"/>
      <c r="F152" s="950"/>
      <c r="G152" s="951"/>
      <c r="H152" s="951"/>
      <c r="I152" s="952"/>
      <c r="J152" s="950"/>
      <c r="K152" s="951"/>
      <c r="L152" s="951"/>
      <c r="M152" s="952"/>
      <c r="N152" s="768"/>
    </row>
    <row r="153" spans="1:14">
      <c r="A153" s="947" t="s">
        <v>881</v>
      </c>
      <c r="B153" s="948"/>
      <c r="C153" s="948"/>
      <c r="D153" s="948"/>
      <c r="E153" s="949"/>
      <c r="F153" s="953"/>
      <c r="G153" s="954"/>
      <c r="H153" s="955"/>
      <c r="I153" s="956"/>
      <c r="J153" s="953">
        <v>100000</v>
      </c>
      <c r="K153" s="948"/>
      <c r="L153" s="948"/>
      <c r="M153" s="957"/>
      <c r="N153" s="768"/>
    </row>
    <row r="154" spans="1:14">
      <c r="A154" s="947" t="s">
        <v>882</v>
      </c>
      <c r="B154" s="948"/>
      <c r="C154" s="948"/>
      <c r="D154" s="948"/>
      <c r="E154" s="958"/>
      <c r="F154" s="959"/>
      <c r="G154" s="955">
        <v>100000</v>
      </c>
      <c r="H154" s="955">
        <v>100000</v>
      </c>
      <c r="I154" s="956"/>
      <c r="J154" s="953">
        <v>100000</v>
      </c>
      <c r="K154" s="948"/>
      <c r="L154" s="948"/>
      <c r="M154" s="956"/>
      <c r="N154" s="768"/>
    </row>
    <row r="155" spans="1:14" ht="14.7" customHeight="1" thickBot="1">
      <c r="A155" s="922" t="s">
        <v>23</v>
      </c>
      <c r="B155" s="960">
        <f t="shared" ref="B155:M155" si="38">SUM(B152:B154)</f>
        <v>0</v>
      </c>
      <c r="C155" s="960">
        <f t="shared" si="38"/>
        <v>0</v>
      </c>
      <c r="D155" s="960">
        <f t="shared" si="38"/>
        <v>0</v>
      </c>
      <c r="E155" s="961">
        <f t="shared" si="38"/>
        <v>0</v>
      </c>
      <c r="F155" s="962">
        <f t="shared" si="38"/>
        <v>0</v>
      </c>
      <c r="G155" s="963">
        <f t="shared" si="38"/>
        <v>100000</v>
      </c>
      <c r="H155" s="963">
        <f t="shared" si="38"/>
        <v>100000</v>
      </c>
      <c r="I155" s="964">
        <f t="shared" si="38"/>
        <v>0</v>
      </c>
      <c r="J155" s="962">
        <f t="shared" si="38"/>
        <v>200000</v>
      </c>
      <c r="K155" s="963">
        <f t="shared" si="38"/>
        <v>0</v>
      </c>
      <c r="L155" s="963">
        <f t="shared" si="38"/>
        <v>0</v>
      </c>
      <c r="M155" s="964">
        <f t="shared" si="38"/>
        <v>0</v>
      </c>
      <c r="N155" s="768"/>
    </row>
    <row r="156" spans="1:14">
      <c r="A156" s="802"/>
      <c r="B156" s="821"/>
      <c r="C156" s="821"/>
      <c r="D156" s="821"/>
      <c r="E156" s="965"/>
      <c r="F156" s="821"/>
      <c r="G156" s="821"/>
      <c r="H156" s="821"/>
      <c r="I156" s="965"/>
      <c r="J156" s="821"/>
      <c r="K156" s="821"/>
      <c r="L156" s="821"/>
      <c r="M156" s="965"/>
      <c r="N156" s="768"/>
    </row>
    <row r="157" spans="1:14">
      <c r="A157" s="768"/>
      <c r="B157" s="946">
        <v>2025</v>
      </c>
      <c r="C157" s="946"/>
      <c r="D157" s="946"/>
      <c r="E157" s="946"/>
      <c r="F157" s="946">
        <v>2026</v>
      </c>
      <c r="G157" s="946"/>
      <c r="H157" s="946"/>
      <c r="I157" s="946"/>
      <c r="J157" s="946">
        <v>2027</v>
      </c>
      <c r="K157" s="946"/>
      <c r="L157" s="946"/>
      <c r="M157" s="946"/>
      <c r="N157" s="768"/>
    </row>
    <row r="158" spans="1:14" ht="14.7" customHeight="1" thickBot="1">
      <c r="A158" s="941" t="s">
        <v>883</v>
      </c>
      <c r="B158" s="825" t="s">
        <v>3</v>
      </c>
      <c r="C158" s="825" t="s">
        <v>4</v>
      </c>
      <c r="D158" s="825" t="s">
        <v>5</v>
      </c>
      <c r="E158" s="825" t="s">
        <v>2</v>
      </c>
      <c r="F158" s="825" t="s">
        <v>3</v>
      </c>
      <c r="G158" s="825" t="s">
        <v>4</v>
      </c>
      <c r="H158" s="825" t="s">
        <v>5</v>
      </c>
      <c r="I158" s="825" t="s">
        <v>2</v>
      </c>
      <c r="J158" s="825" t="s">
        <v>3</v>
      </c>
      <c r="K158" s="825" t="s">
        <v>4</v>
      </c>
      <c r="L158" s="825" t="s">
        <v>5</v>
      </c>
      <c r="M158" s="825" t="s">
        <v>2</v>
      </c>
      <c r="N158" s="768"/>
    </row>
    <row r="159" spans="1:14">
      <c r="A159" s="947" t="s">
        <v>884</v>
      </c>
      <c r="B159" s="948"/>
      <c r="C159" s="948"/>
      <c r="D159" s="948"/>
      <c r="E159" s="958"/>
      <c r="F159" s="966"/>
      <c r="G159" s="967">
        <v>100000</v>
      </c>
      <c r="H159" s="951"/>
      <c r="I159" s="952"/>
      <c r="J159" s="950"/>
      <c r="K159" s="951"/>
      <c r="L159" s="951"/>
      <c r="M159" s="952"/>
      <c r="N159" s="768"/>
    </row>
    <row r="160" spans="1:14">
      <c r="A160" s="947" t="s">
        <v>885</v>
      </c>
      <c r="B160" s="948"/>
      <c r="C160" s="948"/>
      <c r="D160" s="948"/>
      <c r="E160" s="949"/>
      <c r="F160" s="959"/>
      <c r="G160" s="948"/>
      <c r="H160" s="948"/>
      <c r="I160" s="957"/>
      <c r="J160" s="959"/>
      <c r="K160" s="948"/>
      <c r="L160" s="948"/>
      <c r="M160" s="957"/>
      <c r="N160" s="768"/>
    </row>
    <row r="161" spans="1:14">
      <c r="A161" s="947" t="s">
        <v>886</v>
      </c>
      <c r="B161" s="948"/>
      <c r="C161" s="948"/>
      <c r="D161" s="948"/>
      <c r="E161" s="949"/>
      <c r="F161" s="953">
        <v>0</v>
      </c>
      <c r="G161" s="955">
        <v>0</v>
      </c>
      <c r="H161" s="948">
        <v>0</v>
      </c>
      <c r="I161" s="956">
        <v>0</v>
      </c>
      <c r="J161" s="959"/>
      <c r="K161" s="948"/>
      <c r="L161" s="948"/>
      <c r="M161" s="957"/>
      <c r="N161" s="768"/>
    </row>
    <row r="162" spans="1:14">
      <c r="A162" s="947" t="s">
        <v>887</v>
      </c>
      <c r="B162" s="948"/>
      <c r="C162" s="948"/>
      <c r="D162" s="948"/>
      <c r="E162" s="949"/>
      <c r="F162" s="953">
        <v>66000</v>
      </c>
      <c r="G162" s="955">
        <v>66000</v>
      </c>
      <c r="H162" s="955">
        <v>66000</v>
      </c>
      <c r="I162" s="956">
        <v>66000</v>
      </c>
      <c r="J162" s="959"/>
      <c r="K162" s="948"/>
      <c r="L162" s="948"/>
      <c r="M162" s="957"/>
      <c r="N162" s="768"/>
    </row>
    <row r="163" spans="1:14" ht="14.7" customHeight="1" thickBot="1">
      <c r="A163" s="922" t="s">
        <v>23</v>
      </c>
      <c r="B163" s="960">
        <f t="shared" ref="B163:M163" si="39">SUM(B159:B162)</f>
        <v>0</v>
      </c>
      <c r="C163" s="960">
        <f t="shared" si="39"/>
        <v>0</v>
      </c>
      <c r="D163" s="960">
        <f t="shared" si="39"/>
        <v>0</v>
      </c>
      <c r="E163" s="961">
        <f t="shared" si="39"/>
        <v>0</v>
      </c>
      <c r="F163" s="962">
        <f t="shared" si="39"/>
        <v>66000</v>
      </c>
      <c r="G163" s="963">
        <f t="shared" si="39"/>
        <v>166000</v>
      </c>
      <c r="H163" s="963">
        <f t="shared" si="39"/>
        <v>66000</v>
      </c>
      <c r="I163" s="964">
        <f t="shared" si="39"/>
        <v>66000</v>
      </c>
      <c r="J163" s="962">
        <f t="shared" si="39"/>
        <v>0</v>
      </c>
      <c r="K163" s="963">
        <f t="shared" si="39"/>
        <v>0</v>
      </c>
      <c r="L163" s="963">
        <f t="shared" si="39"/>
        <v>0</v>
      </c>
      <c r="M163" s="964">
        <f t="shared" si="39"/>
        <v>0</v>
      </c>
      <c r="N163" s="768"/>
    </row>
  </sheetData>
  <conditionalFormatting sqref="B36:N36">
    <cfRule type="cellIs" dxfId="0" priority="1" operator="equal">
      <formula>1</formula>
    </cfRule>
  </conditionalFormatting>
  <pageMargins left="0.7" right="0.7" top="0.75" bottom="0.75" header="0.3" footer="0.3"/>
  <pageSetup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4B084"/>
    <pageSetUpPr autoPageBreaks="0"/>
  </sheetPr>
  <dimension ref="A1:AS138"/>
  <sheetViews>
    <sheetView showGridLines="0" zoomScale="85" zoomScaleNormal="85" workbookViewId="0">
      <pane xSplit="5" ySplit="3" topLeftCell="F40" activePane="bottomRight" state="frozen"/>
      <selection activeCell="E16" sqref="E16"/>
      <selection pane="topRight" activeCell="E16" sqref="E16"/>
      <selection pane="bottomLeft" activeCell="E16" sqref="E16"/>
      <selection pane="bottomRight" activeCell="E16" sqref="E16"/>
    </sheetView>
  </sheetViews>
  <sheetFormatPr defaultRowHeight="14.4" outlineLevelCol="1"/>
  <cols>
    <col min="1" max="1" width="40" style="29" bestFit="1" customWidth="1"/>
    <col min="2" max="2" width="21.26171875" style="29" hidden="1" customWidth="1" outlineLevel="1"/>
    <col min="3" max="3" width="17.26171875" style="29" hidden="1" customWidth="1" outlineLevel="1"/>
    <col min="4" max="4" width="18.26171875" style="29" hidden="1" customWidth="1" outlineLevel="1"/>
    <col min="5" max="5" width="20.26171875" style="29" hidden="1" customWidth="1" outlineLevel="1"/>
    <col min="6" max="6" width="15.68359375" style="29" bestFit="1" customWidth="1" collapsed="1"/>
    <col min="7" max="7" width="13.68359375" style="29" bestFit="1" customWidth="1"/>
    <col min="8" max="10" width="14.26171875" style="29" bestFit="1" customWidth="1"/>
    <col min="11" max="11" width="17.68359375" style="29" bestFit="1" customWidth="1"/>
    <col min="12" max="14" width="15.26171875" style="29" bestFit="1" customWidth="1"/>
    <col min="15" max="15" width="15.26171875" bestFit="1" customWidth="1"/>
    <col min="16" max="16" width="16.578125" bestFit="1" customWidth="1"/>
    <col min="17" max="17" width="15.26171875" bestFit="1" customWidth="1"/>
    <col min="18" max="18" width="16" bestFit="1" customWidth="1"/>
    <col min="19" max="19" width="10.41796875" customWidth="1"/>
    <col min="20" max="20" width="34" bestFit="1" customWidth="1"/>
    <col min="21" max="21" width="14.26171875" bestFit="1" customWidth="1"/>
    <col min="22" max="22" width="33.68359375" bestFit="1" customWidth="1"/>
    <col min="23" max="23" width="21.26171875" bestFit="1" customWidth="1"/>
    <col min="24" max="24" width="16.578125" bestFit="1" customWidth="1"/>
    <col min="25" max="25" width="27.26171875" bestFit="1" customWidth="1"/>
    <col min="26" max="26" width="10.68359375" customWidth="1"/>
    <col min="27" max="27" width="11.41796875" customWidth="1"/>
    <col min="28" max="28" width="12.578125" bestFit="1" customWidth="1"/>
    <col min="29" max="29" width="9.26171875" bestFit="1" customWidth="1"/>
    <col min="30" max="30" width="12.68359375" style="4" bestFit="1" customWidth="1"/>
    <col min="37" max="37" width="9.578125" bestFit="1" customWidth="1"/>
  </cols>
  <sheetData>
    <row r="1" spans="1:30" s="25" customFormat="1" ht="18.3" customHeight="1">
      <c r="A1" s="1268" t="str">
        <f t="array" aca="1" ref="A1" ca="1">_xlfn.TEXTAFTER(CELL("filename",A1),"]")</f>
        <v>c12_hm</v>
      </c>
      <c r="B1" s="1267"/>
      <c r="C1" s="1267"/>
      <c r="D1" s="1267"/>
      <c r="E1" s="1267"/>
      <c r="F1" s="1267"/>
      <c r="G1" s="1267"/>
      <c r="H1" s="1267"/>
      <c r="I1" s="1267"/>
      <c r="J1" s="1267"/>
      <c r="K1" s="1267"/>
      <c r="L1" s="1267"/>
      <c r="M1" s="1267"/>
      <c r="N1" s="1267"/>
      <c r="O1" s="1267"/>
      <c r="P1" s="1267"/>
      <c r="Q1" s="1267"/>
      <c r="R1" s="1267"/>
      <c r="S1" s="1267"/>
      <c r="T1" s="418"/>
      <c r="U1" s="418"/>
      <c r="AD1" s="160"/>
    </row>
    <row r="2" spans="1:30">
      <c r="A2" s="1223" t="s">
        <v>120</v>
      </c>
      <c r="B2" s="1171">
        <v>44196</v>
      </c>
      <c r="C2" s="1171">
        <v>44561</v>
      </c>
      <c r="D2" s="1171">
        <v>44926</v>
      </c>
      <c r="E2" s="1171">
        <v>45291</v>
      </c>
      <c r="F2" s="1171">
        <v>45657</v>
      </c>
      <c r="G2" s="1171">
        <v>45747</v>
      </c>
      <c r="H2" s="1171">
        <v>45838</v>
      </c>
      <c r="I2" s="1171">
        <v>45930</v>
      </c>
      <c r="J2" s="1171">
        <v>46022</v>
      </c>
      <c r="K2" s="1171">
        <v>46112</v>
      </c>
      <c r="L2" s="1171">
        <v>46203</v>
      </c>
      <c r="M2" s="1171">
        <v>46295</v>
      </c>
      <c r="N2" s="1171">
        <v>46387</v>
      </c>
      <c r="O2" s="1171">
        <v>46752</v>
      </c>
      <c r="P2" s="1171">
        <v>47118</v>
      </c>
      <c r="Q2" s="1171">
        <v>47483</v>
      </c>
      <c r="R2" s="1171">
        <v>47848</v>
      </c>
      <c r="S2" s="757"/>
    </row>
    <row r="3" spans="1:30" ht="14.7" customHeight="1" thickBot="1">
      <c r="A3" s="1186" t="s">
        <v>222</v>
      </c>
      <c r="B3" s="1266" t="s">
        <v>2</v>
      </c>
      <c r="C3" s="1266" t="s">
        <v>2</v>
      </c>
      <c r="D3" s="1266" t="s">
        <v>2</v>
      </c>
      <c r="E3" s="1266" t="s">
        <v>2</v>
      </c>
      <c r="F3" s="1266" t="s">
        <v>2</v>
      </c>
      <c r="G3" s="1266" t="s">
        <v>3</v>
      </c>
      <c r="H3" s="1266" t="s">
        <v>4</v>
      </c>
      <c r="I3" s="1266" t="s">
        <v>5</v>
      </c>
      <c r="J3" s="1266" t="s">
        <v>2</v>
      </c>
      <c r="K3" s="1266" t="s">
        <v>3</v>
      </c>
      <c r="L3" s="1266" t="s">
        <v>4</v>
      </c>
      <c r="M3" s="1266" t="s">
        <v>5</v>
      </c>
      <c r="N3" s="1266" t="s">
        <v>2</v>
      </c>
      <c r="O3" s="1168" t="s">
        <v>2</v>
      </c>
      <c r="P3" s="1168" t="s">
        <v>2</v>
      </c>
      <c r="Q3" s="1265" t="s">
        <v>2</v>
      </c>
      <c r="R3" s="1265" t="s">
        <v>2</v>
      </c>
      <c r="S3" s="1167"/>
    </row>
    <row r="4" spans="1:30">
      <c r="A4" s="1211" t="s">
        <v>888</v>
      </c>
      <c r="B4" s="1170"/>
      <c r="C4" s="1170"/>
      <c r="D4" s="1170"/>
      <c r="E4" s="1170"/>
      <c r="F4" s="1170"/>
      <c r="G4" s="1223"/>
      <c r="H4" s="1170"/>
      <c r="I4" s="1170"/>
      <c r="J4" s="1264"/>
      <c r="K4" s="1223"/>
      <c r="L4" s="1170"/>
      <c r="M4" s="1170"/>
      <c r="N4" s="1263"/>
      <c r="O4" s="1262"/>
      <c r="P4" s="1262"/>
      <c r="Q4" s="1262"/>
      <c r="R4" s="1262"/>
      <c r="S4" s="1170"/>
      <c r="U4" s="83"/>
    </row>
    <row r="5" spans="1:30">
      <c r="A5" s="1260" t="s">
        <v>889</v>
      </c>
      <c r="B5" s="1489"/>
      <c r="C5" s="1489">
        <v>470911</v>
      </c>
      <c r="D5" s="1489">
        <v>852187</v>
      </c>
      <c r="E5" s="1489">
        <v>867292</v>
      </c>
      <c r="F5" s="1489">
        <f>1070193/2</f>
        <v>535096.5</v>
      </c>
      <c r="G5" s="1525">
        <f>696500/4</f>
        <v>174125</v>
      </c>
      <c r="H5" s="1500">
        <f>696500/4</f>
        <v>174125</v>
      </c>
      <c r="I5" s="1500">
        <f>696500/4</f>
        <v>174125</v>
      </c>
      <c r="J5" s="1526">
        <f>696500/4</f>
        <v>174125</v>
      </c>
      <c r="K5" s="1527">
        <f>745476/4</f>
        <v>186369</v>
      </c>
      <c r="L5" s="1458">
        <f>745476/4</f>
        <v>186369</v>
      </c>
      <c r="M5" s="1458">
        <f>745476/4</f>
        <v>186369</v>
      </c>
      <c r="N5" s="1528">
        <f>745476/4</f>
        <v>186369</v>
      </c>
      <c r="O5" s="1529">
        <f>+N5*4*1.03</f>
        <v>767840.28</v>
      </c>
      <c r="P5" s="1529">
        <f t="shared" ref="P5:R8" si="0">+O5*1.03</f>
        <v>790875.48840000003</v>
      </c>
      <c r="Q5" s="1529">
        <f t="shared" si="0"/>
        <v>814601.75305200007</v>
      </c>
      <c r="R5" s="1529">
        <f t="shared" si="0"/>
        <v>839039.80564356013</v>
      </c>
      <c r="S5" s="1129"/>
      <c r="T5" s="4"/>
      <c r="U5" s="742"/>
      <c r="Z5" s="1"/>
      <c r="AA5" s="1"/>
      <c r="AB5" s="1"/>
      <c r="AC5" s="1"/>
      <c r="AD5" s="1129"/>
    </row>
    <row r="6" spans="1:30">
      <c r="A6" s="1260" t="s">
        <v>890</v>
      </c>
      <c r="B6" s="1489"/>
      <c r="C6" s="1489"/>
      <c r="D6" s="1489"/>
      <c r="E6" s="1489">
        <v>0</v>
      </c>
      <c r="F6" s="1489">
        <v>535096.5</v>
      </c>
      <c r="G6" s="1525">
        <f>704168/4</f>
        <v>176042</v>
      </c>
      <c r="H6" s="1500">
        <f>704168/4</f>
        <v>176042</v>
      </c>
      <c r="I6" s="1500">
        <f>704168/4</f>
        <v>176042</v>
      </c>
      <c r="J6" s="1500">
        <f>704168/4</f>
        <v>176042</v>
      </c>
      <c r="K6" s="1530">
        <f>+J6*1.03</f>
        <v>181323.26</v>
      </c>
      <c r="L6" s="1489">
        <f>+K6</f>
        <v>181323.26</v>
      </c>
      <c r="M6" s="1489">
        <f>+L6</f>
        <v>181323.26</v>
      </c>
      <c r="N6" s="1531">
        <f>+M6</f>
        <v>181323.26</v>
      </c>
      <c r="O6" s="1529">
        <f>+N6*4*1.03</f>
        <v>747051.83120000002</v>
      </c>
      <c r="P6" s="1529">
        <f t="shared" si="0"/>
        <v>769463.38613600004</v>
      </c>
      <c r="Q6" s="1529">
        <f t="shared" si="0"/>
        <v>792547.28772008012</v>
      </c>
      <c r="R6" s="1529">
        <f t="shared" si="0"/>
        <v>816323.70635168254</v>
      </c>
      <c r="S6" s="1129"/>
      <c r="U6" s="742"/>
      <c r="X6" s="1129"/>
      <c r="Y6" s="1129"/>
      <c r="Z6" s="1129"/>
      <c r="AA6" s="1129"/>
      <c r="AB6" s="1129"/>
      <c r="AC6" s="1129"/>
      <c r="AD6" s="1129"/>
    </row>
    <row r="7" spans="1:30">
      <c r="A7" s="1260" t="s">
        <v>891</v>
      </c>
      <c r="B7" s="1489"/>
      <c r="C7" s="1489"/>
      <c r="D7" s="1489">
        <v>36235</v>
      </c>
      <c r="E7" s="1489">
        <v>422053</v>
      </c>
      <c r="F7" s="1489">
        <v>569458</v>
      </c>
      <c r="G7" s="1525">
        <f>644120/4</f>
        <v>161030</v>
      </c>
      <c r="H7" s="1500">
        <f>644120/4</f>
        <v>161030</v>
      </c>
      <c r="I7" s="1500">
        <f>644120/4</f>
        <v>161030</v>
      </c>
      <c r="J7" s="1526">
        <f>644120/4</f>
        <v>161030</v>
      </c>
      <c r="K7" s="1527">
        <f>834731/4</f>
        <v>208682.75</v>
      </c>
      <c r="L7" s="1458">
        <f>834731/4</f>
        <v>208682.75</v>
      </c>
      <c r="M7" s="1458">
        <f>834731/4</f>
        <v>208682.75</v>
      </c>
      <c r="N7" s="1528">
        <f>834731/4</f>
        <v>208682.75</v>
      </c>
      <c r="O7" s="1529">
        <f>+N7*4*1.03</f>
        <v>859772.93</v>
      </c>
      <c r="P7" s="1529">
        <f t="shared" si="0"/>
        <v>885566.11790000007</v>
      </c>
      <c r="Q7" s="1529">
        <f t="shared" si="0"/>
        <v>912133.10143700009</v>
      </c>
      <c r="R7" s="1529">
        <f t="shared" si="0"/>
        <v>939497.0944801101</v>
      </c>
      <c r="S7" s="1129"/>
      <c r="T7" s="29"/>
      <c r="U7" s="103"/>
      <c r="X7" s="1129"/>
      <c r="Y7" s="1"/>
      <c r="Z7" s="1"/>
      <c r="AA7" s="1"/>
      <c r="AB7" s="1"/>
      <c r="AC7" s="1"/>
      <c r="AD7" s="1129"/>
    </row>
    <row r="8" spans="1:30">
      <c r="A8" s="1260" t="s">
        <v>892</v>
      </c>
      <c r="B8" s="1489"/>
      <c r="C8" s="1489"/>
      <c r="D8" s="1489"/>
      <c r="E8" s="1489">
        <v>0</v>
      </c>
      <c r="F8" s="1489">
        <v>0</v>
      </c>
      <c r="G8" s="1525">
        <f>283311/4</f>
        <v>70827.75</v>
      </c>
      <c r="H8" s="1500">
        <f>283311/4</f>
        <v>70827.75</v>
      </c>
      <c r="I8" s="1500">
        <f>283311/4</f>
        <v>70827.75</v>
      </c>
      <c r="J8" s="1500">
        <f>283311/4</f>
        <v>70827.75</v>
      </c>
      <c r="K8" s="1530">
        <f>+J8*1.03</f>
        <v>72952.582500000004</v>
      </c>
      <c r="L8" s="1489">
        <f>+K8</f>
        <v>72952.582500000004</v>
      </c>
      <c r="M8" s="1489">
        <f>+L8</f>
        <v>72952.582500000004</v>
      </c>
      <c r="N8" s="1531">
        <f>+M8</f>
        <v>72952.582500000004</v>
      </c>
      <c r="O8" s="1529">
        <f>+N8*4*1.03</f>
        <v>300564.63990000001</v>
      </c>
      <c r="P8" s="1529">
        <f t="shared" si="0"/>
        <v>309581.57909700001</v>
      </c>
      <c r="Q8" s="1529">
        <f t="shared" si="0"/>
        <v>318869.02646990999</v>
      </c>
      <c r="R8" s="1529">
        <f t="shared" si="0"/>
        <v>328435.09726400732</v>
      </c>
      <c r="S8" s="1129"/>
      <c r="T8" s="29"/>
      <c r="U8" s="1101"/>
      <c r="X8" s="1129"/>
      <c r="Y8" s="1129"/>
      <c r="Z8" s="1129"/>
      <c r="AA8" s="1129"/>
      <c r="AB8" s="1129"/>
      <c r="AC8" s="1129"/>
      <c r="AD8" s="1129"/>
    </row>
    <row r="9" spans="1:30">
      <c r="A9" s="1260" t="s">
        <v>893</v>
      </c>
      <c r="B9" s="1489"/>
      <c r="C9" s="1489"/>
      <c r="D9" s="1489"/>
      <c r="E9" s="1489">
        <v>0</v>
      </c>
      <c r="F9" s="1489">
        <v>0</v>
      </c>
      <c r="G9" s="1530">
        <v>0</v>
      </c>
      <c r="H9" s="1489">
        <v>0</v>
      </c>
      <c r="I9" s="1489">
        <v>0</v>
      </c>
      <c r="J9" s="1489">
        <v>0</v>
      </c>
      <c r="K9" s="1530">
        <v>0</v>
      </c>
      <c r="L9" s="1458">
        <v>0</v>
      </c>
      <c r="M9" s="1458">
        <v>0</v>
      </c>
      <c r="N9" s="1528">
        <v>0</v>
      </c>
      <c r="O9" s="1529">
        <v>450000</v>
      </c>
      <c r="P9" s="1529">
        <v>1000000</v>
      </c>
      <c r="Q9" s="1529">
        <v>1214000</v>
      </c>
      <c r="R9" s="1529">
        <f>+Q9</f>
        <v>1214000</v>
      </c>
      <c r="S9" s="1129"/>
      <c r="T9" s="29"/>
      <c r="U9" s="1261"/>
      <c r="X9" s="1129"/>
      <c r="Y9" s="1129"/>
      <c r="Z9" s="1129"/>
      <c r="AA9" s="1"/>
      <c r="AB9" s="1"/>
      <c r="AC9" s="1"/>
      <c r="AD9" s="1129"/>
    </row>
    <row r="10" spans="1:30">
      <c r="A10" s="1260" t="s">
        <v>894</v>
      </c>
      <c r="B10" s="1489"/>
      <c r="C10" s="1489"/>
      <c r="D10" s="1489"/>
      <c r="E10" s="1489"/>
      <c r="F10" s="1489"/>
      <c r="G10" s="1530"/>
      <c r="H10" s="1489"/>
      <c r="I10" s="1489"/>
      <c r="J10" s="1489"/>
      <c r="K10" s="1530"/>
      <c r="L10" s="1458"/>
      <c r="M10" s="1458"/>
      <c r="N10" s="1528"/>
      <c r="O10" s="1529"/>
      <c r="P10" s="1529"/>
      <c r="Q10" s="1529">
        <v>696000</v>
      </c>
      <c r="R10" s="1529">
        <f>+Q10</f>
        <v>696000</v>
      </c>
      <c r="S10" s="1129"/>
      <c r="T10" s="29"/>
      <c r="U10" s="1261"/>
      <c r="X10" s="1129"/>
      <c r="Y10" s="1129"/>
      <c r="Z10" s="1129"/>
      <c r="AA10" s="1"/>
      <c r="AB10" s="1"/>
      <c r="AC10" s="1"/>
      <c r="AD10" s="1129"/>
    </row>
    <row r="11" spans="1:30">
      <c r="A11" s="1260" t="s">
        <v>318</v>
      </c>
      <c r="B11" s="1489"/>
      <c r="C11" s="1489"/>
      <c r="D11" s="1489"/>
      <c r="E11" s="1489">
        <v>0</v>
      </c>
      <c r="F11" s="1489">
        <v>0</v>
      </c>
      <c r="G11" s="1530">
        <v>0</v>
      </c>
      <c r="H11" s="1489">
        <v>0</v>
      </c>
      <c r="I11" s="1489">
        <v>0</v>
      </c>
      <c r="J11" s="1489">
        <v>0</v>
      </c>
      <c r="K11" s="1530">
        <v>0</v>
      </c>
      <c r="L11" s="1489">
        <v>0</v>
      </c>
      <c r="M11" s="1489">
        <v>0</v>
      </c>
      <c r="N11" s="1531">
        <v>0</v>
      </c>
      <c r="O11" s="1529">
        <v>0</v>
      </c>
      <c r="P11" s="1529">
        <v>0</v>
      </c>
      <c r="Q11" s="1529">
        <v>0</v>
      </c>
      <c r="R11" s="1529">
        <v>0</v>
      </c>
      <c r="S11" s="1129"/>
      <c r="T11" s="29"/>
      <c r="U11" s="1259"/>
      <c r="X11" s="1129"/>
      <c r="Y11" s="1129"/>
      <c r="Z11" s="1129"/>
      <c r="AA11" s="1129"/>
      <c r="AB11" s="1129"/>
      <c r="AC11" s="1129"/>
      <c r="AD11" s="1129"/>
    </row>
    <row r="12" spans="1:30">
      <c r="A12" s="1260" t="s">
        <v>230</v>
      </c>
      <c r="B12" s="1489"/>
      <c r="C12" s="1489"/>
      <c r="D12" s="1489"/>
      <c r="E12" s="1489">
        <v>0</v>
      </c>
      <c r="F12" s="1489">
        <v>0</v>
      </c>
      <c r="G12" s="1530">
        <v>0</v>
      </c>
      <c r="H12" s="1489">
        <v>0</v>
      </c>
      <c r="I12" s="1489">
        <v>0</v>
      </c>
      <c r="J12" s="1489">
        <v>0</v>
      </c>
      <c r="K12" s="1530">
        <v>0</v>
      </c>
      <c r="L12" s="1489"/>
      <c r="M12" s="1489"/>
      <c r="N12" s="1531"/>
      <c r="O12" s="1529"/>
      <c r="P12" s="1529"/>
      <c r="Q12" s="1529">
        <f>O5</f>
        <v>767840.28</v>
      </c>
      <c r="R12" s="1529">
        <f>P5</f>
        <v>790875.48840000003</v>
      </c>
      <c r="S12" s="1129"/>
      <c r="T12" s="29"/>
      <c r="U12" s="1259"/>
      <c r="V12" s="2"/>
      <c r="W12" s="2"/>
      <c r="X12" s="2"/>
      <c r="Y12" s="2"/>
      <c r="Z12" s="2"/>
      <c r="AA12" s="2"/>
      <c r="AB12" s="2"/>
      <c r="AC12" s="2"/>
      <c r="AD12" s="2"/>
    </row>
    <row r="13" spans="1:30">
      <c r="A13" s="1260" t="s">
        <v>232</v>
      </c>
      <c r="B13" s="1489"/>
      <c r="C13" s="1489"/>
      <c r="D13" s="1489"/>
      <c r="E13" s="1489"/>
      <c r="F13" s="1489"/>
      <c r="G13" s="1530"/>
      <c r="H13" s="1489"/>
      <c r="I13" s="1489"/>
      <c r="J13" s="1489"/>
      <c r="K13" s="1530"/>
      <c r="L13" s="1489"/>
      <c r="M13" s="1489"/>
      <c r="N13" s="1531">
        <v>500000</v>
      </c>
      <c r="O13" s="1529">
        <v>1000000</v>
      </c>
      <c r="P13" s="1529">
        <v>1000000</v>
      </c>
      <c r="Q13" s="1529">
        <v>1000000</v>
      </c>
      <c r="R13" s="1529">
        <v>1000000</v>
      </c>
      <c r="S13" s="1129"/>
      <c r="T13" s="29"/>
      <c r="U13" s="1259"/>
      <c r="V13" s="2"/>
      <c r="W13" s="2"/>
      <c r="X13" s="2"/>
      <c r="Y13" s="2"/>
      <c r="Z13" s="2"/>
      <c r="AA13" s="2"/>
      <c r="AB13" s="2"/>
      <c r="AC13" s="2"/>
      <c r="AD13" s="2"/>
    </row>
    <row r="14" spans="1:30">
      <c r="A14" s="1222" t="s">
        <v>233</v>
      </c>
      <c r="B14" s="1489"/>
      <c r="C14" s="1489"/>
      <c r="D14" s="1489"/>
      <c r="E14" s="1489"/>
      <c r="F14" s="1489"/>
      <c r="G14" s="1530"/>
      <c r="H14" s="1489"/>
      <c r="I14" s="1489"/>
      <c r="J14" s="1489"/>
      <c r="K14" s="1530"/>
      <c r="L14" s="1489"/>
      <c r="M14" s="1532"/>
      <c r="N14" s="1533"/>
      <c r="O14" s="1529"/>
      <c r="P14" s="1529"/>
      <c r="Q14" s="1529"/>
      <c r="R14" s="1529"/>
      <c r="S14" s="1129"/>
      <c r="T14" s="41"/>
      <c r="U14" s="41"/>
      <c r="Y14" s="2"/>
      <c r="Z14" s="2"/>
      <c r="AA14" s="2"/>
      <c r="AB14" s="2"/>
      <c r="AC14" s="2"/>
      <c r="AD14" s="2"/>
    </row>
    <row r="15" spans="1:30">
      <c r="A15" s="1243" t="s">
        <v>895</v>
      </c>
      <c r="B15" s="1202">
        <f t="shared" ref="B15:R15" si="1">SUM(B5:B14)</f>
        <v>0</v>
      </c>
      <c r="C15" s="1202">
        <f t="shared" si="1"/>
        <v>470911</v>
      </c>
      <c r="D15" s="1202">
        <f t="shared" si="1"/>
        <v>888422</v>
      </c>
      <c r="E15" s="1202">
        <f t="shared" si="1"/>
        <v>1289345</v>
      </c>
      <c r="F15" s="1202">
        <f t="shared" si="1"/>
        <v>1639651</v>
      </c>
      <c r="G15" s="1202">
        <f t="shared" si="1"/>
        <v>582024.75</v>
      </c>
      <c r="H15" s="1202">
        <f t="shared" si="1"/>
        <v>582024.75</v>
      </c>
      <c r="I15" s="1202">
        <f t="shared" si="1"/>
        <v>582024.75</v>
      </c>
      <c r="J15" s="1202">
        <f t="shared" si="1"/>
        <v>582024.75</v>
      </c>
      <c r="K15" s="1202">
        <f t="shared" si="1"/>
        <v>649327.59250000003</v>
      </c>
      <c r="L15" s="1202">
        <f t="shared" si="1"/>
        <v>649327.59250000003</v>
      </c>
      <c r="M15" s="1202">
        <f t="shared" si="1"/>
        <v>649327.59250000003</v>
      </c>
      <c r="N15" s="1202">
        <f t="shared" si="1"/>
        <v>1149327.5925</v>
      </c>
      <c r="O15" s="1202">
        <f t="shared" si="1"/>
        <v>4125229.6811000002</v>
      </c>
      <c r="P15" s="1202">
        <f t="shared" si="1"/>
        <v>4755486.5715330001</v>
      </c>
      <c r="Q15" s="1202">
        <f t="shared" si="1"/>
        <v>6515991.4486789899</v>
      </c>
      <c r="R15" s="1202">
        <f t="shared" si="1"/>
        <v>6624171.1921393601</v>
      </c>
      <c r="S15" s="1199"/>
      <c r="T15" s="1246"/>
      <c r="U15" s="41"/>
    </row>
    <row r="16" spans="1:30">
      <c r="A16" s="1211"/>
      <c r="B16" s="1199"/>
      <c r="C16" s="1199"/>
      <c r="D16" s="1199"/>
      <c r="E16" s="1199"/>
      <c r="F16" s="1199"/>
      <c r="G16" s="1199"/>
      <c r="H16" s="1199"/>
      <c r="I16" s="1199"/>
      <c r="J16" s="1199"/>
      <c r="K16" s="1199"/>
      <c r="L16" s="1199"/>
      <c r="M16" s="1199"/>
      <c r="N16" s="1199"/>
      <c r="O16" s="1199"/>
      <c r="P16" s="1199"/>
      <c r="Q16" s="1199"/>
      <c r="R16" s="1199"/>
      <c r="S16" s="1199"/>
      <c r="T16" s="1246"/>
      <c r="U16" s="41"/>
    </row>
    <row r="17" spans="1:45">
      <c r="A17" s="1231" t="s">
        <v>896</v>
      </c>
      <c r="B17" s="1489"/>
      <c r="C17" s="1489"/>
      <c r="D17" s="1489"/>
      <c r="E17" s="1489"/>
      <c r="F17" s="1489"/>
      <c r="G17" s="1489">
        <f>-G8</f>
        <v>-70827.75</v>
      </c>
      <c r="H17" s="1489">
        <f>-H8</f>
        <v>-70827.75</v>
      </c>
      <c r="I17" s="1489">
        <f>-I8</f>
        <v>-70827.75</v>
      </c>
      <c r="J17" s="1489">
        <f>-J8-111350</f>
        <v>-182177.75</v>
      </c>
      <c r="K17" s="1489">
        <v>-649328</v>
      </c>
      <c r="L17" s="1489">
        <f>-L6-L8</f>
        <v>-254275.84250000003</v>
      </c>
      <c r="M17" s="1489">
        <f>-M6-M8</f>
        <v>-254275.84250000003</v>
      </c>
      <c r="N17" s="1489">
        <f>-N6-N8-N13</f>
        <v>-754275.84250000003</v>
      </c>
      <c r="O17" s="1489">
        <f>-O6-O8-O13</f>
        <v>-2047616.4711</v>
      </c>
      <c r="P17" s="1489">
        <f>-P6-P8</f>
        <v>-1079044.965233</v>
      </c>
      <c r="Q17" s="1489">
        <f>-Q6-Q8</f>
        <v>-1111416.3141899901</v>
      </c>
      <c r="R17" s="1489"/>
      <c r="S17" s="1129"/>
      <c r="T17" s="41"/>
      <c r="U17" s="41"/>
    </row>
    <row r="18" spans="1:45">
      <c r="A18" s="1231"/>
      <c r="B18" s="1225"/>
      <c r="C18" s="1225"/>
      <c r="D18" s="1225"/>
      <c r="E18" s="1225"/>
      <c r="F18" s="1225"/>
      <c r="G18" s="1225"/>
      <c r="H18" s="1225"/>
      <c r="I18" s="1225"/>
      <c r="J18" s="1225"/>
      <c r="K18" s="1225"/>
      <c r="L18" s="1225"/>
      <c r="M18" s="1225"/>
      <c r="N18" s="1225"/>
      <c r="O18" s="1225"/>
      <c r="P18" s="1225"/>
      <c r="Q18" s="1225"/>
      <c r="R18" s="1225"/>
      <c r="S18" s="1129"/>
      <c r="T18" s="41"/>
      <c r="U18" s="41"/>
    </row>
    <row r="19" spans="1:45" s="29" customFormat="1">
      <c r="A19" s="1231" t="s">
        <v>897</v>
      </c>
      <c r="B19" s="1129"/>
      <c r="C19" s="1129"/>
      <c r="D19" s="1129"/>
      <c r="E19" s="1129"/>
      <c r="F19" s="1129"/>
      <c r="G19" s="1129">
        <f t="shared" ref="G19:R19" si="2">+G17+F19+G20</f>
        <v>-70827.75</v>
      </c>
      <c r="H19" s="1129">
        <f t="shared" si="2"/>
        <v>-141655.5</v>
      </c>
      <c r="I19" s="1129">
        <f t="shared" si="2"/>
        <v>-212483.25</v>
      </c>
      <c r="J19" s="1239">
        <f t="shared" si="2"/>
        <v>-394661</v>
      </c>
      <c r="K19" s="1129">
        <f t="shared" si="2"/>
        <v>-993989</v>
      </c>
      <c r="L19" s="1129">
        <f t="shared" si="2"/>
        <v>-1001395.0925</v>
      </c>
      <c r="M19" s="1129">
        <f t="shared" si="2"/>
        <v>-1008801.1850000001</v>
      </c>
      <c r="N19" s="1129">
        <f t="shared" si="2"/>
        <v>-516207.27750000008</v>
      </c>
      <c r="O19" s="1129">
        <f t="shared" si="2"/>
        <v>-1546720.3785999999</v>
      </c>
      <c r="P19" s="1129">
        <f t="shared" si="2"/>
        <v>-1578148.872733</v>
      </c>
      <c r="Q19" s="1129">
        <f t="shared" si="2"/>
        <v>-610520.22168998979</v>
      </c>
      <c r="R19" s="1129">
        <f t="shared" si="2"/>
        <v>0</v>
      </c>
      <c r="T19" s="41"/>
    </row>
    <row r="20" spans="1:45">
      <c r="A20" s="1237" t="s">
        <v>898</v>
      </c>
      <c r="B20" s="1534"/>
      <c r="C20" s="1534"/>
      <c r="D20" s="1534"/>
      <c r="E20" s="1534"/>
      <c r="F20" s="1534"/>
      <c r="G20" s="1534"/>
      <c r="H20" s="1534"/>
      <c r="I20" s="1534"/>
      <c r="J20" s="1535"/>
      <c r="K20" s="1535">
        <v>50000</v>
      </c>
      <c r="L20" s="1535">
        <f>+H6+H8</f>
        <v>246869.75</v>
      </c>
      <c r="M20" s="1535">
        <f>+I6+I8</f>
        <v>246869.75</v>
      </c>
      <c r="N20" s="1535">
        <f>+J6+J8+1000000</f>
        <v>1246869.75</v>
      </c>
      <c r="O20" s="1536">
        <f>SUM(K6:N6)+SUM(K8:N8)</f>
        <v>1017103.3700000001</v>
      </c>
      <c r="P20" s="1536">
        <f>+O6+O8</f>
        <v>1047616.4711</v>
      </c>
      <c r="Q20" s="1458">
        <f>+P6+P8+O13</f>
        <v>2079044.965233</v>
      </c>
      <c r="R20" s="1458">
        <f>-Q19</f>
        <v>610520.22168998979</v>
      </c>
      <c r="T20" s="41"/>
      <c r="U20" s="41"/>
    </row>
    <row r="21" spans="1:45">
      <c r="A21" s="1237" t="s">
        <v>899</v>
      </c>
      <c r="B21" s="1234">
        <f t="shared" ref="B21:R21" si="3">+B15+B17</f>
        <v>0</v>
      </c>
      <c r="C21" s="1234">
        <f t="shared" si="3"/>
        <v>470911</v>
      </c>
      <c r="D21" s="1234">
        <f t="shared" si="3"/>
        <v>888422</v>
      </c>
      <c r="E21" s="1234">
        <f t="shared" si="3"/>
        <v>1289345</v>
      </c>
      <c r="F21" s="1234">
        <f t="shared" si="3"/>
        <v>1639651</v>
      </c>
      <c r="G21" s="1234">
        <f t="shared" si="3"/>
        <v>511197</v>
      </c>
      <c r="H21" s="1234">
        <f t="shared" si="3"/>
        <v>511197</v>
      </c>
      <c r="I21" s="1234">
        <f t="shared" si="3"/>
        <v>511197</v>
      </c>
      <c r="J21" s="1234">
        <f t="shared" si="3"/>
        <v>399847</v>
      </c>
      <c r="K21" s="1234">
        <f t="shared" si="3"/>
        <v>-0.40749999997206032</v>
      </c>
      <c r="L21" s="1234">
        <f t="shared" si="3"/>
        <v>395051.75</v>
      </c>
      <c r="M21" s="1234">
        <f t="shared" si="3"/>
        <v>395051.75</v>
      </c>
      <c r="N21" s="1234">
        <f t="shared" si="3"/>
        <v>395051.75</v>
      </c>
      <c r="O21" s="131">
        <f t="shared" si="3"/>
        <v>2077613.2100000002</v>
      </c>
      <c r="P21" s="131">
        <f t="shared" si="3"/>
        <v>3676441.6063000001</v>
      </c>
      <c r="Q21" s="131">
        <f t="shared" si="3"/>
        <v>5404575.1344889998</v>
      </c>
      <c r="R21" s="131">
        <f t="shared" si="3"/>
        <v>6624171.1921393601</v>
      </c>
      <c r="T21" s="41"/>
      <c r="U21" s="41"/>
    </row>
    <row r="22" spans="1:45">
      <c r="A22" s="1233" t="s">
        <v>900</v>
      </c>
      <c r="B22" s="1232">
        <f t="shared" ref="B22:R22" si="4">+B20+B21</f>
        <v>0</v>
      </c>
      <c r="C22" s="1232">
        <f t="shared" si="4"/>
        <v>470911</v>
      </c>
      <c r="D22" s="1232">
        <f t="shared" si="4"/>
        <v>888422</v>
      </c>
      <c r="E22" s="1232">
        <f t="shared" si="4"/>
        <v>1289345</v>
      </c>
      <c r="F22" s="1232">
        <f t="shared" si="4"/>
        <v>1639651</v>
      </c>
      <c r="G22" s="1232">
        <f t="shared" si="4"/>
        <v>511197</v>
      </c>
      <c r="H22" s="1232">
        <f t="shared" si="4"/>
        <v>511197</v>
      </c>
      <c r="I22" s="1232">
        <f t="shared" si="4"/>
        <v>511197</v>
      </c>
      <c r="J22" s="1232">
        <f t="shared" si="4"/>
        <v>399847</v>
      </c>
      <c r="K22" s="1232">
        <f t="shared" si="4"/>
        <v>49999.592500000028</v>
      </c>
      <c r="L22" s="1232">
        <f t="shared" si="4"/>
        <v>641921.5</v>
      </c>
      <c r="M22" s="1232">
        <f t="shared" si="4"/>
        <v>641921.5</v>
      </c>
      <c r="N22" s="1232">
        <f t="shared" si="4"/>
        <v>1641921.5</v>
      </c>
      <c r="O22" s="137">
        <f t="shared" si="4"/>
        <v>3094716.58</v>
      </c>
      <c r="P22" s="137">
        <f t="shared" si="4"/>
        <v>4724058.0773999998</v>
      </c>
      <c r="Q22" s="137">
        <f t="shared" si="4"/>
        <v>7483620.0997219998</v>
      </c>
      <c r="R22" s="137">
        <f t="shared" si="4"/>
        <v>7234691.4138293499</v>
      </c>
      <c r="T22" s="41"/>
      <c r="U22" s="41"/>
    </row>
    <row r="23" spans="1:45">
      <c r="A23" s="1170"/>
      <c r="B23" s="1129"/>
      <c r="C23" s="1129"/>
      <c r="D23" s="1129"/>
      <c r="E23" s="1129"/>
      <c r="F23" s="1129"/>
      <c r="G23" s="1129"/>
      <c r="H23" s="1129"/>
      <c r="I23" s="1129"/>
      <c r="J23" s="1129"/>
      <c r="K23" s="1129"/>
      <c r="L23" s="1129"/>
      <c r="M23" s="1129"/>
      <c r="N23" s="1129"/>
      <c r="O23" s="1129"/>
      <c r="P23" s="1129"/>
      <c r="Q23" s="1129"/>
      <c r="R23" s="1129"/>
      <c r="S23" s="1129"/>
      <c r="T23" s="1249"/>
      <c r="U23" s="41"/>
    </row>
    <row r="24" spans="1:45">
      <c r="A24" s="1242" t="s">
        <v>901</v>
      </c>
      <c r="B24" s="1129"/>
      <c r="C24" s="1129"/>
      <c r="D24" s="1129"/>
      <c r="E24" s="1129"/>
      <c r="F24" s="1129"/>
      <c r="G24" s="1129"/>
      <c r="H24" s="1129"/>
      <c r="I24" s="1129"/>
      <c r="J24" s="1129"/>
      <c r="K24" s="1214"/>
      <c r="L24" s="1214"/>
      <c r="M24" s="1214"/>
      <c r="N24" s="1214"/>
      <c r="O24" s="1214"/>
      <c r="P24" s="1214"/>
      <c r="Q24" s="1214"/>
      <c r="R24" s="1214"/>
      <c r="T24" s="41"/>
      <c r="AE24" s="1"/>
      <c r="AF24" s="1"/>
      <c r="AG24" s="1"/>
      <c r="AH24" s="1"/>
      <c r="AI24" s="1"/>
      <c r="AJ24" s="1"/>
      <c r="AK24" s="1"/>
      <c r="AM24" s="1"/>
      <c r="AN24" s="1"/>
      <c r="AO24" s="1"/>
      <c r="AP24" s="1"/>
      <c r="AQ24" s="1"/>
      <c r="AR24" s="1"/>
      <c r="AS24" s="1"/>
    </row>
    <row r="25" spans="1:45">
      <c r="A25" s="1146" t="s">
        <v>317</v>
      </c>
      <c r="B25" s="1489">
        <v>0</v>
      </c>
      <c r="C25" s="1489">
        <v>0</v>
      </c>
      <c r="D25" s="1489">
        <v>0</v>
      </c>
      <c r="E25" s="1489">
        <v>0</v>
      </c>
      <c r="F25" s="1489">
        <v>0</v>
      </c>
      <c r="G25" s="1495">
        <v>0</v>
      </c>
      <c r="H25" s="1489">
        <v>0</v>
      </c>
      <c r="I25" s="1489">
        <v>0</v>
      </c>
      <c r="J25" s="1494">
        <v>0</v>
      </c>
      <c r="K25" s="1495">
        <v>0</v>
      </c>
      <c r="L25" s="1489">
        <v>0</v>
      </c>
      <c r="M25" s="1489">
        <v>0</v>
      </c>
      <c r="N25" s="1494">
        <v>0</v>
      </c>
      <c r="O25" s="1496">
        <v>0</v>
      </c>
      <c r="P25" s="1496">
        <v>0</v>
      </c>
      <c r="Q25" s="1496">
        <v>0</v>
      </c>
      <c r="R25" s="1496">
        <v>0</v>
      </c>
      <c r="T25" s="41"/>
      <c r="AE25" s="1"/>
      <c r="AF25" s="1"/>
      <c r="AG25" s="1"/>
      <c r="AH25" s="1"/>
      <c r="AI25" s="1"/>
      <c r="AJ25" s="1"/>
      <c r="AK25" s="1"/>
      <c r="AM25" s="1"/>
      <c r="AN25" s="1"/>
      <c r="AO25" s="1"/>
      <c r="AP25" s="1"/>
      <c r="AQ25" s="1"/>
      <c r="AR25" s="1"/>
      <c r="AS25" s="1"/>
    </row>
    <row r="26" spans="1:45">
      <c r="A26" s="1146" t="s">
        <v>902</v>
      </c>
      <c r="B26" s="1489">
        <v>0</v>
      </c>
      <c r="C26" s="1489">
        <v>0</v>
      </c>
      <c r="D26" s="1489">
        <v>0</v>
      </c>
      <c r="E26" s="1489">
        <v>0</v>
      </c>
      <c r="F26" s="1489">
        <v>0</v>
      </c>
      <c r="G26" s="1495">
        <v>0</v>
      </c>
      <c r="H26" s="1489">
        <v>0</v>
      </c>
      <c r="I26" s="1489">
        <v>0</v>
      </c>
      <c r="J26" s="1494">
        <v>0</v>
      </c>
      <c r="K26" s="1495">
        <v>0</v>
      </c>
      <c r="L26" s="1489">
        <v>0</v>
      </c>
      <c r="M26" s="1489">
        <v>0</v>
      </c>
      <c r="N26" s="1494">
        <v>0</v>
      </c>
      <c r="O26" s="1496">
        <v>0</v>
      </c>
      <c r="P26" s="1496">
        <v>0</v>
      </c>
      <c r="Q26" s="1496">
        <v>0</v>
      </c>
      <c r="R26" s="1496">
        <v>0</v>
      </c>
      <c r="T26" s="41"/>
      <c r="AE26" s="1"/>
      <c r="AF26" s="1"/>
      <c r="AG26" s="1"/>
      <c r="AH26" s="1"/>
      <c r="AI26" s="1"/>
      <c r="AJ26" s="1"/>
      <c r="AK26" s="1"/>
      <c r="AM26" s="1"/>
      <c r="AN26" s="1"/>
      <c r="AO26" s="1"/>
      <c r="AP26" s="1"/>
      <c r="AQ26" s="1"/>
      <c r="AR26" s="1"/>
      <c r="AS26" s="1"/>
    </row>
    <row r="27" spans="1:45">
      <c r="A27" s="1146" t="s">
        <v>229</v>
      </c>
      <c r="B27" s="1489">
        <v>0</v>
      </c>
      <c r="C27" s="1489">
        <v>0</v>
      </c>
      <c r="D27" s="1489">
        <v>0</v>
      </c>
      <c r="E27" s="1489">
        <v>0</v>
      </c>
      <c r="F27" s="1489">
        <v>0</v>
      </c>
      <c r="G27" s="1495">
        <v>0</v>
      </c>
      <c r="H27" s="1489">
        <v>0</v>
      </c>
      <c r="I27" s="1489">
        <v>0</v>
      </c>
      <c r="J27" s="1494">
        <v>0</v>
      </c>
      <c r="K27" s="1495">
        <v>0</v>
      </c>
      <c r="L27" s="1489">
        <v>0</v>
      </c>
      <c r="M27" s="1489">
        <v>0</v>
      </c>
      <c r="N27" s="1494">
        <v>0</v>
      </c>
      <c r="O27" s="1496">
        <v>0</v>
      </c>
      <c r="P27" s="1496">
        <v>0</v>
      </c>
      <c r="Q27" s="1496">
        <v>0</v>
      </c>
      <c r="R27" s="1496">
        <v>0</v>
      </c>
      <c r="T27" s="41"/>
      <c r="AE27" s="1"/>
      <c r="AF27" s="1"/>
      <c r="AG27" s="1"/>
      <c r="AH27" s="1"/>
      <c r="AI27" s="1"/>
      <c r="AJ27" s="1"/>
      <c r="AK27" s="1"/>
      <c r="AM27" s="1"/>
      <c r="AN27" s="1"/>
      <c r="AO27" s="1"/>
      <c r="AP27" s="1"/>
      <c r="AQ27" s="1"/>
      <c r="AR27" s="1"/>
      <c r="AS27" s="1"/>
    </row>
    <row r="28" spans="1:45">
      <c r="A28" s="1146" t="s">
        <v>903</v>
      </c>
      <c r="B28" s="1489">
        <v>0</v>
      </c>
      <c r="C28" s="1489">
        <v>0</v>
      </c>
      <c r="D28" s="1489">
        <v>0</v>
      </c>
      <c r="E28" s="1489">
        <v>0</v>
      </c>
      <c r="F28" s="1489">
        <v>0</v>
      </c>
      <c r="G28" s="1495">
        <v>0</v>
      </c>
      <c r="H28" s="1489">
        <v>0</v>
      </c>
      <c r="I28" s="1489">
        <v>0</v>
      </c>
      <c r="J28" s="1494">
        <v>0</v>
      </c>
      <c r="K28" s="1495">
        <v>0</v>
      </c>
      <c r="L28" s="1489">
        <v>0</v>
      </c>
      <c r="M28" s="1489">
        <v>0</v>
      </c>
      <c r="N28" s="1494">
        <v>0</v>
      </c>
      <c r="O28" s="1496">
        <v>0</v>
      </c>
      <c r="P28" s="1496">
        <v>0</v>
      </c>
      <c r="Q28" s="1496">
        <v>0</v>
      </c>
      <c r="R28" s="1496">
        <v>0</v>
      </c>
      <c r="T28" s="41"/>
      <c r="AE28" s="1"/>
      <c r="AF28" s="1"/>
      <c r="AG28" s="1"/>
      <c r="AH28" s="1"/>
      <c r="AI28" s="1"/>
      <c r="AJ28" s="1"/>
      <c r="AK28" s="1"/>
      <c r="AM28" s="1"/>
      <c r="AN28" s="1"/>
      <c r="AO28" s="1"/>
      <c r="AP28" s="1"/>
      <c r="AQ28" s="1"/>
      <c r="AR28" s="1"/>
      <c r="AS28" s="1"/>
    </row>
    <row r="29" spans="1:45">
      <c r="A29" s="1146" t="s">
        <v>137</v>
      </c>
      <c r="B29" s="1489">
        <v>0</v>
      </c>
      <c r="C29" s="1489">
        <v>0</v>
      </c>
      <c r="D29" s="1489">
        <v>0</v>
      </c>
      <c r="E29" s="1489">
        <v>0</v>
      </c>
      <c r="F29" s="1489">
        <v>0</v>
      </c>
      <c r="G29" s="1495">
        <v>0</v>
      </c>
      <c r="H29" s="1489">
        <v>0</v>
      </c>
      <c r="I29" s="1489">
        <v>0</v>
      </c>
      <c r="J29" s="1494">
        <v>0</v>
      </c>
      <c r="K29" s="1495">
        <v>0</v>
      </c>
      <c r="L29" s="1489">
        <v>0</v>
      </c>
      <c r="M29" s="1489">
        <v>0</v>
      </c>
      <c r="N29" s="1494">
        <v>0</v>
      </c>
      <c r="O29" s="1496">
        <v>0</v>
      </c>
      <c r="P29" s="1496">
        <v>0</v>
      </c>
      <c r="Q29" s="1496">
        <v>0</v>
      </c>
      <c r="R29" s="1496">
        <v>0</v>
      </c>
      <c r="T29" s="41"/>
      <c r="AE29" s="1"/>
      <c r="AF29" s="1"/>
      <c r="AG29" s="1"/>
      <c r="AH29" s="1"/>
      <c r="AI29" s="1"/>
      <c r="AJ29" s="1"/>
      <c r="AK29" s="1"/>
      <c r="AM29" s="1"/>
      <c r="AN29" s="1"/>
      <c r="AO29" s="1"/>
      <c r="AP29" s="1"/>
      <c r="AQ29" s="1"/>
      <c r="AR29" s="1"/>
      <c r="AS29" s="1"/>
    </row>
    <row r="30" spans="1:45">
      <c r="A30" s="1146" t="s">
        <v>232</v>
      </c>
      <c r="B30" s="1489">
        <v>0</v>
      </c>
      <c r="C30" s="1489">
        <v>0</v>
      </c>
      <c r="D30" s="1489">
        <v>0</v>
      </c>
      <c r="E30" s="1489">
        <v>0</v>
      </c>
      <c r="F30" s="1489">
        <v>0</v>
      </c>
      <c r="G30" s="1495">
        <v>0</v>
      </c>
      <c r="H30" s="1489">
        <v>0</v>
      </c>
      <c r="I30" s="1489">
        <v>0</v>
      </c>
      <c r="J30" s="1494">
        <v>0</v>
      </c>
      <c r="K30" s="1495">
        <v>0</v>
      </c>
      <c r="L30" s="1489">
        <v>0</v>
      </c>
      <c r="M30" s="1489">
        <v>0</v>
      </c>
      <c r="N30" s="1494">
        <v>0</v>
      </c>
      <c r="O30" s="1496">
        <v>0</v>
      </c>
      <c r="P30" s="1496">
        <v>0</v>
      </c>
      <c r="Q30" s="1496">
        <v>0</v>
      </c>
      <c r="R30" s="1496">
        <v>0</v>
      </c>
      <c r="T30" s="41"/>
      <c r="AE30" s="1"/>
      <c r="AF30" s="1"/>
      <c r="AG30" s="1"/>
      <c r="AH30" s="1"/>
      <c r="AI30" s="1"/>
      <c r="AJ30" s="1"/>
      <c r="AK30" s="1"/>
      <c r="AM30" s="1"/>
      <c r="AN30" s="1"/>
      <c r="AO30" s="1"/>
      <c r="AP30" s="1"/>
      <c r="AQ30" s="1"/>
      <c r="AR30" s="1"/>
      <c r="AS30" s="1"/>
    </row>
    <row r="31" spans="1:45">
      <c r="A31" s="1146" t="s">
        <v>233</v>
      </c>
      <c r="B31" s="1489">
        <v>0</v>
      </c>
      <c r="C31" s="1489">
        <v>0</v>
      </c>
      <c r="D31" s="1489">
        <v>0</v>
      </c>
      <c r="E31" s="1489">
        <v>0</v>
      </c>
      <c r="F31" s="1489">
        <v>0</v>
      </c>
      <c r="G31" s="1495">
        <v>0</v>
      </c>
      <c r="H31" s="1489">
        <v>0</v>
      </c>
      <c r="I31" s="1489">
        <v>0</v>
      </c>
      <c r="J31" s="1494">
        <v>0</v>
      </c>
      <c r="K31" s="1495">
        <v>0</v>
      </c>
      <c r="L31" s="1489">
        <v>0</v>
      </c>
      <c r="M31" s="1489">
        <v>0</v>
      </c>
      <c r="N31" s="1494">
        <v>0</v>
      </c>
      <c r="O31" s="1496">
        <v>0</v>
      </c>
      <c r="P31" s="1496">
        <v>0</v>
      </c>
      <c r="Q31" s="1496">
        <v>0</v>
      </c>
      <c r="R31" s="1496">
        <v>0</v>
      </c>
      <c r="T31" s="41"/>
      <c r="AE31" s="1"/>
      <c r="AF31" s="1"/>
      <c r="AG31" s="1"/>
      <c r="AH31" s="1"/>
      <c r="AI31" s="1"/>
      <c r="AJ31" s="1"/>
      <c r="AK31" s="1"/>
      <c r="AM31" s="1"/>
      <c r="AN31" s="1"/>
      <c r="AO31" s="1"/>
      <c r="AP31" s="1"/>
      <c r="AQ31" s="1"/>
      <c r="AR31" s="1"/>
      <c r="AS31" s="1"/>
    </row>
    <row r="32" spans="1:45">
      <c r="A32" s="1255" t="s">
        <v>904</v>
      </c>
      <c r="B32" s="1202">
        <f t="shared" ref="B32:R32" si="5">SUM(B25:B31)</f>
        <v>0</v>
      </c>
      <c r="C32" s="1202">
        <f t="shared" si="5"/>
        <v>0</v>
      </c>
      <c r="D32" s="1202">
        <f t="shared" si="5"/>
        <v>0</v>
      </c>
      <c r="E32" s="1202">
        <f t="shared" si="5"/>
        <v>0</v>
      </c>
      <c r="F32" s="1202">
        <f t="shared" si="5"/>
        <v>0</v>
      </c>
      <c r="G32" s="1254">
        <f t="shared" si="5"/>
        <v>0</v>
      </c>
      <c r="H32" s="1202">
        <f t="shared" si="5"/>
        <v>0</v>
      </c>
      <c r="I32" s="1202">
        <f t="shared" si="5"/>
        <v>0</v>
      </c>
      <c r="J32" s="1253">
        <f t="shared" si="5"/>
        <v>0</v>
      </c>
      <c r="K32" s="1254">
        <f t="shared" si="5"/>
        <v>0</v>
      </c>
      <c r="L32" s="1202">
        <f t="shared" si="5"/>
        <v>0</v>
      </c>
      <c r="M32" s="1202">
        <f t="shared" si="5"/>
        <v>0</v>
      </c>
      <c r="N32" s="1253">
        <f t="shared" si="5"/>
        <v>0</v>
      </c>
      <c r="O32" s="1252">
        <f t="shared" si="5"/>
        <v>0</v>
      </c>
      <c r="P32" s="1252">
        <f t="shared" si="5"/>
        <v>0</v>
      </c>
      <c r="Q32" s="1252">
        <f t="shared" si="5"/>
        <v>0</v>
      </c>
      <c r="R32" s="1252">
        <f t="shared" si="5"/>
        <v>0</v>
      </c>
      <c r="T32" s="41"/>
      <c r="AE32" s="1"/>
      <c r="AF32" s="1"/>
      <c r="AG32" s="1"/>
      <c r="AH32" s="1"/>
      <c r="AI32" s="1"/>
      <c r="AJ32" s="1"/>
      <c r="AK32" s="1"/>
      <c r="AM32" s="1"/>
      <c r="AN32" s="1"/>
      <c r="AO32" s="1"/>
      <c r="AP32" s="1"/>
      <c r="AQ32" s="1"/>
      <c r="AR32" s="1"/>
      <c r="AS32" s="1"/>
    </row>
    <row r="33" spans="1:31">
      <c r="A33" s="1248"/>
      <c r="B33" s="1129"/>
      <c r="C33" s="1129"/>
      <c r="D33" s="1129"/>
      <c r="E33" s="1129"/>
      <c r="F33" s="1129"/>
      <c r="G33" s="1129"/>
      <c r="H33" s="1129"/>
      <c r="I33" s="1129"/>
      <c r="J33" s="1129"/>
      <c r="K33" s="1129"/>
      <c r="L33" s="1129"/>
      <c r="M33" s="1129"/>
      <c r="N33" s="1129"/>
      <c r="O33" s="1129"/>
      <c r="P33" s="1129"/>
      <c r="Q33" s="1129"/>
      <c r="R33" s="1129"/>
      <c r="S33" s="1129"/>
      <c r="T33" s="1249"/>
      <c r="U33" s="41"/>
    </row>
    <row r="34" spans="1:31">
      <c r="A34" s="1250" t="s">
        <v>905</v>
      </c>
      <c r="B34" s="1251">
        <v>1.05</v>
      </c>
      <c r="C34" s="1251">
        <v>1.05</v>
      </c>
      <c r="D34" s="1251">
        <v>1.05</v>
      </c>
      <c r="E34" s="1251">
        <v>1.05</v>
      </c>
      <c r="F34" s="1874">
        <v>1.05</v>
      </c>
      <c r="G34" s="1874">
        <v>0</v>
      </c>
      <c r="H34" s="1874">
        <v>0</v>
      </c>
      <c r="I34" s="1874">
        <v>0</v>
      </c>
      <c r="J34" s="1874">
        <v>0</v>
      </c>
      <c r="K34" s="1874">
        <v>1.05</v>
      </c>
      <c r="L34" s="1874">
        <v>1.05</v>
      </c>
      <c r="M34" s="1874">
        <v>1.05</v>
      </c>
      <c r="N34" s="1874">
        <v>1.05</v>
      </c>
      <c r="O34" s="1874">
        <v>1.05</v>
      </c>
      <c r="P34" s="1874">
        <v>1.05</v>
      </c>
      <c r="Q34" s="1874">
        <v>1.05</v>
      </c>
      <c r="R34" s="1874">
        <v>1.05</v>
      </c>
      <c r="S34" s="1129"/>
      <c r="T34" s="1249"/>
      <c r="U34" s="41"/>
    </row>
    <row r="35" spans="1:31">
      <c r="A35" s="1250" t="s">
        <v>906</v>
      </c>
      <c r="B35" s="1129">
        <f t="shared" ref="B35:R35" si="6">SUMPRODUCT($C$91:$C$99,B$91:B$99)</f>
        <v>475000</v>
      </c>
      <c r="C35" s="1129">
        <f t="shared" si="6"/>
        <v>5</v>
      </c>
      <c r="D35" s="1129">
        <f t="shared" si="6"/>
        <v>0</v>
      </c>
      <c r="E35" s="1129">
        <f t="shared" si="6"/>
        <v>0</v>
      </c>
      <c r="F35" s="1129">
        <f t="shared" si="6"/>
        <v>0</v>
      </c>
      <c r="G35" s="1129">
        <f t="shared" si="6"/>
        <v>118750</v>
      </c>
      <c r="H35" s="1129">
        <f t="shared" si="6"/>
        <v>118750</v>
      </c>
      <c r="I35" s="1129">
        <f t="shared" si="6"/>
        <v>118750</v>
      </c>
      <c r="J35" s="1129">
        <f t="shared" si="6"/>
        <v>118750</v>
      </c>
      <c r="K35" s="1129">
        <f t="shared" si="6"/>
        <v>196250</v>
      </c>
      <c r="L35" s="1129">
        <f t="shared" si="6"/>
        <v>223125</v>
      </c>
      <c r="M35" s="1129">
        <f t="shared" si="6"/>
        <v>250000</v>
      </c>
      <c r="N35" s="1129">
        <f t="shared" si="6"/>
        <v>250000</v>
      </c>
      <c r="O35" s="1129">
        <f t="shared" si="6"/>
        <v>1050000</v>
      </c>
      <c r="P35" s="1129">
        <f t="shared" si="6"/>
        <v>1102500</v>
      </c>
      <c r="Q35" s="1129">
        <f t="shared" si="6"/>
        <v>1157625</v>
      </c>
      <c r="R35" s="1129">
        <f t="shared" si="6"/>
        <v>1215506.25</v>
      </c>
      <c r="S35" s="1129"/>
      <c r="T35" s="41"/>
      <c r="U35" s="41"/>
      <c r="AE35" s="73"/>
    </row>
    <row r="36" spans="1:31">
      <c r="A36" s="1243" t="s">
        <v>907</v>
      </c>
      <c r="B36" s="1129">
        <f t="shared" ref="B36:R36" si="7">-(B35*B34)+B32</f>
        <v>-498750</v>
      </c>
      <c r="C36" s="1129">
        <f t="shared" si="7"/>
        <v>-5.25</v>
      </c>
      <c r="D36" s="1129">
        <f t="shared" si="7"/>
        <v>0</v>
      </c>
      <c r="E36" s="1129">
        <f t="shared" si="7"/>
        <v>0</v>
      </c>
      <c r="F36" s="1129">
        <f t="shared" si="7"/>
        <v>0</v>
      </c>
      <c r="G36" s="1129">
        <f t="shared" si="7"/>
        <v>0</v>
      </c>
      <c r="H36" s="1129">
        <f t="shared" si="7"/>
        <v>0</v>
      </c>
      <c r="I36" s="1129">
        <f t="shared" si="7"/>
        <v>0</v>
      </c>
      <c r="J36" s="1129">
        <f t="shared" si="7"/>
        <v>0</v>
      </c>
      <c r="K36" s="1129">
        <f t="shared" si="7"/>
        <v>-206062.5</v>
      </c>
      <c r="L36" s="1129">
        <f t="shared" si="7"/>
        <v>-234281.25</v>
      </c>
      <c r="M36" s="1129">
        <f t="shared" si="7"/>
        <v>-262500</v>
      </c>
      <c r="N36" s="1129">
        <f t="shared" si="7"/>
        <v>-262500</v>
      </c>
      <c r="O36" s="1129">
        <f t="shared" si="7"/>
        <v>-1102500</v>
      </c>
      <c r="P36" s="1129">
        <f t="shared" si="7"/>
        <v>-1157625</v>
      </c>
      <c r="Q36" s="1129">
        <f t="shared" si="7"/>
        <v>-1215506.25</v>
      </c>
      <c r="R36" s="1129">
        <f t="shared" si="7"/>
        <v>-1276281.5625</v>
      </c>
      <c r="S36" s="1129"/>
      <c r="T36" s="1249"/>
      <c r="U36" s="41"/>
    </row>
    <row r="37" spans="1:31">
      <c r="A37" s="1170"/>
      <c r="B37" s="1129"/>
      <c r="C37" s="1129"/>
      <c r="D37" s="1129"/>
      <c r="E37" s="1129"/>
      <c r="F37" s="1129"/>
      <c r="G37" s="1129"/>
      <c r="H37" s="1129"/>
      <c r="I37" s="1129"/>
      <c r="J37" s="1129"/>
      <c r="K37" s="1129"/>
      <c r="L37" s="1129"/>
      <c r="M37" s="1129"/>
      <c r="N37" s="1129"/>
      <c r="O37" s="1129"/>
      <c r="P37" s="1129"/>
      <c r="Q37" s="1129"/>
      <c r="R37" s="1129"/>
      <c r="S37" s="1129"/>
      <c r="T37" s="1249"/>
      <c r="U37" s="41"/>
    </row>
    <row r="38" spans="1:31">
      <c r="A38" s="1248" t="s">
        <v>908</v>
      </c>
      <c r="B38" s="1129"/>
      <c r="C38" s="1129"/>
      <c r="D38" s="1129"/>
      <c r="E38" s="1129"/>
      <c r="F38" s="1129"/>
      <c r="G38" s="1129"/>
      <c r="H38" s="1129"/>
      <c r="K38" s="1129"/>
      <c r="L38" s="1247"/>
      <c r="M38" s="1247"/>
      <c r="N38" s="1247"/>
      <c r="O38" s="1247"/>
      <c r="P38" s="1247"/>
      <c r="Q38" s="1247"/>
      <c r="R38" s="1247"/>
      <c r="S38" s="1129"/>
      <c r="T38" s="41"/>
      <c r="U38" s="41"/>
      <c r="X38" s="1129"/>
      <c r="Y38" s="1129"/>
      <c r="Z38" s="1129"/>
      <c r="AA38" s="1129"/>
      <c r="AB38" s="1129"/>
      <c r="AC38" s="1129"/>
      <c r="AD38" s="1129"/>
    </row>
    <row r="39" spans="1:31">
      <c r="A39" s="1222" t="s">
        <v>317</v>
      </c>
      <c r="B39" s="1489"/>
      <c r="C39" s="1489"/>
      <c r="D39" s="1489"/>
      <c r="E39" s="1489">
        <v>0</v>
      </c>
      <c r="F39" s="1489">
        <v>0</v>
      </c>
      <c r="G39" s="1525">
        <f>191000/4</f>
        <v>47750</v>
      </c>
      <c r="H39" s="1500">
        <f>191000/4</f>
        <v>47750</v>
      </c>
      <c r="I39" s="1500">
        <f>191000/4</f>
        <v>47750</v>
      </c>
      <c r="J39" s="1500">
        <f>191000/4</f>
        <v>47750</v>
      </c>
      <c r="K39" s="1530"/>
      <c r="L39" s="1489"/>
      <c r="M39" s="1489"/>
      <c r="N39" s="1531"/>
      <c r="O39" s="1529"/>
      <c r="P39" s="1529"/>
      <c r="Q39" s="1529"/>
      <c r="R39" s="1529"/>
      <c r="S39" s="1129"/>
      <c r="T39" s="1246"/>
      <c r="U39" s="41"/>
      <c r="X39" s="1129"/>
      <c r="Y39" s="1129"/>
      <c r="Z39" s="1129"/>
      <c r="AA39" s="1129"/>
      <c r="AB39" s="1129"/>
      <c r="AC39" s="1129"/>
      <c r="AD39" s="1129"/>
    </row>
    <row r="40" spans="1:31">
      <c r="A40" s="1222" t="s">
        <v>227</v>
      </c>
      <c r="B40" s="1489"/>
      <c r="C40" s="1489"/>
      <c r="D40" s="1489"/>
      <c r="E40" s="1489">
        <v>0</v>
      </c>
      <c r="F40" s="1489">
        <v>0</v>
      </c>
      <c r="G40" s="1525">
        <f>169000/4</f>
        <v>42250</v>
      </c>
      <c r="H40" s="1500">
        <f>169000/4</f>
        <v>42250</v>
      </c>
      <c r="I40" s="1500">
        <f>169000/4</f>
        <v>42250</v>
      </c>
      <c r="J40" s="1500">
        <f>169000/4</f>
        <v>42250</v>
      </c>
      <c r="K40" s="1530"/>
      <c r="L40" s="1489"/>
      <c r="M40" s="1489"/>
      <c r="N40" s="1531"/>
      <c r="O40" s="1529"/>
      <c r="P40" s="1529"/>
      <c r="Q40" s="1529"/>
      <c r="R40" s="1529"/>
      <c r="S40" s="1129"/>
      <c r="T40" s="41"/>
      <c r="U40" s="41"/>
      <c r="X40" s="1129"/>
      <c r="Y40" s="1129"/>
      <c r="Z40" s="1129"/>
      <c r="AA40" s="1129"/>
      <c r="AB40" s="1129"/>
      <c r="AC40" s="1129"/>
      <c r="AD40" s="1129"/>
    </row>
    <row r="41" spans="1:31">
      <c r="A41" s="1222" t="s">
        <v>229</v>
      </c>
      <c r="B41" s="1489"/>
      <c r="C41" s="1489"/>
      <c r="D41" s="1489"/>
      <c r="E41" s="1489">
        <v>0</v>
      </c>
      <c r="F41" s="1489">
        <v>0</v>
      </c>
      <c r="G41" s="1530">
        <v>0</v>
      </c>
      <c r="H41" s="1489">
        <v>0</v>
      </c>
      <c r="I41" s="1489">
        <v>0</v>
      </c>
      <c r="J41" s="1489">
        <v>0</v>
      </c>
      <c r="K41" s="1530"/>
      <c r="L41" s="1489"/>
      <c r="M41" s="1489"/>
      <c r="N41" s="1531"/>
      <c r="O41" s="1529"/>
      <c r="P41" s="1529"/>
      <c r="Q41" s="1529"/>
      <c r="R41" s="1529"/>
      <c r="S41" s="1129"/>
      <c r="T41" s="41"/>
      <c r="U41" s="41"/>
      <c r="X41" s="1129"/>
      <c r="Y41" s="1129"/>
      <c r="Z41" s="1129"/>
      <c r="AA41" s="1129"/>
      <c r="AB41" s="1129"/>
      <c r="AC41" s="1129"/>
      <c r="AD41" s="1129"/>
    </row>
    <row r="42" spans="1:31">
      <c r="A42" s="1222" t="s">
        <v>230</v>
      </c>
      <c r="B42" s="1489"/>
      <c r="C42" s="1489"/>
      <c r="D42" s="1489"/>
      <c r="E42" s="1489">
        <v>0</v>
      </c>
      <c r="F42" s="1489">
        <v>0</v>
      </c>
      <c r="G42" s="1530">
        <v>0</v>
      </c>
      <c r="H42" s="1489">
        <v>0</v>
      </c>
      <c r="I42" s="1489">
        <v>0</v>
      </c>
      <c r="J42" s="1489">
        <v>0</v>
      </c>
      <c r="K42" s="1530"/>
      <c r="L42" s="1489"/>
      <c r="M42" s="1489"/>
      <c r="N42" s="1531">
        <v>0</v>
      </c>
      <c r="O42" s="1529"/>
      <c r="P42" s="1529"/>
      <c r="Q42" s="1529"/>
      <c r="R42" s="1529"/>
      <c r="S42" s="1129"/>
      <c r="T42" s="41"/>
      <c r="U42" s="41"/>
    </row>
    <row r="43" spans="1:31">
      <c r="A43" s="1222" t="s">
        <v>871</v>
      </c>
      <c r="B43" s="1489"/>
      <c r="C43" s="1489"/>
      <c r="D43" s="1489"/>
      <c r="E43" s="1489">
        <v>0</v>
      </c>
      <c r="F43" s="1489">
        <v>0</v>
      </c>
      <c r="G43" s="1530">
        <v>0</v>
      </c>
      <c r="H43" s="1489">
        <v>0</v>
      </c>
      <c r="I43" s="1489">
        <v>0</v>
      </c>
      <c r="J43" s="1489">
        <v>0</v>
      </c>
      <c r="K43" s="1530">
        <v>0</v>
      </c>
      <c r="L43" s="1489">
        <v>0</v>
      </c>
      <c r="M43" s="1489">
        <v>0</v>
      </c>
      <c r="N43" s="1531">
        <v>0</v>
      </c>
      <c r="O43" s="1529">
        <v>0</v>
      </c>
      <c r="P43" s="1529">
        <v>0</v>
      </c>
      <c r="Q43" s="1529">
        <v>0</v>
      </c>
      <c r="R43" s="1529">
        <v>0</v>
      </c>
      <c r="S43" s="1129"/>
      <c r="T43" s="41"/>
      <c r="U43" s="41"/>
      <c r="W43" s="4"/>
    </row>
    <row r="44" spans="1:31">
      <c r="A44" s="1243" t="s">
        <v>909</v>
      </c>
      <c r="B44" s="1202">
        <f t="shared" ref="B44:R44" si="8">SUM(B39:B43)</f>
        <v>0</v>
      </c>
      <c r="C44" s="1202">
        <f t="shared" si="8"/>
        <v>0</v>
      </c>
      <c r="D44" s="1202">
        <f t="shared" si="8"/>
        <v>0</v>
      </c>
      <c r="E44" s="1202">
        <f t="shared" si="8"/>
        <v>0</v>
      </c>
      <c r="F44" s="1202">
        <f t="shared" si="8"/>
        <v>0</v>
      </c>
      <c r="G44" s="1203">
        <f t="shared" si="8"/>
        <v>90000</v>
      </c>
      <c r="H44" s="1202">
        <f t="shared" si="8"/>
        <v>90000</v>
      </c>
      <c r="I44" s="1202">
        <f t="shared" si="8"/>
        <v>90000</v>
      </c>
      <c r="J44" s="1202">
        <f t="shared" si="8"/>
        <v>90000</v>
      </c>
      <c r="K44" s="1203">
        <f t="shared" si="8"/>
        <v>0</v>
      </c>
      <c r="L44" s="1202">
        <f t="shared" si="8"/>
        <v>0</v>
      </c>
      <c r="M44" s="1202">
        <f t="shared" si="8"/>
        <v>0</v>
      </c>
      <c r="N44" s="1201">
        <f t="shared" si="8"/>
        <v>0</v>
      </c>
      <c r="O44" s="1200">
        <f t="shared" si="8"/>
        <v>0</v>
      </c>
      <c r="P44" s="1200">
        <f t="shared" si="8"/>
        <v>0</v>
      </c>
      <c r="Q44" s="1200">
        <f t="shared" si="8"/>
        <v>0</v>
      </c>
      <c r="R44" s="1200">
        <f t="shared" si="8"/>
        <v>0</v>
      </c>
      <c r="S44" s="1199"/>
      <c r="T44" s="41"/>
      <c r="U44" s="41"/>
      <c r="V44" s="2"/>
      <c r="W44" s="2"/>
      <c r="X44" s="2"/>
      <c r="Y44" s="2"/>
      <c r="Z44" s="2"/>
      <c r="AA44" s="2"/>
      <c r="AB44" s="2"/>
      <c r="AC44" s="2"/>
      <c r="AD44" s="2"/>
    </row>
    <row r="45" spans="1:31">
      <c r="A45" s="1242"/>
      <c r="B45" s="1199"/>
      <c r="C45" s="1199"/>
      <c r="D45" s="1199"/>
      <c r="E45" s="1199"/>
      <c r="F45" s="1199"/>
      <c r="G45" s="1199"/>
      <c r="H45" s="1199"/>
      <c r="I45" s="1199"/>
      <c r="J45" s="1199"/>
      <c r="K45" s="1199"/>
      <c r="L45" s="1199"/>
      <c r="M45" s="1199"/>
      <c r="N45" s="1199"/>
      <c r="O45" s="1199"/>
      <c r="P45" s="1199"/>
      <c r="Q45" s="1199"/>
      <c r="R45" s="1199"/>
      <c r="S45" s="1199"/>
      <c r="T45" s="41"/>
      <c r="U45" s="41"/>
      <c r="V45" s="2"/>
      <c r="W45" s="2"/>
      <c r="X45" s="2"/>
      <c r="Y45" s="2"/>
      <c r="Z45" s="2"/>
      <c r="AA45" s="2"/>
      <c r="AB45" s="2"/>
      <c r="AC45" s="2"/>
      <c r="AD45" s="2"/>
    </row>
    <row r="46" spans="1:31">
      <c r="A46" s="1240" t="s">
        <v>896</v>
      </c>
      <c r="B46" s="1489"/>
      <c r="C46" s="1489"/>
      <c r="D46" s="1489"/>
      <c r="E46" s="1489"/>
      <c r="F46" s="1489"/>
      <c r="G46" s="1489">
        <v>-42250</v>
      </c>
      <c r="H46" s="1489">
        <v>-42250</v>
      </c>
      <c r="I46" s="1489">
        <v>-42250</v>
      </c>
      <c r="J46" s="1489">
        <v>-42250</v>
      </c>
      <c r="K46" s="1489">
        <v>0</v>
      </c>
      <c r="L46" s="1489">
        <f t="shared" ref="L46:R46" si="9">-SUM(L39:L43)</f>
        <v>0</v>
      </c>
      <c r="M46" s="1489">
        <f t="shared" si="9"/>
        <v>0</v>
      </c>
      <c r="N46" s="1489">
        <f t="shared" si="9"/>
        <v>0</v>
      </c>
      <c r="O46" s="1489">
        <f t="shared" si="9"/>
        <v>0</v>
      </c>
      <c r="P46" s="1489">
        <f t="shared" si="9"/>
        <v>0</v>
      </c>
      <c r="Q46" s="1489">
        <f t="shared" si="9"/>
        <v>0</v>
      </c>
      <c r="R46" s="1489">
        <f t="shared" si="9"/>
        <v>0</v>
      </c>
      <c r="S46" s="1129"/>
      <c r="T46" s="41"/>
      <c r="U46" s="41"/>
      <c r="V46" s="2"/>
      <c r="W46" s="2"/>
      <c r="X46" s="2"/>
      <c r="Y46" s="2"/>
      <c r="Z46" s="2"/>
      <c r="AA46" s="2"/>
      <c r="AB46" s="2"/>
      <c r="AC46" s="2"/>
      <c r="AD46" s="2"/>
    </row>
    <row r="47" spans="1:31">
      <c r="A47" s="1240"/>
      <c r="B47" s="1225"/>
      <c r="C47" s="1225"/>
      <c r="D47" s="1225"/>
      <c r="E47" s="1225"/>
      <c r="F47" s="1225"/>
      <c r="G47" s="1225"/>
      <c r="H47" s="1225"/>
      <c r="I47" s="1225"/>
      <c r="J47" s="1225"/>
      <c r="K47" s="1225"/>
      <c r="L47" s="1225"/>
      <c r="M47" s="1225"/>
      <c r="N47" s="1225"/>
      <c r="O47" s="1225"/>
      <c r="P47" s="1225"/>
      <c r="Q47" s="1225"/>
      <c r="R47" s="1225"/>
      <c r="S47" s="1129"/>
      <c r="T47" s="41"/>
      <c r="U47" s="41"/>
      <c r="V47" s="2"/>
      <c r="W47" s="2"/>
      <c r="X47" s="2"/>
      <c r="Y47" s="2"/>
      <c r="Z47" s="2"/>
      <c r="AA47" s="2"/>
      <c r="AB47" s="2"/>
      <c r="AC47" s="2"/>
      <c r="AD47" s="2"/>
    </row>
    <row r="48" spans="1:31" s="29" customFormat="1">
      <c r="A48" s="1240" t="s">
        <v>910</v>
      </c>
      <c r="B48" s="1129"/>
      <c r="C48" s="1129"/>
      <c r="D48" s="1129"/>
      <c r="E48" s="1129"/>
      <c r="F48" s="1129"/>
      <c r="G48" s="1129">
        <f t="shared" ref="G48:R48" si="10">+G46+F48+G49</f>
        <v>-42250</v>
      </c>
      <c r="H48" s="1129">
        <f t="shared" si="10"/>
        <v>-84500</v>
      </c>
      <c r="I48" s="1129">
        <f t="shared" si="10"/>
        <v>-126750</v>
      </c>
      <c r="J48" s="1239">
        <f t="shared" si="10"/>
        <v>-169000</v>
      </c>
      <c r="K48" s="1129">
        <f t="shared" si="10"/>
        <v>-169000</v>
      </c>
      <c r="L48" s="1129">
        <f t="shared" si="10"/>
        <v>-169000</v>
      </c>
      <c r="M48" s="1129">
        <f t="shared" si="10"/>
        <v>-169000</v>
      </c>
      <c r="N48" s="1129">
        <f t="shared" si="10"/>
        <v>0</v>
      </c>
      <c r="O48" s="1129">
        <f t="shared" si="10"/>
        <v>0</v>
      </c>
      <c r="P48" s="1129">
        <f t="shared" si="10"/>
        <v>0</v>
      </c>
      <c r="Q48" s="1129">
        <f t="shared" si="10"/>
        <v>0</v>
      </c>
      <c r="R48" s="1129">
        <f t="shared" si="10"/>
        <v>0</v>
      </c>
      <c r="T48" s="41"/>
    </row>
    <row r="49" spans="1:30">
      <c r="A49" s="1237" t="s">
        <v>911</v>
      </c>
      <c r="B49" s="1534"/>
      <c r="C49" s="1534"/>
      <c r="D49" s="1534"/>
      <c r="E49" s="1534"/>
      <c r="F49" s="1534"/>
      <c r="G49" s="1534"/>
      <c r="H49" s="1534"/>
      <c r="I49" s="1534"/>
      <c r="J49" s="1535"/>
      <c r="K49" s="1535"/>
      <c r="L49" s="1535"/>
      <c r="M49" s="1535"/>
      <c r="N49" s="1535">
        <v>169000</v>
      </c>
      <c r="O49" s="1536">
        <v>0</v>
      </c>
      <c r="P49" s="1536">
        <v>0</v>
      </c>
      <c r="Q49" s="1458">
        <v>0</v>
      </c>
      <c r="R49" s="1458">
        <v>0</v>
      </c>
      <c r="T49" s="41"/>
      <c r="U49" s="41"/>
    </row>
    <row r="50" spans="1:30">
      <c r="A50" s="1237" t="s">
        <v>912</v>
      </c>
      <c r="B50" s="1236">
        <f t="shared" ref="B50:R50" si="11">+B44+B46</f>
        <v>0</v>
      </c>
      <c r="C50" s="1236">
        <f t="shared" si="11"/>
        <v>0</v>
      </c>
      <c r="D50" s="1236">
        <f t="shared" si="11"/>
        <v>0</v>
      </c>
      <c r="E50" s="1236">
        <f t="shared" si="11"/>
        <v>0</v>
      </c>
      <c r="F50" s="1236">
        <f t="shared" si="11"/>
        <v>0</v>
      </c>
      <c r="G50" s="1235">
        <f t="shared" si="11"/>
        <v>47750</v>
      </c>
      <c r="H50" s="1234">
        <f t="shared" si="11"/>
        <v>47750</v>
      </c>
      <c r="I50" s="1234">
        <f t="shared" si="11"/>
        <v>47750</v>
      </c>
      <c r="J50" s="1234">
        <f t="shared" si="11"/>
        <v>47750</v>
      </c>
      <c r="K50" s="1234">
        <f t="shared" si="11"/>
        <v>0</v>
      </c>
      <c r="L50" s="1234">
        <f t="shared" si="11"/>
        <v>0</v>
      </c>
      <c r="M50" s="1234">
        <f t="shared" si="11"/>
        <v>0</v>
      </c>
      <c r="N50" s="1234">
        <f t="shared" si="11"/>
        <v>0</v>
      </c>
      <c r="O50" s="419">
        <f t="shared" si="11"/>
        <v>0</v>
      </c>
      <c r="P50" s="419">
        <f t="shared" si="11"/>
        <v>0</v>
      </c>
      <c r="Q50" s="131">
        <f t="shared" si="11"/>
        <v>0</v>
      </c>
      <c r="R50" s="131">
        <f t="shared" si="11"/>
        <v>0</v>
      </c>
      <c r="T50" s="41"/>
      <c r="U50" s="41"/>
    </row>
    <row r="51" spans="1:30">
      <c r="A51" s="1233" t="s">
        <v>913</v>
      </c>
      <c r="B51" s="1232">
        <f t="shared" ref="B51:R51" si="12">+B49+B50</f>
        <v>0</v>
      </c>
      <c r="C51" s="1232">
        <f t="shared" si="12"/>
        <v>0</v>
      </c>
      <c r="D51" s="1232">
        <f t="shared" si="12"/>
        <v>0</v>
      </c>
      <c r="E51" s="1232">
        <f t="shared" si="12"/>
        <v>0</v>
      </c>
      <c r="F51" s="1232">
        <f t="shared" si="12"/>
        <v>0</v>
      </c>
      <c r="G51" s="1232">
        <f t="shared" si="12"/>
        <v>47750</v>
      </c>
      <c r="H51" s="1232">
        <f t="shared" si="12"/>
        <v>47750</v>
      </c>
      <c r="I51" s="1232">
        <f t="shared" si="12"/>
        <v>47750</v>
      </c>
      <c r="J51" s="1232">
        <f t="shared" si="12"/>
        <v>47750</v>
      </c>
      <c r="K51" s="1232">
        <f t="shared" si="12"/>
        <v>0</v>
      </c>
      <c r="L51" s="1232">
        <f t="shared" si="12"/>
        <v>0</v>
      </c>
      <c r="M51" s="1232">
        <f t="shared" si="12"/>
        <v>0</v>
      </c>
      <c r="N51" s="1232">
        <f t="shared" si="12"/>
        <v>169000</v>
      </c>
      <c r="O51" s="137">
        <f t="shared" si="12"/>
        <v>0</v>
      </c>
      <c r="P51" s="137">
        <f t="shared" si="12"/>
        <v>0</v>
      </c>
      <c r="Q51" s="137">
        <f t="shared" si="12"/>
        <v>0</v>
      </c>
      <c r="R51" s="137">
        <f t="shared" si="12"/>
        <v>0</v>
      </c>
      <c r="T51" s="41"/>
      <c r="U51" s="41"/>
    </row>
    <row r="52" spans="1:30">
      <c r="A52" s="1231"/>
      <c r="B52" s="1129"/>
      <c r="C52" s="1129"/>
      <c r="D52" s="1129"/>
      <c r="E52" s="1129"/>
      <c r="F52" s="1129"/>
      <c r="G52" s="1207"/>
      <c r="H52" s="1129"/>
      <c r="I52" s="1129"/>
      <c r="J52" s="1129"/>
      <c r="K52" s="1207"/>
      <c r="L52" s="1129"/>
      <c r="M52" s="1129"/>
      <c r="N52" s="1206"/>
      <c r="O52" s="1205"/>
      <c r="P52" s="1205"/>
      <c r="Q52" s="1205"/>
      <c r="R52" s="1205"/>
      <c r="S52" s="1129"/>
      <c r="T52" s="41"/>
      <c r="U52" s="41"/>
      <c r="Y52" s="2"/>
      <c r="Z52" s="2"/>
      <c r="AA52" s="2"/>
      <c r="AB52" s="2"/>
      <c r="AC52" s="2"/>
      <c r="AD52" s="2"/>
    </row>
    <row r="53" spans="1:30">
      <c r="A53" s="1230" t="s">
        <v>914</v>
      </c>
      <c r="B53" s="1202">
        <f t="shared" ref="B53:R53" si="13">+B51+B32+B22-B36</f>
        <v>498750</v>
      </c>
      <c r="C53" s="1202">
        <f t="shared" si="13"/>
        <v>470916.25</v>
      </c>
      <c r="D53" s="1202">
        <f t="shared" si="13"/>
        <v>888422</v>
      </c>
      <c r="E53" s="1202">
        <f t="shared" si="13"/>
        <v>1289345</v>
      </c>
      <c r="F53" s="1202">
        <f t="shared" si="13"/>
        <v>1639651</v>
      </c>
      <c r="G53" s="1203">
        <f t="shared" si="13"/>
        <v>558947</v>
      </c>
      <c r="H53" s="1202">
        <f t="shared" si="13"/>
        <v>558947</v>
      </c>
      <c r="I53" s="1202">
        <f t="shared" si="13"/>
        <v>558947</v>
      </c>
      <c r="J53" s="1202">
        <f t="shared" si="13"/>
        <v>447597</v>
      </c>
      <c r="K53" s="1203">
        <f t="shared" si="13"/>
        <v>256062.09250000003</v>
      </c>
      <c r="L53" s="1202">
        <f t="shared" si="13"/>
        <v>876202.75</v>
      </c>
      <c r="M53" s="1202">
        <f t="shared" si="13"/>
        <v>904421.5</v>
      </c>
      <c r="N53" s="1201">
        <f t="shared" si="13"/>
        <v>2073421.5</v>
      </c>
      <c r="O53" s="1200">
        <f t="shared" si="13"/>
        <v>4197216.58</v>
      </c>
      <c r="P53" s="1200">
        <f t="shared" si="13"/>
        <v>5881683.0773999998</v>
      </c>
      <c r="Q53" s="1200">
        <f t="shared" si="13"/>
        <v>8699126.3497219998</v>
      </c>
      <c r="R53" s="1200">
        <f t="shared" si="13"/>
        <v>8510972.976329349</v>
      </c>
      <c r="S53" s="1199"/>
      <c r="T53" s="41"/>
      <c r="U53" s="41"/>
      <c r="Y53" s="2"/>
      <c r="Z53" s="2"/>
      <c r="AA53" s="2"/>
      <c r="AB53" s="2"/>
      <c r="AC53" s="2"/>
      <c r="AD53" s="2"/>
    </row>
    <row r="54" spans="1:30">
      <c r="A54" s="1211"/>
      <c r="B54" s="1199"/>
      <c r="C54" s="1199"/>
      <c r="D54" s="1199"/>
      <c r="E54" s="1199"/>
      <c r="F54" s="1199"/>
      <c r="G54" s="1229"/>
      <c r="H54" s="1199"/>
      <c r="I54" s="1199"/>
      <c r="J54" s="1199"/>
      <c r="K54" s="1229"/>
      <c r="L54" s="1199"/>
      <c r="M54" s="1199"/>
      <c r="N54" s="1228"/>
      <c r="O54" s="1227"/>
      <c r="P54" s="1227"/>
      <c r="Q54" s="1227"/>
      <c r="R54" s="1227"/>
      <c r="S54" s="1199"/>
      <c r="T54" s="41"/>
      <c r="U54" s="41"/>
      <c r="Y54" s="2"/>
      <c r="Z54" s="2"/>
      <c r="AA54" s="2"/>
      <c r="AB54" s="2"/>
      <c r="AC54" s="2"/>
      <c r="AD54" s="2"/>
    </row>
    <row r="55" spans="1:30">
      <c r="A55" s="1222" t="s">
        <v>915</v>
      </c>
      <c r="B55" s="1226">
        <v>1</v>
      </c>
      <c r="C55" s="1226">
        <v>1</v>
      </c>
      <c r="D55" s="1226">
        <v>1</v>
      </c>
      <c r="E55" s="1226">
        <v>1</v>
      </c>
      <c r="F55" s="1226">
        <v>1</v>
      </c>
      <c r="G55" s="1226">
        <v>1</v>
      </c>
      <c r="H55" s="1226">
        <v>1</v>
      </c>
      <c r="I55" s="1226">
        <v>1</v>
      </c>
      <c r="J55" s="1226">
        <v>1</v>
      </c>
      <c r="K55" s="1474">
        <f>+lgh_inputs!$D$4</f>
        <v>0.3</v>
      </c>
      <c r="L55" s="1475">
        <f>+lgh_inputs!$D$4</f>
        <v>0.3</v>
      </c>
      <c r="M55" s="1475">
        <f>+lgh_inputs!$D$4</f>
        <v>0.3</v>
      </c>
      <c r="N55" s="1476">
        <f>+lgh_inputs!$D$4</f>
        <v>0.3</v>
      </c>
      <c r="O55" s="1477">
        <f>+lgh_inputs!$D$4</f>
        <v>0.3</v>
      </c>
      <c r="P55" s="1477">
        <f>+lgh_inputs!$D$4</f>
        <v>0.3</v>
      </c>
      <c r="Q55" s="1477">
        <f>+lgh_inputs!$D$4</f>
        <v>0.3</v>
      </c>
      <c r="R55" s="1477">
        <f>+lgh_inputs!$D$4</f>
        <v>0.3</v>
      </c>
      <c r="S55" s="1199"/>
      <c r="T55" s="41"/>
      <c r="U55" s="41"/>
      <c r="Y55" s="2"/>
      <c r="Z55" s="2"/>
      <c r="AA55" s="2"/>
      <c r="AB55" s="2"/>
      <c r="AC55" s="2"/>
      <c r="AD55" s="2"/>
    </row>
    <row r="56" spans="1:30">
      <c r="A56" s="1222" t="s">
        <v>916</v>
      </c>
      <c r="B56" s="1129"/>
      <c r="C56" s="1129">
        <f t="shared" ref="C56:R56" si="14">+C22*C55</f>
        <v>470911</v>
      </c>
      <c r="D56" s="1129">
        <f t="shared" si="14"/>
        <v>888422</v>
      </c>
      <c r="E56" s="1129">
        <f t="shared" si="14"/>
        <v>1289345</v>
      </c>
      <c r="F56" s="1129">
        <f t="shared" si="14"/>
        <v>1639651</v>
      </c>
      <c r="G56" s="1129">
        <f t="shared" si="14"/>
        <v>511197</v>
      </c>
      <c r="H56" s="1129">
        <f t="shared" si="14"/>
        <v>511197</v>
      </c>
      <c r="I56" s="1129">
        <f t="shared" si="14"/>
        <v>511197</v>
      </c>
      <c r="J56" s="1129">
        <f t="shared" si="14"/>
        <v>399847</v>
      </c>
      <c r="K56" s="1207">
        <f t="shared" si="14"/>
        <v>14999.877750000007</v>
      </c>
      <c r="L56" s="1129">
        <f t="shared" si="14"/>
        <v>192576.44999999998</v>
      </c>
      <c r="M56" s="1129">
        <f t="shared" si="14"/>
        <v>192576.44999999998</v>
      </c>
      <c r="N56" s="1206">
        <f t="shared" si="14"/>
        <v>492576.44999999995</v>
      </c>
      <c r="O56" s="1205">
        <f t="shared" si="14"/>
        <v>928414.97400000005</v>
      </c>
      <c r="P56" s="1205">
        <f t="shared" si="14"/>
        <v>1417217.42322</v>
      </c>
      <c r="Q56" s="1205">
        <f t="shared" si="14"/>
        <v>2245086.0299165999</v>
      </c>
      <c r="R56" s="1205">
        <f t="shared" si="14"/>
        <v>2170407.424148805</v>
      </c>
      <c r="S56" s="1129"/>
      <c r="T56" s="41"/>
      <c r="U56" s="41"/>
      <c r="Y56" s="2"/>
      <c r="Z56" s="2"/>
      <c r="AA56" s="2"/>
      <c r="AB56" s="2"/>
      <c r="AC56" s="2"/>
      <c r="AD56" s="2"/>
    </row>
    <row r="57" spans="1:30">
      <c r="A57" s="1222" t="s">
        <v>917</v>
      </c>
      <c r="B57" s="1225"/>
      <c r="C57" s="1225">
        <f t="shared" ref="C57:R57" si="15">+C51*C55</f>
        <v>0</v>
      </c>
      <c r="D57" s="1225">
        <f t="shared" si="15"/>
        <v>0</v>
      </c>
      <c r="E57" s="1225">
        <f t="shared" si="15"/>
        <v>0</v>
      </c>
      <c r="F57" s="1225">
        <f t="shared" si="15"/>
        <v>0</v>
      </c>
      <c r="G57" s="1207">
        <f t="shared" si="15"/>
        <v>47750</v>
      </c>
      <c r="H57" s="1129">
        <f t="shared" si="15"/>
        <v>47750</v>
      </c>
      <c r="I57" s="1129">
        <f t="shared" si="15"/>
        <v>47750</v>
      </c>
      <c r="J57" s="1129">
        <f t="shared" si="15"/>
        <v>47750</v>
      </c>
      <c r="K57" s="1207">
        <f t="shared" si="15"/>
        <v>0</v>
      </c>
      <c r="L57" s="1129">
        <f t="shared" si="15"/>
        <v>0</v>
      </c>
      <c r="M57" s="1129">
        <f t="shared" si="15"/>
        <v>0</v>
      </c>
      <c r="N57" s="1206">
        <f t="shared" si="15"/>
        <v>50700</v>
      </c>
      <c r="O57" s="1205">
        <f t="shared" si="15"/>
        <v>0</v>
      </c>
      <c r="P57" s="1205">
        <f t="shared" si="15"/>
        <v>0</v>
      </c>
      <c r="Q57" s="1205">
        <f t="shared" si="15"/>
        <v>0</v>
      </c>
      <c r="R57" s="1205">
        <f t="shared" si="15"/>
        <v>0</v>
      </c>
      <c r="S57" s="1129"/>
      <c r="T57" s="41"/>
      <c r="U57" s="41"/>
    </row>
    <row r="58" spans="1:30">
      <c r="A58" s="1224" t="s">
        <v>918</v>
      </c>
      <c r="B58" s="1219"/>
      <c r="C58" s="1219">
        <f t="shared" ref="C58:R58" si="16">SUM(C56:C57)</f>
        <v>470911</v>
      </c>
      <c r="D58" s="1219">
        <f t="shared" si="16"/>
        <v>888422</v>
      </c>
      <c r="E58" s="1219">
        <f t="shared" si="16"/>
        <v>1289345</v>
      </c>
      <c r="F58" s="1219">
        <f t="shared" si="16"/>
        <v>1639651</v>
      </c>
      <c r="G58" s="1220">
        <f t="shared" si="16"/>
        <v>558947</v>
      </c>
      <c r="H58" s="1219">
        <f t="shared" si="16"/>
        <v>558947</v>
      </c>
      <c r="I58" s="1219">
        <f t="shared" si="16"/>
        <v>558947</v>
      </c>
      <c r="J58" s="1219">
        <f t="shared" si="16"/>
        <v>447597</v>
      </c>
      <c r="K58" s="1220">
        <f t="shared" si="16"/>
        <v>14999.877750000007</v>
      </c>
      <c r="L58" s="1219">
        <f t="shared" si="16"/>
        <v>192576.44999999998</v>
      </c>
      <c r="M58" s="1219">
        <f t="shared" si="16"/>
        <v>192576.44999999998</v>
      </c>
      <c r="N58" s="1218">
        <f t="shared" si="16"/>
        <v>543276.44999999995</v>
      </c>
      <c r="O58" s="1217">
        <f t="shared" si="16"/>
        <v>928414.97400000005</v>
      </c>
      <c r="P58" s="1217">
        <f t="shared" si="16"/>
        <v>1417217.42322</v>
      </c>
      <c r="Q58" s="1217">
        <f t="shared" si="16"/>
        <v>2245086.0299165999</v>
      </c>
      <c r="R58" s="1217">
        <f t="shared" si="16"/>
        <v>2170407.424148805</v>
      </c>
      <c r="S58" s="1129"/>
      <c r="T58" s="41"/>
      <c r="U58" s="41"/>
    </row>
    <row r="59" spans="1:30">
      <c r="A59" s="1216" t="s">
        <v>673</v>
      </c>
      <c r="B59" s="1129"/>
      <c r="C59" s="1214">
        <f t="shared" ref="C59:R59" si="17">C58/(C53+C36)</f>
        <v>1</v>
      </c>
      <c r="D59" s="1214">
        <f t="shared" si="17"/>
        <v>1</v>
      </c>
      <c r="E59" s="1214">
        <f t="shared" si="17"/>
        <v>1</v>
      </c>
      <c r="F59" s="1214">
        <f t="shared" si="17"/>
        <v>1</v>
      </c>
      <c r="G59" s="1215">
        <f t="shared" si="17"/>
        <v>1</v>
      </c>
      <c r="H59" s="1214">
        <f t="shared" si="17"/>
        <v>1</v>
      </c>
      <c r="I59" s="1214">
        <f t="shared" si="17"/>
        <v>1</v>
      </c>
      <c r="J59" s="1214">
        <f t="shared" si="17"/>
        <v>1</v>
      </c>
      <c r="K59" s="1215">
        <f t="shared" si="17"/>
        <v>0.3</v>
      </c>
      <c r="L59" s="1214">
        <f t="shared" si="17"/>
        <v>0.3</v>
      </c>
      <c r="M59" s="1214">
        <f t="shared" si="17"/>
        <v>0.3</v>
      </c>
      <c r="N59" s="1213">
        <f t="shared" si="17"/>
        <v>0.3</v>
      </c>
      <c r="O59" s="1212">
        <f t="shared" si="17"/>
        <v>0.3</v>
      </c>
      <c r="P59" s="1212">
        <f t="shared" si="17"/>
        <v>0.3</v>
      </c>
      <c r="Q59" s="1212">
        <f t="shared" si="17"/>
        <v>0.3</v>
      </c>
      <c r="R59" s="1212">
        <f t="shared" si="17"/>
        <v>0.30000000000000004</v>
      </c>
      <c r="S59" s="1129"/>
      <c r="T59" s="41"/>
      <c r="U59" s="41"/>
    </row>
    <row r="60" spans="1:30">
      <c r="A60" s="1223"/>
      <c r="B60" s="1129"/>
      <c r="C60" s="1129"/>
      <c r="D60" s="1129"/>
      <c r="E60" s="1129"/>
      <c r="F60" s="1129"/>
      <c r="G60" s="1207"/>
      <c r="H60" s="1129"/>
      <c r="I60" s="1129"/>
      <c r="J60" s="1129"/>
      <c r="K60" s="1207"/>
      <c r="L60" s="1129"/>
      <c r="M60" s="1129"/>
      <c r="N60" s="1206"/>
      <c r="O60" s="1205"/>
      <c r="P60" s="1205"/>
      <c r="Q60" s="1205"/>
      <c r="R60" s="1205"/>
      <c r="S60" s="1129"/>
      <c r="T60" s="41"/>
      <c r="U60" s="41"/>
    </row>
    <row r="61" spans="1:30">
      <c r="A61" s="1222" t="s">
        <v>919</v>
      </c>
      <c r="B61" s="1129">
        <f>+B17*B55</f>
        <v>0</v>
      </c>
      <c r="C61" s="1129">
        <f>+C17*C55</f>
        <v>0</v>
      </c>
      <c r="D61" s="1129">
        <f>+D17*D55</f>
        <v>0</v>
      </c>
      <c r="E61" s="1129">
        <f>+E17*E55</f>
        <v>0</v>
      </c>
      <c r="F61" s="1129">
        <f>+F17*F55</f>
        <v>0</v>
      </c>
      <c r="G61" s="1207">
        <f t="shared" ref="G61:R61" si="18">+G19*G55</f>
        <v>-70827.75</v>
      </c>
      <c r="H61" s="1129">
        <f t="shared" si="18"/>
        <v>-141655.5</v>
      </c>
      <c r="I61" s="1129">
        <f t="shared" si="18"/>
        <v>-212483.25</v>
      </c>
      <c r="J61" s="1129">
        <f t="shared" si="18"/>
        <v>-394661</v>
      </c>
      <c r="K61" s="1207">
        <f t="shared" si="18"/>
        <v>-298196.7</v>
      </c>
      <c r="L61" s="1129">
        <f t="shared" si="18"/>
        <v>-300418.52775000001</v>
      </c>
      <c r="M61" s="1129">
        <f t="shared" si="18"/>
        <v>-302640.35550000001</v>
      </c>
      <c r="N61" s="1206">
        <f t="shared" si="18"/>
        <v>-154862.18325000003</v>
      </c>
      <c r="O61" s="1205">
        <f t="shared" si="18"/>
        <v>-464016.11357999995</v>
      </c>
      <c r="P61" s="1205">
        <f t="shared" si="18"/>
        <v>-473444.66181989998</v>
      </c>
      <c r="Q61" s="1205">
        <f t="shared" si="18"/>
        <v>-183156.06650699693</v>
      </c>
      <c r="R61" s="1205">
        <f t="shared" si="18"/>
        <v>0</v>
      </c>
      <c r="S61" s="1129"/>
      <c r="T61" s="41"/>
      <c r="U61" s="41"/>
    </row>
    <row r="62" spans="1:30">
      <c r="A62" s="1222" t="s">
        <v>920</v>
      </c>
      <c r="B62" s="1129">
        <f>+B46*B55</f>
        <v>0</v>
      </c>
      <c r="C62" s="1129">
        <f>+C46*C55</f>
        <v>0</v>
      </c>
      <c r="D62" s="1129">
        <f>+D46*D55</f>
        <v>0</v>
      </c>
      <c r="E62" s="1129">
        <f>+E46*E55</f>
        <v>0</v>
      </c>
      <c r="F62" s="1129">
        <f>+F46*F55</f>
        <v>0</v>
      </c>
      <c r="G62" s="1207">
        <f t="shared" ref="G62:R62" si="19">+G48*G55</f>
        <v>-42250</v>
      </c>
      <c r="H62" s="1129">
        <f t="shared" si="19"/>
        <v>-84500</v>
      </c>
      <c r="I62" s="1129">
        <f t="shared" si="19"/>
        <v>-126750</v>
      </c>
      <c r="J62" s="1129">
        <f t="shared" si="19"/>
        <v>-169000</v>
      </c>
      <c r="K62" s="1207">
        <f t="shared" si="19"/>
        <v>-50700</v>
      </c>
      <c r="L62" s="1129">
        <f t="shared" si="19"/>
        <v>-50700</v>
      </c>
      <c r="M62" s="1129">
        <f t="shared" si="19"/>
        <v>-50700</v>
      </c>
      <c r="N62" s="1206">
        <f t="shared" si="19"/>
        <v>0</v>
      </c>
      <c r="O62" s="1205">
        <f t="shared" si="19"/>
        <v>0</v>
      </c>
      <c r="P62" s="1205">
        <f t="shared" si="19"/>
        <v>0</v>
      </c>
      <c r="Q62" s="1205">
        <f t="shared" si="19"/>
        <v>0</v>
      </c>
      <c r="R62" s="1205">
        <f t="shared" si="19"/>
        <v>0</v>
      </c>
      <c r="S62" s="1129"/>
      <c r="T62" s="41"/>
      <c r="U62" s="41"/>
    </row>
    <row r="63" spans="1:30">
      <c r="A63" s="1221" t="s">
        <v>921</v>
      </c>
      <c r="B63" s="1219">
        <f t="shared" ref="B63:R63" si="20">SUM(B61:B62)</f>
        <v>0</v>
      </c>
      <c r="C63" s="1219">
        <f t="shared" si="20"/>
        <v>0</v>
      </c>
      <c r="D63" s="1219">
        <f t="shared" si="20"/>
        <v>0</v>
      </c>
      <c r="E63" s="1219">
        <f t="shared" si="20"/>
        <v>0</v>
      </c>
      <c r="F63" s="1219">
        <f t="shared" si="20"/>
        <v>0</v>
      </c>
      <c r="G63" s="1220">
        <f t="shared" si="20"/>
        <v>-113077.75</v>
      </c>
      <c r="H63" s="1219">
        <f t="shared" si="20"/>
        <v>-226155.5</v>
      </c>
      <c r="I63" s="1219">
        <f t="shared" si="20"/>
        <v>-339233.25</v>
      </c>
      <c r="J63" s="1219">
        <f t="shared" si="20"/>
        <v>-563661</v>
      </c>
      <c r="K63" s="1220">
        <f t="shared" si="20"/>
        <v>-348896.7</v>
      </c>
      <c r="L63" s="1219">
        <f t="shared" si="20"/>
        <v>-351118.52775000001</v>
      </c>
      <c r="M63" s="1219">
        <f t="shared" si="20"/>
        <v>-353340.35550000001</v>
      </c>
      <c r="N63" s="1218">
        <f t="shared" si="20"/>
        <v>-154862.18325000003</v>
      </c>
      <c r="O63" s="1217">
        <f t="shared" si="20"/>
        <v>-464016.11357999995</v>
      </c>
      <c r="P63" s="1217">
        <f t="shared" si="20"/>
        <v>-473444.66181989998</v>
      </c>
      <c r="Q63" s="1217">
        <f t="shared" si="20"/>
        <v>-183156.06650699693</v>
      </c>
      <c r="R63" s="1217">
        <f t="shared" si="20"/>
        <v>0</v>
      </c>
      <c r="S63" s="1129"/>
      <c r="T63" s="41"/>
      <c r="U63" s="41"/>
    </row>
    <row r="64" spans="1:30">
      <c r="A64" s="1216" t="s">
        <v>673</v>
      </c>
      <c r="B64" s="1214">
        <f t="shared" ref="B64:R64" si="21">IFERROR(B63/SUM(B19,B48),0)</f>
        <v>0</v>
      </c>
      <c r="C64" s="1214">
        <f t="shared" si="21"/>
        <v>0</v>
      </c>
      <c r="D64" s="1214">
        <f t="shared" si="21"/>
        <v>0</v>
      </c>
      <c r="E64" s="1214">
        <f t="shared" si="21"/>
        <v>0</v>
      </c>
      <c r="F64" s="1214">
        <f t="shared" si="21"/>
        <v>0</v>
      </c>
      <c r="G64" s="1215">
        <f t="shared" si="21"/>
        <v>1</v>
      </c>
      <c r="H64" s="1214">
        <f t="shared" si="21"/>
        <v>1</v>
      </c>
      <c r="I64" s="1214">
        <f t="shared" si="21"/>
        <v>1</v>
      </c>
      <c r="J64" s="1214">
        <f t="shared" si="21"/>
        <v>1</v>
      </c>
      <c r="K64" s="1215">
        <f t="shared" si="21"/>
        <v>0.3</v>
      </c>
      <c r="L64" s="1214">
        <f t="shared" si="21"/>
        <v>0.3</v>
      </c>
      <c r="M64" s="1214">
        <f t="shared" si="21"/>
        <v>0.3</v>
      </c>
      <c r="N64" s="1213">
        <f t="shared" si="21"/>
        <v>0.3</v>
      </c>
      <c r="O64" s="1212">
        <f t="shared" si="21"/>
        <v>0.3</v>
      </c>
      <c r="P64" s="1212">
        <f t="shared" si="21"/>
        <v>0.3</v>
      </c>
      <c r="Q64" s="1212">
        <f t="shared" si="21"/>
        <v>0.3</v>
      </c>
      <c r="R64" s="1212">
        <f t="shared" si="21"/>
        <v>0</v>
      </c>
      <c r="S64" s="1129"/>
      <c r="T64" s="41"/>
      <c r="U64" s="41"/>
    </row>
    <row r="65" spans="1:44">
      <c r="A65" s="1216"/>
      <c r="B65" s="1214"/>
      <c r="C65" s="1214"/>
      <c r="D65" s="1214"/>
      <c r="E65" s="1214"/>
      <c r="F65" s="1214"/>
      <c r="G65" s="1215"/>
      <c r="H65" s="1214"/>
      <c r="I65" s="1214"/>
      <c r="J65" s="1214"/>
      <c r="K65" s="1215"/>
      <c r="L65" s="1214"/>
      <c r="M65" s="1214"/>
      <c r="N65" s="1213"/>
      <c r="O65" s="1212"/>
      <c r="P65" s="1212"/>
      <c r="Q65" s="1212"/>
      <c r="R65" s="1212"/>
      <c r="S65" s="1129"/>
      <c r="T65" s="41"/>
      <c r="U65" s="41"/>
    </row>
    <row r="66" spans="1:44">
      <c r="A66" s="1211" t="s">
        <v>922</v>
      </c>
      <c r="B66" s="1129"/>
      <c r="C66" s="1129"/>
      <c r="D66" s="1129"/>
      <c r="E66" s="1129"/>
      <c r="F66" s="1129"/>
      <c r="G66" s="1207"/>
      <c r="H66" s="1129"/>
      <c r="I66" s="1129"/>
      <c r="J66" s="1129"/>
      <c r="K66" s="1207"/>
      <c r="L66" s="1129"/>
      <c r="M66" s="1129"/>
      <c r="N66" s="1206"/>
      <c r="O66" s="1205"/>
      <c r="P66" s="1205"/>
      <c r="Q66" s="1205"/>
      <c r="R66" s="1205"/>
      <c r="S66" s="1129"/>
      <c r="T66" s="41"/>
      <c r="U66" s="41"/>
      <c r="AB66" s="4"/>
      <c r="AC66" s="4"/>
    </row>
    <row r="67" spans="1:44">
      <c r="A67" s="1209" t="s">
        <v>150</v>
      </c>
      <c r="B67" s="1129" t="e">
        <f>+'c12_oc'!#REF!/'c12_inputs'!$C$3</f>
        <v>#REF!</v>
      </c>
      <c r="C67" s="1129" t="e">
        <f>+'c12_oc'!#REF!/'c12_inputs'!$C$3</f>
        <v>#REF!</v>
      </c>
      <c r="D67" s="1129" t="e">
        <f>+'c12_oc'!#REF!/'c12_inputs'!$C$3</f>
        <v>#REF!</v>
      </c>
      <c r="E67" s="1129" t="e">
        <f>+'c12_oc'!#REF!/'c12_inputs'!$C$3</f>
        <v>#REF!</v>
      </c>
      <c r="F67" s="1129">
        <f>+'c12_oc'!B$29/'c12_inputs'!$C$3</f>
        <v>0</v>
      </c>
      <c r="G67" s="1207">
        <f>+'c12_oc'!C$29/'c12_inputs'!$C$3</f>
        <v>-15828.333333333334</v>
      </c>
      <c r="H67" s="1129">
        <f>+'c12_oc'!D$29/'c12_inputs'!$C$3</f>
        <v>-15828.333333333334</v>
      </c>
      <c r="I67" s="1129">
        <f>+'c12_oc'!E$29/'c12_inputs'!$C$3</f>
        <v>-15828.333333333334</v>
      </c>
      <c r="J67" s="1129">
        <f>+'c12_oc'!F$29/'c12_inputs'!$C$3</f>
        <v>-15828.333333333334</v>
      </c>
      <c r="K67" s="1207">
        <f>+'c12_oc'!G$29/'c12_inputs'!$C$3</f>
        <v>-45000</v>
      </c>
      <c r="L67" s="1129">
        <f>+'c12_oc'!H$29/'c12_inputs'!$C$3</f>
        <v>-45000</v>
      </c>
      <c r="M67" s="1129">
        <f>+'c12_oc'!I$29/'c12_inputs'!$C$3</f>
        <v>-45000</v>
      </c>
      <c r="N67" s="1206">
        <f>+'c12_oc'!J$29/'c12_inputs'!$C$3</f>
        <v>-45000</v>
      </c>
      <c r="O67" s="1205">
        <f>+'c12_oc'!K$29/'c12_inputs'!$C$3</f>
        <v>-180000</v>
      </c>
      <c r="P67" s="1205">
        <f>+'c12_oc'!L$29/'c12_inputs'!$C$3</f>
        <v>-180000</v>
      </c>
      <c r="Q67" s="1205">
        <f>+'c12_oc'!M$29/'c12_inputs'!$C$3</f>
        <v>-180000</v>
      </c>
      <c r="R67" s="1205">
        <f>+'c12_oc'!N$29/'c12_inputs'!$C$3</f>
        <v>-100000</v>
      </c>
      <c r="S67" s="1129"/>
      <c r="T67" s="41"/>
      <c r="U67" s="41"/>
      <c r="AB67" s="4"/>
      <c r="AC67" s="4"/>
    </row>
    <row r="68" spans="1:44">
      <c r="A68" s="1146" t="s">
        <v>923</v>
      </c>
      <c r="B68" s="1129">
        <f t="shared" ref="B68:R68" si="22">-B124</f>
        <v>0</v>
      </c>
      <c r="C68" s="1129">
        <f t="shared" si="22"/>
        <v>0</v>
      </c>
      <c r="D68" s="1129">
        <f t="shared" si="22"/>
        <v>0</v>
      </c>
      <c r="E68" s="1129">
        <f t="shared" si="22"/>
        <v>0</v>
      </c>
      <c r="F68" s="1129">
        <f t="shared" si="22"/>
        <v>0</v>
      </c>
      <c r="G68" s="1207">
        <f t="shared" si="22"/>
        <v>-360000</v>
      </c>
      <c r="H68" s="1129">
        <f t="shared" si="22"/>
        <v>-360000</v>
      </c>
      <c r="I68" s="1129">
        <f t="shared" si="22"/>
        <v>-360000</v>
      </c>
      <c r="J68" s="1129">
        <f t="shared" si="22"/>
        <v>-593775</v>
      </c>
      <c r="K68" s="1207">
        <f t="shared" si="22"/>
        <v>-453600</v>
      </c>
      <c r="L68" s="1129">
        <f t="shared" si="22"/>
        <v>-484560</v>
      </c>
      <c r="M68" s="1129">
        <f t="shared" si="22"/>
        <v>-515520</v>
      </c>
      <c r="N68" s="1206">
        <f t="shared" si="22"/>
        <v>-1066190</v>
      </c>
      <c r="O68" s="1205">
        <f t="shared" si="22"/>
        <v>-3123806.6999999997</v>
      </c>
      <c r="P68" s="1205">
        <f t="shared" si="22"/>
        <v>-3251086.8599999994</v>
      </c>
      <c r="Q68" s="1205">
        <f t="shared" si="22"/>
        <v>-3384731.0279999995</v>
      </c>
      <c r="R68" s="1205">
        <f t="shared" si="22"/>
        <v>-3525057.4043999994</v>
      </c>
      <c r="S68" s="1129"/>
      <c r="T68" s="41"/>
      <c r="U68" s="41"/>
      <c r="AE68" s="73"/>
    </row>
    <row r="69" spans="1:44">
      <c r="A69" s="1209" t="s">
        <v>826</v>
      </c>
      <c r="B69" s="30" t="e">
        <f>+'c12_oc'!#REF!/'c12_inputs'!$C$3</f>
        <v>#REF!</v>
      </c>
      <c r="C69" s="1129" t="e">
        <f>+'c12_oc'!#REF!/'c12_inputs'!$C$3</f>
        <v>#REF!</v>
      </c>
      <c r="D69" s="1129" t="e">
        <f>+'c12_oc'!#REF!/'c12_inputs'!$C$3</f>
        <v>#REF!</v>
      </c>
      <c r="E69" s="1129" t="e">
        <f>+'c12_oc'!#REF!/'c12_inputs'!$C$3</f>
        <v>#REF!</v>
      </c>
      <c r="F69" s="1129">
        <f>+'c12_oc'!B$33/'c12_inputs'!$C$3</f>
        <v>0</v>
      </c>
      <c r="G69" s="1207">
        <f>+'c12_oc'!C$33/'c12_inputs'!$C$3</f>
        <v>0</v>
      </c>
      <c r="H69" s="1129">
        <f>+'c12_oc'!D$33/'c12_inputs'!$C$3</f>
        <v>0</v>
      </c>
      <c r="I69" s="1129">
        <f>+'c12_oc'!E$33/'c12_inputs'!$C$3</f>
        <v>0</v>
      </c>
      <c r="J69" s="1129">
        <f>+'c12_oc'!F$33/'c12_inputs'!$C$3</f>
        <v>-63999.999999999993</v>
      </c>
      <c r="K69" s="1207">
        <f>+'c12_oc'!G$33/'c12_inputs'!$C$3</f>
        <v>-105789.12</v>
      </c>
      <c r="L69" s="1129">
        <f>+'c12_oc'!H$33/'c12_inputs'!$C$3</f>
        <v>-105789.12</v>
      </c>
      <c r="M69" s="1129">
        <f>+'c12_oc'!I$33/'c12_inputs'!$C$3</f>
        <v>-105789.12</v>
      </c>
      <c r="N69" s="1206">
        <f>+'c12_oc'!J$33/'c12_inputs'!$C$3</f>
        <v>-107503.46999999999</v>
      </c>
      <c r="O69" s="1205">
        <f>+'c12_oc'!K$33/'c12_inputs'!$C$3</f>
        <v>-470408.12000000005</v>
      </c>
      <c r="P69" s="1205">
        <f>+'c12_oc'!L$33/'c12_inputs'!$C$3</f>
        <v>-470408.12000000005</v>
      </c>
      <c r="Q69" s="1205">
        <f>+'c12_oc'!M$33/'c12_inputs'!$C$3</f>
        <v>-470408.12000000005</v>
      </c>
      <c r="R69" s="1205">
        <f>+'c12_oc'!N$33/'c12_inputs'!$C$3</f>
        <v>-470408.12000000005</v>
      </c>
      <c r="S69" s="1129"/>
      <c r="T69" s="41"/>
      <c r="U69" s="41"/>
      <c r="AE69" s="1"/>
      <c r="AF69" s="1"/>
      <c r="AG69" s="1"/>
      <c r="AH69" s="1"/>
      <c r="AI69" s="1"/>
      <c r="AJ69" s="1"/>
      <c r="AL69" s="1"/>
      <c r="AM69" s="1"/>
      <c r="AN69" s="1"/>
      <c r="AO69" s="1"/>
      <c r="AP69" s="1"/>
      <c r="AQ69" s="1"/>
      <c r="AR69" s="1"/>
    </row>
    <row r="70" spans="1:44">
      <c r="A70" s="1210" t="s">
        <v>145</v>
      </c>
      <c r="B70" s="30" t="e">
        <f>+'c12_oc'!#REF!/'c12_inputs'!$C$3</f>
        <v>#REF!</v>
      </c>
      <c r="C70" s="1129" t="e">
        <f>+'c12_oc'!#REF!/'c12_inputs'!$C$3</f>
        <v>#REF!</v>
      </c>
      <c r="D70" s="1129" t="e">
        <f>+'c12_oc'!#REF!/'c12_inputs'!$C$3</f>
        <v>#REF!</v>
      </c>
      <c r="E70" s="1129" t="e">
        <f>+'c12_oc'!#REF!/'c12_inputs'!$C$3</f>
        <v>#REF!</v>
      </c>
      <c r="F70" s="1129">
        <f>+'c12_oc'!B$30/'c12_inputs'!$C$3</f>
        <v>-160000</v>
      </c>
      <c r="G70" s="1207">
        <f>+'c12_oc'!C$30/'c12_inputs'!$C$3</f>
        <v>-37517.666666666664</v>
      </c>
      <c r="H70" s="1129">
        <f>+'c12_oc'!D$30/'c12_inputs'!$C$3</f>
        <v>-62235</v>
      </c>
      <c r="I70" s="1129">
        <f>+'c12_oc'!E$30/'c12_inputs'!$C$3</f>
        <v>-49566.333333333336</v>
      </c>
      <c r="J70" s="1129">
        <f>+'c12_oc'!F$30/'c12_inputs'!$C$3</f>
        <v>-83143.666666666672</v>
      </c>
      <c r="K70" s="1207">
        <f>+'c12_oc'!G$30/'c12_inputs'!$C$3</f>
        <v>-58115.666666666664</v>
      </c>
      <c r="L70" s="1129">
        <f>+'c12_oc'!H$30/'c12_inputs'!$C$3</f>
        <v>-58115.666666666664</v>
      </c>
      <c r="M70" s="1129">
        <f>+'c12_oc'!I$30/'c12_inputs'!$C$3</f>
        <v>-58115.666666666664</v>
      </c>
      <c r="N70" s="1206">
        <f>+'c12_oc'!J$30/'c12_inputs'!$C$3</f>
        <v>-58115.666666666664</v>
      </c>
      <c r="O70" s="1205">
        <f>+'c12_oc'!K$30/'c12_inputs'!$C$3</f>
        <v>-232462.66666666666</v>
      </c>
      <c r="P70" s="1205">
        <f>+'c12_oc'!L$30/'c12_inputs'!$C$3</f>
        <v>-232462.66666666666</v>
      </c>
      <c r="Q70" s="1205">
        <f>+'c12_oc'!M$30/'c12_inputs'!$C$3</f>
        <v>-232462.66666666666</v>
      </c>
      <c r="R70" s="1205">
        <f>+'c12_oc'!N$30/'c12_inputs'!$C$3</f>
        <v>-232462.66666666666</v>
      </c>
      <c r="S70" s="1129"/>
      <c r="T70" s="41"/>
      <c r="U70" s="41"/>
      <c r="AE70" s="1"/>
      <c r="AF70" s="1"/>
      <c r="AG70" s="1"/>
      <c r="AH70" s="1"/>
      <c r="AI70" s="1"/>
      <c r="AJ70" s="1"/>
      <c r="AL70" s="1"/>
      <c r="AM70" s="1"/>
      <c r="AN70" s="1"/>
      <c r="AO70" s="1"/>
      <c r="AP70" s="1"/>
      <c r="AQ70" s="1"/>
      <c r="AR70" s="1"/>
    </row>
    <row r="71" spans="1:44">
      <c r="A71" s="1209" t="s">
        <v>146</v>
      </c>
      <c r="B71" s="30" t="e">
        <f>+'c12_oc'!#REF!/'c12_inputs'!$C$3</f>
        <v>#REF!</v>
      </c>
      <c r="C71" s="1129" t="e">
        <f>+'c12_oc'!#REF!/'c12_inputs'!$C$3</f>
        <v>#REF!</v>
      </c>
      <c r="D71" s="1129" t="e">
        <f>+'c12_oc'!#REF!/'c12_inputs'!$C$3</f>
        <v>#REF!</v>
      </c>
      <c r="E71" s="1129" t="e">
        <f>+'c12_oc'!#REF!/'c12_inputs'!$C$3</f>
        <v>#REF!</v>
      </c>
      <c r="F71" s="1129">
        <f>+'c12_oc'!B$31/'c12_inputs'!$C$3</f>
        <v>0</v>
      </c>
      <c r="G71" s="1207">
        <f>+'c12_oc'!C$31/'c12_inputs'!$C$3</f>
        <v>0</v>
      </c>
      <c r="H71" s="1129">
        <f>+'c12_oc'!D$31/'c12_inputs'!$C$3</f>
        <v>0</v>
      </c>
      <c r="I71" s="1129">
        <f>+'c12_oc'!E$31/'c12_inputs'!$C$3</f>
        <v>0</v>
      </c>
      <c r="J71" s="1129">
        <f>+'c12_oc'!F$31/'c12_inputs'!$C$3</f>
        <v>0</v>
      </c>
      <c r="K71" s="1207">
        <f>+'c12_oc'!G$31/'c12_inputs'!$C$3</f>
        <v>0</v>
      </c>
      <c r="L71" s="1129">
        <f>+'c12_oc'!H$31/'c12_inputs'!$C$3</f>
        <v>-33333.333333333336</v>
      </c>
      <c r="M71" s="1129">
        <f>+'c12_oc'!I$31/'c12_inputs'!$C$3</f>
        <v>-33333.333333333336</v>
      </c>
      <c r="N71" s="1206">
        <f>+'c12_oc'!J$31/'c12_inputs'!$C$3</f>
        <v>0</v>
      </c>
      <c r="O71" s="1205">
        <f>+'c12_oc'!K$31/'c12_inputs'!$C$3</f>
        <v>0</v>
      </c>
      <c r="P71" s="1205">
        <f>+'c12_oc'!L$31/'c12_inputs'!$C$3</f>
        <v>0</v>
      </c>
      <c r="Q71" s="1205">
        <f>+'c12_oc'!M$31/'c12_inputs'!$C$3</f>
        <v>0</v>
      </c>
      <c r="R71" s="1205">
        <f>+'c12_oc'!N$31/'c12_inputs'!$C$3</f>
        <v>0</v>
      </c>
      <c r="S71" s="1129"/>
      <c r="T71" s="41"/>
      <c r="U71" s="41"/>
      <c r="AE71" s="1"/>
      <c r="AF71" s="1"/>
      <c r="AG71" s="1"/>
      <c r="AH71" s="1"/>
      <c r="AI71" s="1"/>
      <c r="AJ71" s="1"/>
      <c r="AL71" s="1"/>
      <c r="AM71" s="1"/>
      <c r="AN71" s="1"/>
      <c r="AO71" s="1"/>
      <c r="AP71" s="1"/>
      <c r="AQ71" s="1"/>
      <c r="AR71" s="1"/>
    </row>
    <row r="72" spans="1:44">
      <c r="A72" s="1209" t="s">
        <v>827</v>
      </c>
      <c r="B72" s="1208" t="e">
        <f>+'c12_oc'!#REF!/'c12_inputs'!$C$3</f>
        <v>#REF!</v>
      </c>
      <c r="C72" s="1129" t="e">
        <f>+'c12_oc'!#REF!/'c12_inputs'!$C$3</f>
        <v>#REF!</v>
      </c>
      <c r="D72" s="1129" t="e">
        <f>+'c12_oc'!#REF!/'c12_inputs'!$C$3</f>
        <v>#REF!</v>
      </c>
      <c r="E72" s="1129" t="e">
        <f>+'c12_oc'!#REF!/'c12_inputs'!$C$3</f>
        <v>#REF!</v>
      </c>
      <c r="F72" s="1129">
        <f>+'c12_oc'!B$34/'c12_inputs'!$C$3</f>
        <v>0</v>
      </c>
      <c r="G72" s="1207">
        <f>+'c12_oc'!C$34/'c12_inputs'!$C$3</f>
        <v>0</v>
      </c>
      <c r="H72" s="1129">
        <f>+'c12_oc'!D$34/'c12_inputs'!$C$3</f>
        <v>0</v>
      </c>
      <c r="I72" s="1129">
        <f>+'c12_oc'!E$34/'c12_inputs'!$C$3</f>
        <v>-15000</v>
      </c>
      <c r="J72" s="1129">
        <f>+'c12_oc'!F$34/'c12_inputs'!$C$3</f>
        <v>-199909.33333333334</v>
      </c>
      <c r="K72" s="1207">
        <f>+'c12_oc'!G$34/'c12_inputs'!$C$3</f>
        <v>-540000</v>
      </c>
      <c r="L72" s="1129">
        <f>+'c12_oc'!H$34/'c12_inputs'!$C$3</f>
        <v>-700000</v>
      </c>
      <c r="M72" s="1129">
        <f>+'c12_oc'!I$34/'c12_inputs'!$C$3</f>
        <v>-100000</v>
      </c>
      <c r="N72" s="1206">
        <f>+'c12_oc'!J$34/'c12_inputs'!$C$3</f>
        <v>-100000</v>
      </c>
      <c r="O72" s="1205">
        <f>+'c12_oc'!K$34/'c12_inputs'!$C$3</f>
        <v>0</v>
      </c>
      <c r="P72" s="1205">
        <f>+'c12_oc'!L$34/'c12_inputs'!$C$3</f>
        <v>0</v>
      </c>
      <c r="Q72" s="1205">
        <f>+'c12_oc'!M$34/'c12_inputs'!$C$3</f>
        <v>0</v>
      </c>
      <c r="R72" s="1205">
        <f>+'c12_oc'!N$34/'c12_inputs'!$C$3</f>
        <v>0</v>
      </c>
      <c r="S72" s="1129"/>
      <c r="T72" s="41"/>
      <c r="U72" s="41"/>
      <c r="AE72" s="1"/>
      <c r="AF72" s="1"/>
      <c r="AG72" s="1"/>
      <c r="AH72" s="1"/>
      <c r="AI72" s="1"/>
      <c r="AJ72" s="1"/>
      <c r="AL72" s="1"/>
      <c r="AM72" s="1"/>
      <c r="AN72" s="1"/>
      <c r="AO72" s="1"/>
      <c r="AP72" s="1"/>
      <c r="AQ72" s="1"/>
      <c r="AR72" s="1"/>
    </row>
    <row r="73" spans="1:44">
      <c r="A73" s="1204" t="s">
        <v>924</v>
      </c>
      <c r="B73" s="1202" t="e">
        <f t="shared" ref="B73:R73" si="23">SUM(B67:B72)</f>
        <v>#REF!</v>
      </c>
      <c r="C73" s="1202" t="e">
        <f t="shared" si="23"/>
        <v>#REF!</v>
      </c>
      <c r="D73" s="1202" t="e">
        <f t="shared" si="23"/>
        <v>#REF!</v>
      </c>
      <c r="E73" s="1202" t="e">
        <f t="shared" si="23"/>
        <v>#REF!</v>
      </c>
      <c r="F73" s="1202">
        <f t="shared" si="23"/>
        <v>-160000</v>
      </c>
      <c r="G73" s="1203">
        <f t="shared" si="23"/>
        <v>-413346</v>
      </c>
      <c r="H73" s="1202">
        <f t="shared" si="23"/>
        <v>-438063.33333333331</v>
      </c>
      <c r="I73" s="1202">
        <f t="shared" si="23"/>
        <v>-440394.66666666663</v>
      </c>
      <c r="J73" s="1202">
        <f t="shared" si="23"/>
        <v>-956656.33333333337</v>
      </c>
      <c r="K73" s="1203">
        <f t="shared" si="23"/>
        <v>-1202504.7866666666</v>
      </c>
      <c r="L73" s="1202">
        <f t="shared" si="23"/>
        <v>-1426798.12</v>
      </c>
      <c r="M73" s="1202">
        <f t="shared" si="23"/>
        <v>-857758.12</v>
      </c>
      <c r="N73" s="1201">
        <f t="shared" si="23"/>
        <v>-1376809.1366666667</v>
      </c>
      <c r="O73" s="1200">
        <f t="shared" si="23"/>
        <v>-4006677.4866666663</v>
      </c>
      <c r="P73" s="1200">
        <f t="shared" si="23"/>
        <v>-4133957.646666666</v>
      </c>
      <c r="Q73" s="1200">
        <f t="shared" si="23"/>
        <v>-4267601.8146666661</v>
      </c>
      <c r="R73" s="1200">
        <f t="shared" si="23"/>
        <v>-4327928.1910666665</v>
      </c>
      <c r="S73" s="1199"/>
      <c r="T73" s="41"/>
      <c r="U73" s="41"/>
      <c r="AE73" s="1"/>
      <c r="AF73" s="1"/>
      <c r="AG73" s="1"/>
      <c r="AH73" s="1"/>
      <c r="AI73" s="1"/>
      <c r="AJ73" s="1"/>
      <c r="AL73" s="1"/>
      <c r="AM73" s="1"/>
      <c r="AN73" s="1"/>
      <c r="AO73" s="1"/>
      <c r="AP73" s="1"/>
      <c r="AQ73" s="1"/>
      <c r="AR73" s="1"/>
    </row>
    <row r="74" spans="1:44">
      <c r="A74" s="1186"/>
      <c r="B74" s="1198"/>
      <c r="C74" s="1198"/>
      <c r="D74" s="1198"/>
      <c r="E74" s="1198"/>
      <c r="F74" s="1198"/>
      <c r="G74" s="1185"/>
      <c r="H74" s="1198"/>
      <c r="I74" s="1198"/>
      <c r="J74" s="1198"/>
      <c r="K74" s="1185"/>
      <c r="L74" s="1198"/>
      <c r="M74" s="1198"/>
      <c r="N74" s="1197"/>
      <c r="O74" s="1182"/>
      <c r="P74" s="1182"/>
      <c r="Q74" s="1182"/>
      <c r="R74" s="1182"/>
      <c r="S74" s="1129"/>
      <c r="T74" s="41"/>
      <c r="U74" s="41"/>
      <c r="AE74" s="1"/>
      <c r="AF74" s="1"/>
      <c r="AG74" s="1"/>
      <c r="AH74" s="1"/>
      <c r="AI74" s="1"/>
      <c r="AJ74" s="1"/>
      <c r="AL74" s="1"/>
      <c r="AM74" s="1"/>
      <c r="AN74" s="1"/>
      <c r="AO74" s="1"/>
      <c r="AP74" s="1"/>
      <c r="AQ74" s="1"/>
      <c r="AR74" s="1"/>
    </row>
    <row r="75" spans="1:44">
      <c r="A75" s="1196" t="str">
        <f ca="1">A1&amp;" Profit"</f>
        <v>c12_hm Profit</v>
      </c>
      <c r="B75" s="1194" t="e">
        <f t="shared" ref="B75:R75" si="24">+B58+B79-B73</f>
        <v>#REF!</v>
      </c>
      <c r="C75" s="1194" t="e">
        <f t="shared" si="24"/>
        <v>#REF!</v>
      </c>
      <c r="D75" s="1194" t="e">
        <f t="shared" si="24"/>
        <v>#REF!</v>
      </c>
      <c r="E75" s="1194" t="e">
        <f t="shared" si="24"/>
        <v>#REF!</v>
      </c>
      <c r="F75" s="1194">
        <f t="shared" si="24"/>
        <v>1639651</v>
      </c>
      <c r="G75" s="1195">
        <f t="shared" si="24"/>
        <v>558947</v>
      </c>
      <c r="H75" s="1194">
        <f t="shared" si="24"/>
        <v>558947</v>
      </c>
      <c r="I75" s="1194">
        <f t="shared" si="24"/>
        <v>558947</v>
      </c>
      <c r="J75" s="1194">
        <f t="shared" si="24"/>
        <v>447597</v>
      </c>
      <c r="K75" s="1195">
        <f t="shared" si="24"/>
        <v>14999.877749999985</v>
      </c>
      <c r="L75" s="1194">
        <f t="shared" si="24"/>
        <v>192576.44999999995</v>
      </c>
      <c r="M75" s="1194">
        <f t="shared" si="24"/>
        <v>192576.44999999995</v>
      </c>
      <c r="N75" s="1193">
        <f t="shared" si="24"/>
        <v>543276.44999999995</v>
      </c>
      <c r="O75" s="1192">
        <f t="shared" si="24"/>
        <v>928414.97399999993</v>
      </c>
      <c r="P75" s="1192">
        <f t="shared" si="24"/>
        <v>1417217.4232199998</v>
      </c>
      <c r="Q75" s="1192">
        <f t="shared" si="24"/>
        <v>2245086.0299165999</v>
      </c>
      <c r="R75" s="1192">
        <f t="shared" si="24"/>
        <v>2170407.424148805</v>
      </c>
      <c r="S75" s="31"/>
      <c r="T75" s="41"/>
      <c r="U75" s="41"/>
      <c r="AE75" s="1"/>
      <c r="AF75" s="1"/>
      <c r="AG75" s="1"/>
      <c r="AH75" s="1"/>
      <c r="AI75" s="1"/>
      <c r="AJ75" s="1"/>
      <c r="AL75" s="1"/>
      <c r="AM75" s="1"/>
      <c r="AN75" s="1"/>
      <c r="AO75" s="1"/>
      <c r="AP75" s="1"/>
      <c r="AQ75" s="1"/>
      <c r="AR75" s="1"/>
    </row>
    <row r="76" spans="1:44">
      <c r="A76" s="40"/>
      <c r="G76" s="1191"/>
      <c r="K76" s="1191"/>
      <c r="N76" s="1190"/>
      <c r="O76" s="396"/>
      <c r="P76" s="396"/>
      <c r="Q76" s="396"/>
      <c r="R76" s="396"/>
      <c r="T76" s="41"/>
      <c r="U76" s="41"/>
      <c r="AE76" s="1"/>
      <c r="AF76" s="1"/>
      <c r="AG76" s="1"/>
      <c r="AH76" s="1"/>
      <c r="AI76" s="1"/>
      <c r="AJ76" s="1"/>
      <c r="AL76" s="1"/>
      <c r="AM76" s="1"/>
      <c r="AN76" s="1"/>
      <c r="AO76" s="1"/>
      <c r="AP76" s="1"/>
      <c r="AQ76" s="1"/>
      <c r="AR76" s="1"/>
    </row>
    <row r="77" spans="1:44">
      <c r="A77" s="40" t="s">
        <v>925</v>
      </c>
      <c r="B77" s="31">
        <f t="shared" ref="B77:R77" si="25">+B53</f>
        <v>498750</v>
      </c>
      <c r="C77" s="31">
        <f t="shared" si="25"/>
        <v>470916.25</v>
      </c>
      <c r="D77" s="31">
        <f t="shared" si="25"/>
        <v>888422</v>
      </c>
      <c r="E77" s="31">
        <f t="shared" si="25"/>
        <v>1289345</v>
      </c>
      <c r="F77" s="31">
        <f t="shared" si="25"/>
        <v>1639651</v>
      </c>
      <c r="G77" s="1189">
        <f t="shared" si="25"/>
        <v>558947</v>
      </c>
      <c r="H77" s="31">
        <f t="shared" si="25"/>
        <v>558947</v>
      </c>
      <c r="I77" s="31">
        <f t="shared" si="25"/>
        <v>558947</v>
      </c>
      <c r="J77" s="31">
        <f t="shared" si="25"/>
        <v>447597</v>
      </c>
      <c r="K77" s="1189">
        <f t="shared" si="25"/>
        <v>256062.09250000003</v>
      </c>
      <c r="L77" s="31">
        <f t="shared" si="25"/>
        <v>876202.75</v>
      </c>
      <c r="M77" s="31">
        <f t="shared" si="25"/>
        <v>904421.5</v>
      </c>
      <c r="N77" s="1188">
        <f t="shared" si="25"/>
        <v>2073421.5</v>
      </c>
      <c r="O77" s="1187">
        <f t="shared" si="25"/>
        <v>4197216.58</v>
      </c>
      <c r="P77" s="1187">
        <f t="shared" si="25"/>
        <v>5881683.0773999998</v>
      </c>
      <c r="Q77" s="1187">
        <f t="shared" si="25"/>
        <v>8699126.3497219998</v>
      </c>
      <c r="R77" s="1187">
        <f t="shared" si="25"/>
        <v>8510972.976329349</v>
      </c>
      <c r="S77" s="31"/>
      <c r="T77" s="41"/>
      <c r="U77" s="41"/>
      <c r="AE77" s="1"/>
      <c r="AF77" s="1"/>
      <c r="AG77" s="1"/>
      <c r="AH77" s="1"/>
      <c r="AI77" s="1"/>
      <c r="AJ77" s="1"/>
      <c r="AL77" s="1"/>
      <c r="AM77" s="1"/>
      <c r="AN77" s="1"/>
      <c r="AO77" s="1"/>
      <c r="AP77" s="1"/>
      <c r="AQ77" s="1"/>
      <c r="AR77" s="1"/>
    </row>
    <row r="78" spans="1:44">
      <c r="A78" s="40" t="s">
        <v>926</v>
      </c>
      <c r="B78" s="31">
        <f t="shared" ref="B78:R78" si="26">(B58)*-1</f>
        <v>0</v>
      </c>
      <c r="C78" s="31">
        <f t="shared" si="26"/>
        <v>-470911</v>
      </c>
      <c r="D78" s="31">
        <f t="shared" si="26"/>
        <v>-888422</v>
      </c>
      <c r="E78" s="31">
        <f t="shared" si="26"/>
        <v>-1289345</v>
      </c>
      <c r="F78" s="31">
        <f t="shared" si="26"/>
        <v>-1639651</v>
      </c>
      <c r="G78" s="1189">
        <f t="shared" si="26"/>
        <v>-558947</v>
      </c>
      <c r="H78" s="31">
        <f t="shared" si="26"/>
        <v>-558947</v>
      </c>
      <c r="I78" s="31">
        <f t="shared" si="26"/>
        <v>-558947</v>
      </c>
      <c r="J78" s="31">
        <f t="shared" si="26"/>
        <v>-447597</v>
      </c>
      <c r="K78" s="1189">
        <f t="shared" si="26"/>
        <v>-14999.877750000007</v>
      </c>
      <c r="L78" s="31">
        <f t="shared" si="26"/>
        <v>-192576.44999999998</v>
      </c>
      <c r="M78" s="31">
        <f t="shared" si="26"/>
        <v>-192576.44999999998</v>
      </c>
      <c r="N78" s="1188">
        <f t="shared" si="26"/>
        <v>-543276.44999999995</v>
      </c>
      <c r="O78" s="1187">
        <f t="shared" si="26"/>
        <v>-928414.97400000005</v>
      </c>
      <c r="P78" s="1187">
        <f t="shared" si="26"/>
        <v>-1417217.42322</v>
      </c>
      <c r="Q78" s="1187">
        <f t="shared" si="26"/>
        <v>-2245086.0299165999</v>
      </c>
      <c r="R78" s="1187">
        <f t="shared" si="26"/>
        <v>-2170407.424148805</v>
      </c>
      <c r="S78" s="31"/>
      <c r="T78" s="41"/>
      <c r="U78" s="41"/>
      <c r="AE78" s="1"/>
      <c r="AF78" s="1"/>
      <c r="AG78" s="1"/>
      <c r="AH78" s="1"/>
      <c r="AI78" s="1"/>
      <c r="AJ78" s="1"/>
      <c r="AL78" s="1"/>
      <c r="AM78" s="1"/>
      <c r="AN78" s="1"/>
      <c r="AO78" s="1"/>
      <c r="AP78" s="1"/>
      <c r="AQ78" s="1"/>
      <c r="AR78" s="1"/>
    </row>
    <row r="79" spans="1:44">
      <c r="A79" s="1186" t="s">
        <v>927</v>
      </c>
      <c r="B79" s="1184" t="e">
        <f t="shared" ref="B79:R79" si="27">+B73</f>
        <v>#REF!</v>
      </c>
      <c r="C79" s="1184" t="e">
        <f t="shared" si="27"/>
        <v>#REF!</v>
      </c>
      <c r="D79" s="1184" t="e">
        <f t="shared" si="27"/>
        <v>#REF!</v>
      </c>
      <c r="E79" s="1184" t="e">
        <f t="shared" si="27"/>
        <v>#REF!</v>
      </c>
      <c r="F79" s="1184">
        <f t="shared" si="27"/>
        <v>-160000</v>
      </c>
      <c r="G79" s="1185">
        <f t="shared" si="27"/>
        <v>-413346</v>
      </c>
      <c r="H79" s="1184">
        <f t="shared" si="27"/>
        <v>-438063.33333333331</v>
      </c>
      <c r="I79" s="1184">
        <f t="shared" si="27"/>
        <v>-440394.66666666663</v>
      </c>
      <c r="J79" s="1184">
        <f t="shared" si="27"/>
        <v>-956656.33333333337</v>
      </c>
      <c r="K79" s="1185">
        <f t="shared" si="27"/>
        <v>-1202504.7866666666</v>
      </c>
      <c r="L79" s="1184">
        <f t="shared" si="27"/>
        <v>-1426798.12</v>
      </c>
      <c r="M79" s="1184">
        <f t="shared" si="27"/>
        <v>-857758.12</v>
      </c>
      <c r="N79" s="1183">
        <f t="shared" si="27"/>
        <v>-1376809.1366666667</v>
      </c>
      <c r="O79" s="1182">
        <f t="shared" si="27"/>
        <v>-4006677.4866666663</v>
      </c>
      <c r="P79" s="1182">
        <f t="shared" si="27"/>
        <v>-4133957.646666666</v>
      </c>
      <c r="Q79" s="1182">
        <f t="shared" si="27"/>
        <v>-4267601.8146666661</v>
      </c>
      <c r="R79" s="1182">
        <f t="shared" si="27"/>
        <v>-4327928.1910666665</v>
      </c>
      <c r="S79" s="1129"/>
      <c r="T79" s="41"/>
      <c r="U79" s="41"/>
      <c r="AE79" s="1"/>
      <c r="AF79" s="1"/>
      <c r="AG79" s="1"/>
      <c r="AH79" s="1"/>
      <c r="AI79" s="1"/>
      <c r="AJ79" s="1"/>
      <c r="AL79" s="1"/>
      <c r="AM79" s="1"/>
      <c r="AN79" s="1"/>
      <c r="AO79" s="1"/>
      <c r="AP79" s="1"/>
      <c r="AQ79" s="1"/>
      <c r="AR79" s="1"/>
    </row>
    <row r="80" spans="1:44" ht="14.7" customHeight="1" thickBot="1">
      <c r="A80" s="1181" t="s">
        <v>879</v>
      </c>
      <c r="B80" s="1179" t="e">
        <f t="shared" ref="B80:R80" si="28">B77+B78+B79</f>
        <v>#REF!</v>
      </c>
      <c r="C80" s="1179" t="e">
        <f t="shared" si="28"/>
        <v>#REF!</v>
      </c>
      <c r="D80" s="1179" t="e">
        <f t="shared" si="28"/>
        <v>#REF!</v>
      </c>
      <c r="E80" s="1179" t="e">
        <f t="shared" si="28"/>
        <v>#REF!</v>
      </c>
      <c r="F80" s="1179">
        <f t="shared" si="28"/>
        <v>-160000</v>
      </c>
      <c r="G80" s="1180">
        <f t="shared" si="28"/>
        <v>-413346</v>
      </c>
      <c r="H80" s="1179">
        <f t="shared" si="28"/>
        <v>-438063.33333333331</v>
      </c>
      <c r="I80" s="1179">
        <f t="shared" si="28"/>
        <v>-440394.66666666663</v>
      </c>
      <c r="J80" s="1179">
        <f t="shared" si="28"/>
        <v>-956656.33333333337</v>
      </c>
      <c r="K80" s="1180">
        <f t="shared" si="28"/>
        <v>-961442.57191666658</v>
      </c>
      <c r="L80" s="1179">
        <f t="shared" si="28"/>
        <v>-743171.82000000007</v>
      </c>
      <c r="M80" s="1179">
        <f t="shared" si="28"/>
        <v>-145913.06999999995</v>
      </c>
      <c r="N80" s="1178">
        <f t="shared" si="28"/>
        <v>153335.91333333333</v>
      </c>
      <c r="O80" s="1177">
        <f t="shared" si="28"/>
        <v>-737875.8806666662</v>
      </c>
      <c r="P80" s="1177">
        <f t="shared" si="28"/>
        <v>330508.00751333358</v>
      </c>
      <c r="Q80" s="1177">
        <f t="shared" si="28"/>
        <v>2186438.5051387344</v>
      </c>
      <c r="R80" s="1177">
        <f t="shared" si="28"/>
        <v>2012637.361113877</v>
      </c>
      <c r="S80" s="1176"/>
      <c r="T80" s="41"/>
      <c r="U80" s="41"/>
      <c r="AE80" s="1"/>
      <c r="AF80" s="1"/>
      <c r="AG80" s="1"/>
      <c r="AH80" s="1"/>
      <c r="AI80" s="1"/>
      <c r="AJ80" s="1"/>
      <c r="AL80" s="1"/>
      <c r="AM80" s="1"/>
      <c r="AN80" s="1"/>
      <c r="AO80" s="1"/>
      <c r="AP80" s="1"/>
      <c r="AQ80" s="1"/>
      <c r="AR80" s="1"/>
    </row>
    <row r="81" spans="1:44">
      <c r="A81" s="1170"/>
      <c r="B81" s="1129"/>
      <c r="C81" s="1129"/>
      <c r="D81" s="1129"/>
      <c r="E81" s="1129"/>
      <c r="F81" s="1175"/>
      <c r="G81" s="1129"/>
      <c r="H81" s="1129"/>
      <c r="I81" s="1129"/>
      <c r="J81" s="1175"/>
      <c r="K81" s="1129"/>
      <c r="L81" s="1129"/>
      <c r="M81" s="1129"/>
      <c r="N81" s="1175"/>
      <c r="O81" s="1129"/>
      <c r="P81" s="1129"/>
      <c r="Q81" s="1129"/>
      <c r="R81" s="1129"/>
      <c r="S81" s="1129"/>
      <c r="T81" s="41"/>
      <c r="U81" s="41"/>
      <c r="AE81" s="1"/>
      <c r="AF81" s="1"/>
      <c r="AG81" s="1"/>
      <c r="AH81" s="1"/>
      <c r="AI81" s="1"/>
      <c r="AJ81" s="1"/>
      <c r="AK81" s="2"/>
      <c r="AL81" s="1"/>
      <c r="AM81" s="1"/>
      <c r="AN81" s="1"/>
      <c r="AO81" s="1"/>
      <c r="AP81" s="1"/>
      <c r="AQ81" s="1"/>
      <c r="AR81" s="1"/>
    </row>
    <row r="82" spans="1:44">
      <c r="A82" s="1170" t="s">
        <v>928</v>
      </c>
      <c r="B82" s="1129">
        <f t="shared" ref="B82:R82" si="29">+B19+B48</f>
        <v>0</v>
      </c>
      <c r="C82" s="1129">
        <f t="shared" si="29"/>
        <v>0</v>
      </c>
      <c r="D82" s="1129">
        <f t="shared" si="29"/>
        <v>0</v>
      </c>
      <c r="E82" s="1129">
        <f t="shared" si="29"/>
        <v>0</v>
      </c>
      <c r="F82" s="1129">
        <f t="shared" si="29"/>
        <v>0</v>
      </c>
      <c r="G82" s="1129">
        <f t="shared" si="29"/>
        <v>-113077.75</v>
      </c>
      <c r="H82" s="1129">
        <f t="shared" si="29"/>
        <v>-226155.5</v>
      </c>
      <c r="I82" s="1129">
        <f t="shared" si="29"/>
        <v>-339233.25</v>
      </c>
      <c r="J82" s="1129">
        <f t="shared" si="29"/>
        <v>-563661</v>
      </c>
      <c r="K82" s="1129">
        <f t="shared" si="29"/>
        <v>-1162989</v>
      </c>
      <c r="L82" s="1129">
        <f t="shared" si="29"/>
        <v>-1170395.0925</v>
      </c>
      <c r="M82" s="1129">
        <f t="shared" si="29"/>
        <v>-1177801.1850000001</v>
      </c>
      <c r="N82" s="1129">
        <f t="shared" si="29"/>
        <v>-516207.27750000008</v>
      </c>
      <c r="O82" s="1129">
        <f t="shared" si="29"/>
        <v>-1546720.3785999999</v>
      </c>
      <c r="P82" s="1129">
        <f t="shared" si="29"/>
        <v>-1578148.872733</v>
      </c>
      <c r="Q82" s="1129">
        <f t="shared" si="29"/>
        <v>-610520.22168998979</v>
      </c>
      <c r="R82" s="1129">
        <f t="shared" si="29"/>
        <v>0</v>
      </c>
      <c r="S82" s="1129"/>
      <c r="T82" s="41"/>
      <c r="U82" s="41"/>
    </row>
    <row r="83" spans="1:44">
      <c r="A83" s="1170" t="s">
        <v>158</v>
      </c>
      <c r="B83" s="1129">
        <f>+B61+B62</f>
        <v>0</v>
      </c>
      <c r="C83" s="1129">
        <f>+C61+C62</f>
        <v>0</v>
      </c>
      <c r="D83" s="1129">
        <f>+D61+D62</f>
        <v>0</v>
      </c>
      <c r="E83" s="1129">
        <f>+E61+E62</f>
        <v>0</v>
      </c>
      <c r="F83" s="1129">
        <f>+F61+F62</f>
        <v>0</v>
      </c>
      <c r="G83" s="1129">
        <f t="shared" ref="G83:R83" si="30">G61+G62</f>
        <v>-113077.75</v>
      </c>
      <c r="H83" s="1129">
        <f t="shared" si="30"/>
        <v>-226155.5</v>
      </c>
      <c r="I83" s="1129">
        <f t="shared" si="30"/>
        <v>-339233.25</v>
      </c>
      <c r="J83" s="1129">
        <f t="shared" si="30"/>
        <v>-563661</v>
      </c>
      <c r="K83" s="1129">
        <f t="shared" si="30"/>
        <v>-348896.7</v>
      </c>
      <c r="L83" s="1129">
        <f t="shared" si="30"/>
        <v>-351118.52775000001</v>
      </c>
      <c r="M83" s="1129">
        <f t="shared" si="30"/>
        <v>-353340.35550000001</v>
      </c>
      <c r="N83" s="1129">
        <f t="shared" si="30"/>
        <v>-154862.18325000003</v>
      </c>
      <c r="O83" s="1129">
        <f t="shared" si="30"/>
        <v>-464016.11357999995</v>
      </c>
      <c r="P83" s="1129">
        <f t="shared" si="30"/>
        <v>-473444.66181989998</v>
      </c>
      <c r="Q83" s="1129">
        <f t="shared" si="30"/>
        <v>-183156.06650699693</v>
      </c>
      <c r="R83" s="1129">
        <f t="shared" si="30"/>
        <v>0</v>
      </c>
      <c r="S83" s="1129"/>
      <c r="T83" s="41"/>
      <c r="U83" s="41"/>
    </row>
    <row r="84" spans="1:44">
      <c r="A84" s="1170"/>
      <c r="B84" s="1129"/>
      <c r="C84" s="1129"/>
      <c r="D84" s="1129"/>
      <c r="E84" s="1129"/>
      <c r="F84" s="1129"/>
      <c r="G84" s="1129"/>
      <c r="H84" s="1129"/>
      <c r="I84" s="1129"/>
      <c r="J84" s="1129"/>
      <c r="K84" s="1129"/>
      <c r="L84" s="1129"/>
      <c r="M84" s="1129"/>
      <c r="N84" s="1129"/>
      <c r="O84" s="1129"/>
      <c r="P84" s="1129"/>
      <c r="Q84" s="1129"/>
      <c r="R84" s="1129"/>
      <c r="S84" s="1129"/>
      <c r="T84" s="41"/>
      <c r="U84" s="41"/>
    </row>
    <row r="85" spans="1:44" ht="7.5" customHeight="1">
      <c r="A85" s="1174"/>
      <c r="B85" s="1174"/>
      <c r="C85" s="1174"/>
      <c r="D85" s="1174"/>
      <c r="E85" s="1174"/>
      <c r="F85" s="1174"/>
      <c r="G85" s="1174"/>
      <c r="H85" s="1174"/>
      <c r="I85" s="1174"/>
      <c r="J85" s="1174"/>
      <c r="K85" s="1174"/>
      <c r="L85" s="1174"/>
      <c r="M85" s="1174"/>
      <c r="N85" s="1174"/>
      <c r="O85" s="1173"/>
      <c r="P85" s="1173"/>
      <c r="Q85" s="1173"/>
      <c r="R85" s="1173"/>
      <c r="T85" s="41"/>
      <c r="U85" s="41"/>
    </row>
    <row r="86" spans="1:44">
      <c r="A86" s="1172" t="str">
        <f ca="1">'c12_hm'!A1</f>
        <v>c12_hm</v>
      </c>
      <c r="T86" s="41"/>
      <c r="U86" s="41"/>
    </row>
    <row r="87" spans="1:44" s="29" customFormat="1">
      <c r="A87" s="1059" t="s">
        <v>929</v>
      </c>
      <c r="B87" s="1537"/>
      <c r="C87" s="1537"/>
      <c r="D87" s="1537"/>
      <c r="E87" s="1537">
        <v>0</v>
      </c>
      <c r="F87" s="1537">
        <v>0</v>
      </c>
      <c r="G87" s="1537">
        <v>0</v>
      </c>
      <c r="H87" s="1537">
        <v>0</v>
      </c>
      <c r="I87" s="1537">
        <v>0</v>
      </c>
      <c r="J87" s="1537">
        <v>0</v>
      </c>
      <c r="K87" s="1537">
        <v>0</v>
      </c>
      <c r="L87" s="1537">
        <v>0</v>
      </c>
      <c r="M87" s="1537">
        <v>0</v>
      </c>
      <c r="N87" s="1537">
        <v>0</v>
      </c>
      <c r="O87" s="1537">
        <v>0.05</v>
      </c>
      <c r="P87" s="1537">
        <v>0.05</v>
      </c>
      <c r="Q87" s="1537">
        <v>0.05</v>
      </c>
      <c r="R87" s="1537">
        <v>0.05</v>
      </c>
      <c r="T87" s="41"/>
    </row>
    <row r="88" spans="1:44">
      <c r="T88" s="41"/>
      <c r="U88" s="41"/>
    </row>
    <row r="89" spans="1:44">
      <c r="D89" s="1171">
        <f>+'c12_hm'!D2</f>
        <v>44926</v>
      </c>
      <c r="E89" s="1171">
        <f>+'c12_hm'!E2</f>
        <v>45291</v>
      </c>
      <c r="F89" s="1171">
        <f>+'c12_hm'!F2</f>
        <v>45657</v>
      </c>
      <c r="G89" s="1171">
        <f>+'c12_hm'!G2</f>
        <v>45747</v>
      </c>
      <c r="H89" s="1171">
        <f>+'c12_hm'!H2</f>
        <v>45838</v>
      </c>
      <c r="I89" s="1171">
        <f>+'c12_hm'!I2</f>
        <v>45930</v>
      </c>
      <c r="J89" s="1171">
        <f>+'c12_hm'!J2</f>
        <v>46022</v>
      </c>
      <c r="K89" s="1171">
        <f>+'c12_hm'!K2</f>
        <v>46112</v>
      </c>
      <c r="L89" s="1171">
        <f>+'c12_hm'!L2</f>
        <v>46203</v>
      </c>
      <c r="M89" s="1171">
        <f>+'c12_hm'!M2</f>
        <v>46295</v>
      </c>
      <c r="N89" s="1171">
        <f>+'c12_hm'!N2</f>
        <v>46387</v>
      </c>
      <c r="O89" s="1171">
        <f>+'c12_hm'!O2</f>
        <v>46752</v>
      </c>
      <c r="P89" s="1171">
        <f>+'c12_hm'!P2</f>
        <v>47118</v>
      </c>
      <c r="Q89" s="1171">
        <f>+'c12_hm'!Q2</f>
        <v>47483</v>
      </c>
      <c r="R89" s="1171">
        <f>+'c12_hm'!R2</f>
        <v>47848</v>
      </c>
      <c r="S89" s="1170"/>
      <c r="T89" s="41"/>
      <c r="U89" s="41"/>
    </row>
    <row r="90" spans="1:44" ht="14.7" customHeight="1" thickBot="1">
      <c r="A90" s="5" t="s">
        <v>298</v>
      </c>
      <c r="B90" s="1169" t="s">
        <v>930</v>
      </c>
      <c r="C90" s="1169" t="s">
        <v>817</v>
      </c>
      <c r="D90" s="1169"/>
      <c r="E90" s="1169"/>
      <c r="F90" s="1169"/>
      <c r="G90" s="1169" t="str">
        <f>+'c12_hm'!G3</f>
        <v>Q1</v>
      </c>
      <c r="H90" s="1169" t="str">
        <f>+'c12_hm'!H3</f>
        <v>Q2</v>
      </c>
      <c r="I90" s="1169" t="str">
        <f>+'c12_hm'!I3</f>
        <v>Q3</v>
      </c>
      <c r="J90" s="1169" t="str">
        <f>+'c12_hm'!J3</f>
        <v>Q4</v>
      </c>
      <c r="K90" s="1169" t="str">
        <f>+'c12_hm'!K3</f>
        <v>Q1</v>
      </c>
      <c r="L90" s="1169" t="str">
        <f>+'c12_hm'!L3</f>
        <v>Q2</v>
      </c>
      <c r="M90" s="1169" t="str">
        <f>+'c12_hm'!M3</f>
        <v>Q3</v>
      </c>
      <c r="N90" s="1169" t="str">
        <f>+'c12_hm'!N3</f>
        <v>Q4</v>
      </c>
      <c r="O90" s="1168"/>
      <c r="P90" s="1168"/>
      <c r="Q90" s="1168"/>
      <c r="R90" s="1168"/>
      <c r="S90" s="1167"/>
      <c r="T90" s="41"/>
      <c r="U90" s="41"/>
    </row>
    <row r="91" spans="1:44">
      <c r="A91" s="1514" t="s">
        <v>931</v>
      </c>
      <c r="B91" s="1515">
        <v>500000</v>
      </c>
      <c r="C91" s="1166">
        <f t="shared" ref="C91:C97" si="31">+C128</f>
        <v>0</v>
      </c>
      <c r="D91" s="262"/>
      <c r="E91" s="262"/>
      <c r="F91" s="1162"/>
      <c r="G91" s="1165">
        <f>$B$91/4</f>
        <v>125000</v>
      </c>
      <c r="H91" s="298">
        <f>$B$91/4</f>
        <v>125000</v>
      </c>
      <c r="I91" s="298">
        <f>$B$91/4</f>
        <v>125000</v>
      </c>
      <c r="J91" s="299">
        <f>$B$91/4</f>
        <v>125000</v>
      </c>
      <c r="K91" s="1538">
        <f>500000/4</f>
        <v>125000</v>
      </c>
      <c r="L91" s="298">
        <f>+$K$91</f>
        <v>125000</v>
      </c>
      <c r="M91" s="298">
        <f>+$K$91</f>
        <v>125000</v>
      </c>
      <c r="N91" s="299">
        <f>+$K$91</f>
        <v>125000</v>
      </c>
      <c r="O91" s="1554">
        <v>750000</v>
      </c>
      <c r="P91" s="426">
        <f t="shared" ref="P91:R99" si="32">+O91*(1+P$87)</f>
        <v>787500</v>
      </c>
      <c r="Q91" s="426">
        <f t="shared" si="32"/>
        <v>826875</v>
      </c>
      <c r="R91" s="426">
        <f t="shared" si="32"/>
        <v>868218.75</v>
      </c>
      <c r="S91" s="159"/>
      <c r="T91" s="41"/>
      <c r="U91" s="41"/>
      <c r="W91" s="1164" t="s">
        <v>932</v>
      </c>
      <c r="X91" s="1163"/>
      <c r="Y91" s="73"/>
      <c r="Z91" s="73"/>
    </row>
    <row r="92" spans="1:44">
      <c r="A92" s="1514" t="s">
        <v>933</v>
      </c>
      <c r="B92" s="1515">
        <v>275000</v>
      </c>
      <c r="C92" s="1161">
        <f t="shared" si="31"/>
        <v>0</v>
      </c>
      <c r="D92" s="262"/>
      <c r="E92" s="262"/>
      <c r="F92" s="1162"/>
      <c r="G92" s="1157">
        <f>B92/4</f>
        <v>68750</v>
      </c>
      <c r="H92" s="260">
        <f t="shared" ref="H92:J96" si="33">G92</f>
        <v>68750</v>
      </c>
      <c r="I92" s="260">
        <f t="shared" si="33"/>
        <v>68750</v>
      </c>
      <c r="J92" s="290">
        <f t="shared" si="33"/>
        <v>68750</v>
      </c>
      <c r="K92" s="1539">
        <f>290000/4</f>
        <v>72500</v>
      </c>
      <c r="L92" s="260">
        <f>+$K$92</f>
        <v>72500</v>
      </c>
      <c r="M92" s="260">
        <f>+$K$92</f>
        <v>72500</v>
      </c>
      <c r="N92" s="290">
        <f>+$K$92</f>
        <v>72500</v>
      </c>
      <c r="O92" s="408">
        <f t="shared" ref="O92:O99" si="34">+N92*4*(1+O$87)</f>
        <v>304500</v>
      </c>
      <c r="P92" s="408">
        <f t="shared" si="32"/>
        <v>319725</v>
      </c>
      <c r="Q92" s="408">
        <f t="shared" si="32"/>
        <v>335711.25</v>
      </c>
      <c r="R92" s="408">
        <f t="shared" si="32"/>
        <v>352496.8125</v>
      </c>
      <c r="S92" s="159"/>
      <c r="T92" s="41"/>
      <c r="U92" s="41"/>
      <c r="W92" s="5" t="s">
        <v>934</v>
      </c>
      <c r="X92" s="83" t="s">
        <v>874</v>
      </c>
      <c r="Y92" s="5" t="s">
        <v>935</v>
      </c>
      <c r="Z92" s="5" t="s">
        <v>908</v>
      </c>
    </row>
    <row r="93" spans="1:44">
      <c r="A93" s="1514" t="s">
        <v>936</v>
      </c>
      <c r="B93" s="1515"/>
      <c r="C93" s="1161">
        <f t="shared" si="31"/>
        <v>1</v>
      </c>
      <c r="D93" s="262"/>
      <c r="E93" s="262"/>
      <c r="F93" s="1162"/>
      <c r="G93" s="1157">
        <f>B93/4</f>
        <v>0</v>
      </c>
      <c r="H93" s="260">
        <f t="shared" si="33"/>
        <v>0</v>
      </c>
      <c r="I93" s="260">
        <f t="shared" si="33"/>
        <v>0</v>
      </c>
      <c r="J93" s="290">
        <f t="shared" si="33"/>
        <v>0</v>
      </c>
      <c r="K93" s="1539">
        <f>300000/4</f>
        <v>75000</v>
      </c>
      <c r="L93" s="260">
        <f>+$K$93</f>
        <v>75000</v>
      </c>
      <c r="M93" s="260">
        <f>+$K$93</f>
        <v>75000</v>
      </c>
      <c r="N93" s="290">
        <f>+$K$93</f>
        <v>75000</v>
      </c>
      <c r="O93" s="408">
        <f t="shared" si="34"/>
        <v>315000</v>
      </c>
      <c r="P93" s="408">
        <f t="shared" si="32"/>
        <v>330750</v>
      </c>
      <c r="Q93" s="408">
        <f t="shared" si="32"/>
        <v>347287.5</v>
      </c>
      <c r="R93" s="408">
        <f t="shared" si="32"/>
        <v>364651.875</v>
      </c>
      <c r="S93" s="159"/>
      <c r="T93" s="41"/>
      <c r="U93" s="41"/>
      <c r="W93" s="1146" t="s">
        <v>317</v>
      </c>
      <c r="X93" s="108">
        <f>D137</f>
        <v>113040</v>
      </c>
      <c r="Y93" s="109">
        <f>X93*'c12_hm'!$U$9</f>
        <v>0</v>
      </c>
      <c r="Z93" s="9">
        <f>+'c12_hm'!K39</f>
        <v>0</v>
      </c>
    </row>
    <row r="94" spans="1:44">
      <c r="A94" s="1514" t="s">
        <v>937</v>
      </c>
      <c r="B94" s="1515">
        <v>150000</v>
      </c>
      <c r="C94" s="1161">
        <f t="shared" si="31"/>
        <v>1</v>
      </c>
      <c r="D94" s="86"/>
      <c r="E94" s="86"/>
      <c r="F94" s="1160"/>
      <c r="G94" s="1157">
        <f>B94/4</f>
        <v>37500</v>
      </c>
      <c r="H94" s="260">
        <f t="shared" si="33"/>
        <v>37500</v>
      </c>
      <c r="I94" s="260">
        <f t="shared" si="33"/>
        <v>37500</v>
      </c>
      <c r="J94" s="290">
        <f t="shared" si="33"/>
        <v>37500</v>
      </c>
      <c r="K94" s="1539">
        <f>160000/4</f>
        <v>40000</v>
      </c>
      <c r="L94" s="260">
        <f>+$K$94</f>
        <v>40000</v>
      </c>
      <c r="M94" s="260">
        <f>+$K$94</f>
        <v>40000</v>
      </c>
      <c r="N94" s="290">
        <f>+$K$94</f>
        <v>40000</v>
      </c>
      <c r="O94" s="408">
        <f t="shared" si="34"/>
        <v>168000</v>
      </c>
      <c r="P94" s="408">
        <f t="shared" si="32"/>
        <v>176400</v>
      </c>
      <c r="Q94" s="408">
        <f t="shared" si="32"/>
        <v>185220</v>
      </c>
      <c r="R94" s="408">
        <f t="shared" si="32"/>
        <v>194481</v>
      </c>
      <c r="S94" s="159"/>
      <c r="T94" s="41"/>
      <c r="U94" s="41"/>
      <c r="W94" s="1146" t="s">
        <v>227</v>
      </c>
      <c r="X94" s="108">
        <f>E137</f>
        <v>113040</v>
      </c>
      <c r="Y94" s="109">
        <f>X94*'c12_hm'!$U$9</f>
        <v>0</v>
      </c>
      <c r="Z94" s="9">
        <f>+'c12_hm'!K40</f>
        <v>0</v>
      </c>
    </row>
    <row r="95" spans="1:44">
      <c r="A95" s="1514" t="s">
        <v>938</v>
      </c>
      <c r="B95" s="1515">
        <v>110000</v>
      </c>
      <c r="C95" s="1161">
        <f t="shared" si="31"/>
        <v>1</v>
      </c>
      <c r="D95" s="86"/>
      <c r="E95" s="86"/>
      <c r="F95" s="1160"/>
      <c r="G95" s="1157">
        <f>B95/4</f>
        <v>27500</v>
      </c>
      <c r="H95" s="260">
        <f t="shared" si="33"/>
        <v>27500</v>
      </c>
      <c r="I95" s="260">
        <f t="shared" si="33"/>
        <v>27500</v>
      </c>
      <c r="J95" s="290">
        <f t="shared" si="33"/>
        <v>27500</v>
      </c>
      <c r="K95" s="1539">
        <f>110000/4</f>
        <v>27500</v>
      </c>
      <c r="L95" s="260">
        <f>+$K$95</f>
        <v>27500</v>
      </c>
      <c r="M95" s="260">
        <f>+$K$95</f>
        <v>27500</v>
      </c>
      <c r="N95" s="290">
        <f>+$K$95</f>
        <v>27500</v>
      </c>
      <c r="O95" s="408">
        <f t="shared" si="34"/>
        <v>115500</v>
      </c>
      <c r="P95" s="408">
        <f t="shared" si="32"/>
        <v>121275</v>
      </c>
      <c r="Q95" s="408">
        <f t="shared" si="32"/>
        <v>127338.75</v>
      </c>
      <c r="R95" s="408">
        <f t="shared" si="32"/>
        <v>133705.6875</v>
      </c>
      <c r="S95" s="159"/>
      <c r="T95" s="41"/>
      <c r="U95" s="41"/>
      <c r="W95" s="1146" t="s">
        <v>229</v>
      </c>
      <c r="X95" s="108">
        <f>F137</f>
        <v>0</v>
      </c>
      <c r="Y95" s="109">
        <f>X95*'c12_hm'!$U$9</f>
        <v>0</v>
      </c>
      <c r="Z95" s="9">
        <f>+'c12_hm'!K41</f>
        <v>0</v>
      </c>
    </row>
    <row r="96" spans="1:44">
      <c r="A96" s="1514" t="s">
        <v>939</v>
      </c>
      <c r="B96" s="1515">
        <v>215000</v>
      </c>
      <c r="C96" s="1161">
        <f t="shared" si="31"/>
        <v>1</v>
      </c>
      <c r="D96" s="86"/>
      <c r="E96" s="86"/>
      <c r="F96" s="1160"/>
      <c r="G96" s="1157">
        <f>B96/4</f>
        <v>53750</v>
      </c>
      <c r="H96" s="260">
        <f t="shared" si="33"/>
        <v>53750</v>
      </c>
      <c r="I96" s="260">
        <f t="shared" si="33"/>
        <v>53750</v>
      </c>
      <c r="J96" s="290">
        <f t="shared" si="33"/>
        <v>53750</v>
      </c>
      <c r="K96" s="1539">
        <f>215000/4</f>
        <v>53750</v>
      </c>
      <c r="L96" s="260">
        <f>+$K$96</f>
        <v>53750</v>
      </c>
      <c r="M96" s="260">
        <f>+$K$96</f>
        <v>53750</v>
      </c>
      <c r="N96" s="290">
        <f>+$K$96</f>
        <v>53750</v>
      </c>
      <c r="O96" s="408">
        <f t="shared" si="34"/>
        <v>225750</v>
      </c>
      <c r="P96" s="408">
        <f t="shared" si="32"/>
        <v>237037.5</v>
      </c>
      <c r="Q96" s="408">
        <f t="shared" si="32"/>
        <v>248889.375</v>
      </c>
      <c r="R96" s="408">
        <f t="shared" si="32"/>
        <v>261333.84375</v>
      </c>
      <c r="S96" s="159"/>
      <c r="T96" s="41"/>
      <c r="U96" s="41"/>
      <c r="W96" s="1146" t="s">
        <v>230</v>
      </c>
      <c r="X96" s="108">
        <f>G137</f>
        <v>0</v>
      </c>
      <c r="Y96" s="109">
        <f>X96*'c12_hm'!$U$9</f>
        <v>0</v>
      </c>
      <c r="Z96" s="9">
        <f>+'c12_hm'!K42</f>
        <v>0</v>
      </c>
    </row>
    <row r="97" spans="1:26">
      <c r="A97" s="1514" t="s">
        <v>940</v>
      </c>
      <c r="B97" s="1516"/>
      <c r="C97" s="1161">
        <f t="shared" si="31"/>
        <v>1</v>
      </c>
      <c r="D97" s="86"/>
      <c r="E97" s="86"/>
      <c r="F97" s="1160"/>
      <c r="G97" s="1157"/>
      <c r="H97" s="260"/>
      <c r="I97" s="260">
        <f>$K$97/4</f>
        <v>0</v>
      </c>
      <c r="J97" s="290">
        <f>$K$97/4</f>
        <v>0</v>
      </c>
      <c r="K97" s="1540"/>
      <c r="L97" s="1517">
        <f>+L96/2</f>
        <v>26875</v>
      </c>
      <c r="M97" s="1517">
        <f>+L97*2</f>
        <v>53750</v>
      </c>
      <c r="N97" s="1542">
        <f>+M97</f>
        <v>53750</v>
      </c>
      <c r="O97" s="408">
        <f t="shared" si="34"/>
        <v>225750</v>
      </c>
      <c r="P97" s="408">
        <f t="shared" si="32"/>
        <v>237037.5</v>
      </c>
      <c r="Q97" s="408">
        <f t="shared" si="32"/>
        <v>248889.375</v>
      </c>
      <c r="R97" s="408">
        <f t="shared" si="32"/>
        <v>261333.84375</v>
      </c>
      <c r="S97" s="159"/>
      <c r="T97" s="41"/>
      <c r="U97" s="41"/>
      <c r="W97" s="1146" t="s">
        <v>871</v>
      </c>
      <c r="X97" s="108">
        <f>H137</f>
        <v>0</v>
      </c>
      <c r="Y97" s="109">
        <f>X97*'c12_hm'!$U$9</f>
        <v>0</v>
      </c>
      <c r="Z97" s="9">
        <f>+'c12_hm'!K43</f>
        <v>0</v>
      </c>
    </row>
    <row r="98" spans="1:26">
      <c r="A98" s="1516" t="s">
        <v>854</v>
      </c>
      <c r="B98" s="1543"/>
      <c r="C98" s="261"/>
      <c r="D98" s="261"/>
      <c r="E98" s="261"/>
      <c r="F98" s="1158"/>
      <c r="G98" s="1157">
        <f>$K$98/4</f>
        <v>0</v>
      </c>
      <c r="H98" s="260">
        <f>$K$98/4</f>
        <v>0</v>
      </c>
      <c r="I98" s="260">
        <f>$K$98/4</f>
        <v>0</v>
      </c>
      <c r="J98" s="290">
        <f>$K$98/4</f>
        <v>0</v>
      </c>
      <c r="K98" s="1540">
        <v>0</v>
      </c>
      <c r="L98" s="260">
        <f>+K98</f>
        <v>0</v>
      </c>
      <c r="M98" s="260">
        <f>+K98</f>
        <v>0</v>
      </c>
      <c r="N98" s="290">
        <f>+K98</f>
        <v>0</v>
      </c>
      <c r="O98" s="408">
        <f t="shared" si="34"/>
        <v>0</v>
      </c>
      <c r="P98" s="408">
        <f t="shared" si="32"/>
        <v>0</v>
      </c>
      <c r="Q98" s="408">
        <f t="shared" si="32"/>
        <v>0</v>
      </c>
      <c r="R98" s="408">
        <f t="shared" si="32"/>
        <v>0</v>
      </c>
      <c r="S98" s="159"/>
      <c r="T98" s="41"/>
      <c r="U98" s="41"/>
      <c r="V98" s="5"/>
      <c r="W98" s="1146"/>
      <c r="X98" s="108"/>
      <c r="Y98" s="109"/>
      <c r="Z98" s="9"/>
    </row>
    <row r="99" spans="1:26" ht="14.7" customHeight="1" thickBot="1">
      <c r="A99" s="1522" t="s">
        <v>854</v>
      </c>
      <c r="B99" s="1523"/>
      <c r="C99" s="1156"/>
      <c r="D99" s="1156"/>
      <c r="E99" s="1156"/>
      <c r="F99" s="1155"/>
      <c r="G99" s="1154"/>
      <c r="H99" s="1153"/>
      <c r="I99" s="1153"/>
      <c r="J99" s="1152"/>
      <c r="K99" s="1541">
        <v>0</v>
      </c>
      <c r="L99" s="1151">
        <f>+$K$99</f>
        <v>0</v>
      </c>
      <c r="M99" s="1151">
        <f>+$K$99</f>
        <v>0</v>
      </c>
      <c r="N99" s="1150">
        <f>+$K$99</f>
        <v>0</v>
      </c>
      <c r="O99" s="1149">
        <f t="shared" si="34"/>
        <v>0</v>
      </c>
      <c r="P99" s="1149">
        <f t="shared" si="32"/>
        <v>0</v>
      </c>
      <c r="Q99" s="1149">
        <f t="shared" si="32"/>
        <v>0</v>
      </c>
      <c r="R99" s="1149">
        <f t="shared" si="32"/>
        <v>0</v>
      </c>
      <c r="S99" s="159"/>
      <c r="T99" s="41"/>
      <c r="U99" s="41"/>
      <c r="W99" s="1148" t="s">
        <v>941</v>
      </c>
      <c r="X99" s="758">
        <f>SUM(X93:X97)</f>
        <v>226080</v>
      </c>
      <c r="Y99" s="92">
        <f>SUM(Y93:Y97)</f>
        <v>0</v>
      </c>
      <c r="Z99" s="1147">
        <f>SUM(Z93:Z97)</f>
        <v>0</v>
      </c>
    </row>
    <row r="100" spans="1:26" ht="14.7" customHeight="1" thickBot="1">
      <c r="A100" s="1108" t="s">
        <v>23</v>
      </c>
      <c r="B100" s="1133"/>
      <c r="C100" s="1133"/>
      <c r="D100" s="1133"/>
      <c r="E100" s="1133">
        <f t="shared" ref="E100:R100" si="35">SUM(E91:E99)</f>
        <v>0</v>
      </c>
      <c r="F100" s="1135">
        <f t="shared" si="35"/>
        <v>0</v>
      </c>
      <c r="G100" s="1134">
        <f t="shared" si="35"/>
        <v>312500</v>
      </c>
      <c r="H100" s="1133">
        <f t="shared" si="35"/>
        <v>312500</v>
      </c>
      <c r="I100" s="1133">
        <f t="shared" si="35"/>
        <v>312500</v>
      </c>
      <c r="J100" s="1132">
        <f t="shared" si="35"/>
        <v>312500</v>
      </c>
      <c r="K100" s="1134">
        <f t="shared" si="35"/>
        <v>393750</v>
      </c>
      <c r="L100" s="1133">
        <f t="shared" si="35"/>
        <v>420625</v>
      </c>
      <c r="M100" s="1133">
        <f t="shared" si="35"/>
        <v>447500</v>
      </c>
      <c r="N100" s="1132">
        <f t="shared" si="35"/>
        <v>447500</v>
      </c>
      <c r="O100" s="1131">
        <f t="shared" si="35"/>
        <v>2104500</v>
      </c>
      <c r="P100" s="1131">
        <f t="shared" si="35"/>
        <v>2209725</v>
      </c>
      <c r="Q100" s="1131">
        <f t="shared" si="35"/>
        <v>2320211.25</v>
      </c>
      <c r="R100" s="1131">
        <f t="shared" si="35"/>
        <v>2436221.8125</v>
      </c>
      <c r="S100" s="22"/>
      <c r="T100" s="41"/>
      <c r="U100" s="41"/>
      <c r="W100" s="1146" t="s">
        <v>942</v>
      </c>
      <c r="X100" s="108">
        <f>'c12_hm'!K57</f>
        <v>0</v>
      </c>
      <c r="Y100" s="109">
        <f>+Y99*'c12_hm'!$U$11</f>
        <v>0</v>
      </c>
      <c r="Z100" s="109"/>
    </row>
    <row r="101" spans="1:26">
      <c r="A101" s="1130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41"/>
      <c r="U101" s="41"/>
      <c r="W101" s="1145" t="s">
        <v>23</v>
      </c>
      <c r="X101" s="112">
        <f>SUM(X99:X100)</f>
        <v>226080</v>
      </c>
      <c r="Y101" s="108"/>
      <c r="Z101" s="112">
        <f>SUM(Z99:Z100)</f>
        <v>0</v>
      </c>
    </row>
    <row r="102" spans="1:26" ht="14.7" customHeight="1" thickBot="1">
      <c r="A102" s="40" t="s">
        <v>845</v>
      </c>
      <c r="T102" s="41"/>
      <c r="U102" s="41"/>
      <c r="W102" s="113" t="s">
        <v>873</v>
      </c>
      <c r="X102" s="114"/>
      <c r="Y102" s="115"/>
      <c r="Z102" s="115">
        <f>Z101-X101</f>
        <v>-226080</v>
      </c>
    </row>
    <row r="103" spans="1:26">
      <c r="A103" s="105" t="str">
        <f t="shared" ref="A103:A111" si="36">A91</f>
        <v>ACEO Loren Hotels</v>
      </c>
      <c r="B103" s="263"/>
      <c r="C103" s="263"/>
      <c r="D103" s="263"/>
      <c r="E103" s="263"/>
      <c r="F103" s="1144"/>
      <c r="G103" s="1544"/>
      <c r="H103" s="1545"/>
      <c r="I103" s="1545"/>
      <c r="J103" s="1546"/>
      <c r="K103" s="1547">
        <v>0</v>
      </c>
      <c r="L103" s="1548">
        <v>0</v>
      </c>
      <c r="M103" s="1548">
        <v>0</v>
      </c>
      <c r="N103" s="1549">
        <v>250000</v>
      </c>
      <c r="O103" s="1143">
        <f t="shared" ref="O103:R109" si="37">N103</f>
        <v>250000</v>
      </c>
      <c r="P103" s="1143">
        <f t="shared" si="37"/>
        <v>250000</v>
      </c>
      <c r="Q103" s="1143">
        <f t="shared" si="37"/>
        <v>250000</v>
      </c>
      <c r="R103" s="1143">
        <f t="shared" si="37"/>
        <v>250000</v>
      </c>
      <c r="S103" s="160"/>
      <c r="T103" s="41"/>
      <c r="U103" s="41"/>
      <c r="X103" s="83" t="s">
        <v>874</v>
      </c>
      <c r="Z103" s="83" t="s">
        <v>875</v>
      </c>
    </row>
    <row r="104" spans="1:26">
      <c r="A104" s="105" t="str">
        <f t="shared" si="36"/>
        <v>VP Operations</v>
      </c>
      <c r="B104" s="197"/>
      <c r="C104" s="197"/>
      <c r="D104" s="197"/>
      <c r="E104" s="197"/>
      <c r="F104" s="294"/>
      <c r="G104" s="1513"/>
      <c r="H104" s="1508"/>
      <c r="I104" s="1508"/>
      <c r="J104" s="1509">
        <v>115000</v>
      </c>
      <c r="K104" s="1505">
        <v>0</v>
      </c>
      <c r="L104" s="1550">
        <v>0</v>
      </c>
      <c r="M104" s="1550">
        <v>0</v>
      </c>
      <c r="N104" s="1511">
        <v>75000</v>
      </c>
      <c r="O104" s="1141">
        <f t="shared" si="37"/>
        <v>75000</v>
      </c>
      <c r="P104" s="1141">
        <f t="shared" si="37"/>
        <v>75000</v>
      </c>
      <c r="Q104" s="1141">
        <f t="shared" si="37"/>
        <v>75000</v>
      </c>
      <c r="R104" s="1141">
        <f t="shared" si="37"/>
        <v>75000</v>
      </c>
      <c r="S104" s="159"/>
      <c r="T104" s="41"/>
      <c r="U104" s="41"/>
      <c r="W104" t="s">
        <v>876</v>
      </c>
      <c r="X104" s="108">
        <f>K124-X99</f>
        <v>227520</v>
      </c>
      <c r="Z104" s="83"/>
    </row>
    <row r="105" spans="1:26">
      <c r="A105" s="105" t="str">
        <f t="shared" si="36"/>
        <v>[seniorS&amp;Mexec]</v>
      </c>
      <c r="B105" s="197"/>
      <c r="C105" s="197"/>
      <c r="D105" s="197"/>
      <c r="E105" s="197"/>
      <c r="F105" s="294"/>
      <c r="G105" s="1513"/>
      <c r="H105" s="1508"/>
      <c r="I105" s="1508"/>
      <c r="J105" s="1509">
        <v>20000</v>
      </c>
      <c r="K105" s="1505">
        <v>0</v>
      </c>
      <c r="L105" s="1550">
        <v>0</v>
      </c>
      <c r="M105" s="1550">
        <v>0</v>
      </c>
      <c r="N105" s="1511">
        <v>75000</v>
      </c>
      <c r="O105" s="1141">
        <f t="shared" si="37"/>
        <v>75000</v>
      </c>
      <c r="P105" s="1141">
        <f t="shared" si="37"/>
        <v>75000</v>
      </c>
      <c r="Q105" s="1141">
        <f t="shared" si="37"/>
        <v>75000</v>
      </c>
      <c r="R105" s="1141">
        <f t="shared" si="37"/>
        <v>75000</v>
      </c>
      <c r="S105" s="159"/>
      <c r="T105" s="41"/>
      <c r="U105" s="41"/>
      <c r="W105" t="s">
        <v>877</v>
      </c>
      <c r="Z105" s="1142">
        <f>'c12_hm'!K15</f>
        <v>649327.59250000003</v>
      </c>
    </row>
    <row r="106" spans="1:26">
      <c r="A106" s="105" t="str">
        <f t="shared" si="36"/>
        <v>Senior Associate</v>
      </c>
      <c r="B106" s="197"/>
      <c r="C106" s="197"/>
      <c r="D106" s="197"/>
      <c r="E106" s="197"/>
      <c r="F106" s="294"/>
      <c r="G106" s="1513"/>
      <c r="H106" s="1508"/>
      <c r="I106" s="1508"/>
      <c r="J106" s="1509">
        <v>50000</v>
      </c>
      <c r="K106" s="1505">
        <v>0</v>
      </c>
      <c r="L106" s="1550">
        <v>0</v>
      </c>
      <c r="M106" s="1550">
        <v>0</v>
      </c>
      <c r="N106" s="1511">
        <v>50000</v>
      </c>
      <c r="O106" s="1141">
        <f t="shared" si="37"/>
        <v>50000</v>
      </c>
      <c r="P106" s="1141">
        <f t="shared" si="37"/>
        <v>50000</v>
      </c>
      <c r="Q106" s="1141">
        <f t="shared" si="37"/>
        <v>50000</v>
      </c>
      <c r="R106" s="1141">
        <f t="shared" si="37"/>
        <v>50000</v>
      </c>
      <c r="S106" s="159"/>
      <c r="T106" s="41"/>
      <c r="U106" s="41"/>
      <c r="W106" t="s">
        <v>878</v>
      </c>
      <c r="X106" s="108">
        <f>+'c12_hm'!K56</f>
        <v>14999.877750000007</v>
      </c>
      <c r="Z106" s="109"/>
    </row>
    <row r="107" spans="1:26">
      <c r="A107" s="105" t="str">
        <f t="shared" si="36"/>
        <v>Accociate</v>
      </c>
      <c r="B107" s="197"/>
      <c r="C107" s="197"/>
      <c r="D107" s="197"/>
      <c r="E107" s="197"/>
      <c r="F107" s="294"/>
      <c r="G107" s="1513"/>
      <c r="H107" s="1508"/>
      <c r="I107" s="1508"/>
      <c r="J107" s="1509">
        <v>20000</v>
      </c>
      <c r="K107" s="1505">
        <v>0</v>
      </c>
      <c r="L107" s="1550">
        <v>0</v>
      </c>
      <c r="M107" s="1550">
        <v>0</v>
      </c>
      <c r="N107" s="1511">
        <v>40000</v>
      </c>
      <c r="O107" s="1141">
        <f t="shared" si="37"/>
        <v>40000</v>
      </c>
      <c r="P107" s="1141">
        <f t="shared" si="37"/>
        <v>40000</v>
      </c>
      <c r="Q107" s="1141">
        <f t="shared" si="37"/>
        <v>40000</v>
      </c>
      <c r="R107" s="1141">
        <f t="shared" si="37"/>
        <v>40000</v>
      </c>
      <c r="S107" s="159"/>
      <c r="T107" s="41"/>
      <c r="U107" s="41"/>
      <c r="W107" s="23" t="s">
        <v>23</v>
      </c>
      <c r="X107" s="112">
        <f>SUM(X104:X106)</f>
        <v>242519.87775000001</v>
      </c>
      <c r="Z107" s="112">
        <f>SUM(Z104:Z106)</f>
        <v>649327.59250000003</v>
      </c>
    </row>
    <row r="108" spans="1:26">
      <c r="A108" s="105" t="str">
        <f t="shared" si="36"/>
        <v>Financial Director</v>
      </c>
      <c r="B108" s="197"/>
      <c r="C108" s="197"/>
      <c r="D108" s="197"/>
      <c r="E108" s="197"/>
      <c r="F108" s="294"/>
      <c r="G108" s="1513"/>
      <c r="H108" s="1508"/>
      <c r="I108" s="1508"/>
      <c r="J108" s="1509">
        <v>20000</v>
      </c>
      <c r="K108" s="1505">
        <v>0</v>
      </c>
      <c r="L108" s="1550">
        <v>0</v>
      </c>
      <c r="M108" s="1550">
        <v>0</v>
      </c>
      <c r="N108" s="1511">
        <v>40000</v>
      </c>
      <c r="O108" s="1141">
        <f t="shared" si="37"/>
        <v>40000</v>
      </c>
      <c r="P108" s="1141">
        <f t="shared" si="37"/>
        <v>40000</v>
      </c>
      <c r="Q108" s="1141">
        <f t="shared" si="37"/>
        <v>40000</v>
      </c>
      <c r="R108" s="1141">
        <f t="shared" si="37"/>
        <v>40000</v>
      </c>
      <c r="S108" s="159"/>
      <c r="T108" s="41"/>
      <c r="U108" s="41"/>
      <c r="W108" s="5" t="s">
        <v>873</v>
      </c>
      <c r="X108" s="83"/>
      <c r="Y108" s="5"/>
      <c r="Z108" s="112">
        <f>+Z107-X107</f>
        <v>406807.71475000004</v>
      </c>
    </row>
    <row r="109" spans="1:26">
      <c r="A109" s="105" t="str">
        <f t="shared" si="36"/>
        <v>[Revenue Manager]</v>
      </c>
      <c r="B109" s="197"/>
      <c r="C109" s="197"/>
      <c r="D109" s="197"/>
      <c r="E109" s="197"/>
      <c r="F109" s="294"/>
      <c r="G109" s="1513"/>
      <c r="H109" s="1508"/>
      <c r="I109" s="1508"/>
      <c r="J109" s="1509"/>
      <c r="K109" s="1551">
        <v>0</v>
      </c>
      <c r="L109" s="1550">
        <f>K109</f>
        <v>0</v>
      </c>
      <c r="M109" s="1550">
        <f>L109</f>
        <v>0</v>
      </c>
      <c r="N109" s="1511">
        <f>M109</f>
        <v>0</v>
      </c>
      <c r="O109" s="1141">
        <f t="shared" si="37"/>
        <v>0</v>
      </c>
      <c r="P109" s="1141">
        <f t="shared" si="37"/>
        <v>0</v>
      </c>
      <c r="Q109" s="1141">
        <f t="shared" si="37"/>
        <v>0</v>
      </c>
      <c r="R109" s="1141">
        <f t="shared" si="37"/>
        <v>0</v>
      </c>
      <c r="S109" s="159"/>
      <c r="T109" s="41"/>
      <c r="U109" s="41"/>
      <c r="X109" s="3"/>
      <c r="Z109" s="3"/>
    </row>
    <row r="110" spans="1:26" ht="14.7" customHeight="1" thickBot="1">
      <c r="A110" s="105" t="str">
        <f t="shared" si="36"/>
        <v>[]</v>
      </c>
      <c r="B110" s="197"/>
      <c r="C110" s="197"/>
      <c r="D110" s="197"/>
      <c r="E110" s="197"/>
      <c r="F110" s="294"/>
      <c r="G110" s="1513">
        <f>$K$110/4</f>
        <v>0</v>
      </c>
      <c r="H110" s="1508">
        <f>$K$110/4</f>
        <v>0</v>
      </c>
      <c r="I110" s="1508">
        <f>$K$110/4</f>
        <v>0</v>
      </c>
      <c r="J110" s="1509">
        <v>0</v>
      </c>
      <c r="K110" s="1551">
        <v>0</v>
      </c>
      <c r="L110" s="1508">
        <v>0</v>
      </c>
      <c r="M110" s="1508">
        <v>0</v>
      </c>
      <c r="N110" s="1509">
        <v>0</v>
      </c>
      <c r="O110" s="409">
        <v>0</v>
      </c>
      <c r="P110" s="409">
        <v>0</v>
      </c>
      <c r="Q110" s="409">
        <v>0</v>
      </c>
      <c r="R110" s="409">
        <v>0</v>
      </c>
      <c r="S110" s="159"/>
      <c r="T110" s="41"/>
      <c r="U110" s="41"/>
      <c r="W110" s="107" t="s">
        <v>879</v>
      </c>
      <c r="X110" s="110"/>
      <c r="Y110" s="85"/>
      <c r="Z110" s="111">
        <f>Z102+Z108</f>
        <v>180727.71475000004</v>
      </c>
    </row>
    <row r="111" spans="1:26" ht="15" customHeight="1" thickTop="1" thickBot="1">
      <c r="A111" s="1117" t="str">
        <f t="shared" si="36"/>
        <v>[]</v>
      </c>
      <c r="B111" s="1140"/>
      <c r="C111" s="1140"/>
      <c r="D111" s="1140"/>
      <c r="E111" s="1140"/>
      <c r="F111" s="1139"/>
      <c r="G111" s="1521">
        <f>$K$111/4</f>
        <v>0</v>
      </c>
      <c r="H111" s="1552">
        <f>$K$111/4</f>
        <v>0</v>
      </c>
      <c r="I111" s="1552">
        <f>$K$111/4</f>
        <v>0</v>
      </c>
      <c r="J111" s="1524">
        <v>0</v>
      </c>
      <c r="K111" s="1553">
        <v>0</v>
      </c>
      <c r="L111" s="1552">
        <v>0</v>
      </c>
      <c r="M111" s="1552">
        <v>0</v>
      </c>
      <c r="N111" s="1524">
        <v>0</v>
      </c>
      <c r="O111" s="1136">
        <v>0</v>
      </c>
      <c r="P111" s="1136">
        <v>0</v>
      </c>
      <c r="Q111" s="1136">
        <v>0</v>
      </c>
      <c r="R111" s="1136">
        <v>0</v>
      </c>
      <c r="S111" s="159"/>
      <c r="T111" s="41"/>
      <c r="U111" s="41"/>
    </row>
    <row r="112" spans="1:26" ht="14.7" customHeight="1" thickBot="1">
      <c r="A112" s="1108" t="s">
        <v>23</v>
      </c>
      <c r="B112" s="1133"/>
      <c r="C112" s="1133"/>
      <c r="D112" s="1133"/>
      <c r="E112" s="1133">
        <f t="shared" ref="E112:R112" si="38">SUM(E103:E111)</f>
        <v>0</v>
      </c>
      <c r="F112" s="1135">
        <f t="shared" si="38"/>
        <v>0</v>
      </c>
      <c r="G112" s="1134">
        <f t="shared" si="38"/>
        <v>0</v>
      </c>
      <c r="H112" s="1133">
        <f t="shared" si="38"/>
        <v>0</v>
      </c>
      <c r="I112" s="1133">
        <f t="shared" si="38"/>
        <v>0</v>
      </c>
      <c r="J112" s="1132">
        <f t="shared" si="38"/>
        <v>225000</v>
      </c>
      <c r="K112" s="1134">
        <f t="shared" si="38"/>
        <v>0</v>
      </c>
      <c r="L112" s="1133">
        <f t="shared" si="38"/>
        <v>0</v>
      </c>
      <c r="M112" s="1133">
        <f t="shared" si="38"/>
        <v>0</v>
      </c>
      <c r="N112" s="1132">
        <f t="shared" si="38"/>
        <v>530000</v>
      </c>
      <c r="O112" s="1131">
        <f t="shared" si="38"/>
        <v>530000</v>
      </c>
      <c r="P112" s="1131">
        <f t="shared" si="38"/>
        <v>530000</v>
      </c>
      <c r="Q112" s="1131">
        <f t="shared" si="38"/>
        <v>530000</v>
      </c>
      <c r="R112" s="1131">
        <f t="shared" si="38"/>
        <v>530000</v>
      </c>
      <c r="S112" s="22"/>
      <c r="T112" s="41"/>
      <c r="U112" s="41"/>
    </row>
    <row r="113" spans="1:31">
      <c r="A113" s="1130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1129"/>
      <c r="T113" s="41"/>
      <c r="U113" s="41"/>
      <c r="AE113" s="73"/>
    </row>
    <row r="114" spans="1:31" ht="14.7" customHeight="1" thickBot="1">
      <c r="A114" s="1128" t="s">
        <v>943</v>
      </c>
      <c r="T114" s="41"/>
      <c r="U114" s="41"/>
    </row>
    <row r="115" spans="1:31">
      <c r="A115" s="105" t="str">
        <f t="shared" ref="A115:A122" si="39">A103</f>
        <v>ACEO Loren Hotels</v>
      </c>
      <c r="B115" s="1123"/>
      <c r="C115" s="1123"/>
      <c r="D115" s="1123"/>
      <c r="E115" s="1123">
        <f t="shared" ref="E115:F123" si="40">E91*(1+$M$127)+E103</f>
        <v>0</v>
      </c>
      <c r="F115" s="1122">
        <f t="shared" si="40"/>
        <v>0</v>
      </c>
      <c r="G115" s="1127">
        <f t="shared" ref="G115:R115" si="41">G91*(1+$M$127)+(G103*(1+$M$128))</f>
        <v>144000</v>
      </c>
      <c r="H115" s="1126">
        <f t="shared" si="41"/>
        <v>144000</v>
      </c>
      <c r="I115" s="1126">
        <f t="shared" si="41"/>
        <v>144000</v>
      </c>
      <c r="J115" s="1125">
        <f t="shared" si="41"/>
        <v>144000</v>
      </c>
      <c r="K115" s="1127">
        <f t="shared" si="41"/>
        <v>144000</v>
      </c>
      <c r="L115" s="1126">
        <f t="shared" si="41"/>
        <v>144000</v>
      </c>
      <c r="M115" s="1126">
        <f t="shared" si="41"/>
        <v>144000</v>
      </c>
      <c r="N115" s="1125">
        <f t="shared" si="41"/>
        <v>403750</v>
      </c>
      <c r="O115" s="1124">
        <f t="shared" si="41"/>
        <v>1123749.9999999998</v>
      </c>
      <c r="P115" s="1124">
        <f t="shared" si="41"/>
        <v>1166949.9999999998</v>
      </c>
      <c r="Q115" s="1124">
        <f t="shared" si="41"/>
        <v>1212309.9999999998</v>
      </c>
      <c r="R115" s="1124">
        <f t="shared" si="41"/>
        <v>1259937.9999999998</v>
      </c>
      <c r="S115" s="72">
        <f t="shared" ref="S115:S121" si="42">+P115-SUM(G115:J115)</f>
        <v>590949.99999999977</v>
      </c>
      <c r="T115" s="41"/>
      <c r="U115" s="41"/>
    </row>
    <row r="116" spans="1:31">
      <c r="A116" s="105" t="str">
        <f t="shared" si="39"/>
        <v>VP Operations</v>
      </c>
      <c r="B116" s="1123"/>
      <c r="C116" s="1123"/>
      <c r="D116" s="1123"/>
      <c r="E116" s="1123">
        <f t="shared" si="40"/>
        <v>0</v>
      </c>
      <c r="F116" s="1122">
        <f t="shared" si="40"/>
        <v>0</v>
      </c>
      <c r="G116" s="1121">
        <f t="shared" ref="G116:R116" si="43">G92*(1+$M$127)+(G104*(1+$M$128))</f>
        <v>79200</v>
      </c>
      <c r="H116" s="1120">
        <f t="shared" si="43"/>
        <v>79200</v>
      </c>
      <c r="I116" s="1120">
        <f t="shared" si="43"/>
        <v>79200</v>
      </c>
      <c r="J116" s="1119">
        <f t="shared" si="43"/>
        <v>198685</v>
      </c>
      <c r="K116" s="1121">
        <f t="shared" si="43"/>
        <v>83520</v>
      </c>
      <c r="L116" s="1120">
        <f t="shared" si="43"/>
        <v>83520</v>
      </c>
      <c r="M116" s="1120">
        <f t="shared" si="43"/>
        <v>83520</v>
      </c>
      <c r="N116" s="1119">
        <f t="shared" si="43"/>
        <v>161445</v>
      </c>
      <c r="O116" s="1118">
        <f t="shared" si="43"/>
        <v>428709</v>
      </c>
      <c r="P116" s="1118">
        <f t="shared" si="43"/>
        <v>446248.19999999995</v>
      </c>
      <c r="Q116" s="1118">
        <f t="shared" si="43"/>
        <v>464664.36</v>
      </c>
      <c r="R116" s="1118">
        <f t="shared" si="43"/>
        <v>484001.32799999998</v>
      </c>
      <c r="S116" s="72">
        <f t="shared" si="42"/>
        <v>9963.1999999999534</v>
      </c>
      <c r="T116" s="41"/>
      <c r="U116" s="41"/>
    </row>
    <row r="117" spans="1:31">
      <c r="A117" s="105" t="str">
        <f t="shared" si="39"/>
        <v>[seniorS&amp;Mexec]</v>
      </c>
      <c r="B117" s="1123"/>
      <c r="C117" s="1123"/>
      <c r="D117" s="1123"/>
      <c r="E117" s="1123">
        <f t="shared" si="40"/>
        <v>0</v>
      </c>
      <c r="F117" s="1122">
        <f t="shared" si="40"/>
        <v>0</v>
      </c>
      <c r="G117" s="1121">
        <f t="shared" ref="G117:R117" si="44">G93*(1+$M$127)+(G105*(1+$M$128))</f>
        <v>0</v>
      </c>
      <c r="H117" s="1120">
        <f t="shared" si="44"/>
        <v>0</v>
      </c>
      <c r="I117" s="1120">
        <f t="shared" si="44"/>
        <v>0</v>
      </c>
      <c r="J117" s="1119">
        <f t="shared" si="44"/>
        <v>20780</v>
      </c>
      <c r="K117" s="1121">
        <f t="shared" si="44"/>
        <v>86400</v>
      </c>
      <c r="L117" s="1120">
        <f t="shared" si="44"/>
        <v>86400</v>
      </c>
      <c r="M117" s="1120">
        <f t="shared" si="44"/>
        <v>86400</v>
      </c>
      <c r="N117" s="1119">
        <f t="shared" si="44"/>
        <v>164325</v>
      </c>
      <c r="O117" s="1118">
        <f t="shared" si="44"/>
        <v>440805</v>
      </c>
      <c r="P117" s="1118">
        <f t="shared" si="44"/>
        <v>458949</v>
      </c>
      <c r="Q117" s="1118">
        <f t="shared" si="44"/>
        <v>478000.19999999995</v>
      </c>
      <c r="R117" s="1118">
        <f t="shared" si="44"/>
        <v>498003.95999999996</v>
      </c>
      <c r="S117" s="72">
        <f t="shared" si="42"/>
        <v>438169</v>
      </c>
      <c r="T117" s="41"/>
      <c r="U117" s="41"/>
    </row>
    <row r="118" spans="1:31">
      <c r="A118" s="105" t="str">
        <f t="shared" si="39"/>
        <v>Senior Associate</v>
      </c>
      <c r="B118" s="1123"/>
      <c r="C118" s="1123"/>
      <c r="D118" s="1123"/>
      <c r="E118" s="1123">
        <f t="shared" si="40"/>
        <v>0</v>
      </c>
      <c r="F118" s="1122">
        <f t="shared" si="40"/>
        <v>0</v>
      </c>
      <c r="G118" s="1121">
        <f t="shared" ref="G118:R118" si="45">G94*(1+$M$127)+(G106*(1+$M$128))</f>
        <v>43200</v>
      </c>
      <c r="H118" s="1120">
        <f t="shared" si="45"/>
        <v>43200</v>
      </c>
      <c r="I118" s="1120">
        <f t="shared" si="45"/>
        <v>43200</v>
      </c>
      <c r="J118" s="1119">
        <f t="shared" si="45"/>
        <v>95150</v>
      </c>
      <c r="K118" s="1121">
        <f t="shared" si="45"/>
        <v>46080</v>
      </c>
      <c r="L118" s="1120">
        <f t="shared" si="45"/>
        <v>46080</v>
      </c>
      <c r="M118" s="1120">
        <f t="shared" si="45"/>
        <v>46080</v>
      </c>
      <c r="N118" s="1119">
        <f t="shared" si="45"/>
        <v>98030</v>
      </c>
      <c r="O118" s="1118">
        <f t="shared" si="45"/>
        <v>245485.99999999997</v>
      </c>
      <c r="P118" s="1118">
        <f t="shared" si="45"/>
        <v>255162.8</v>
      </c>
      <c r="Q118" s="1118">
        <f t="shared" si="45"/>
        <v>265323.43999999994</v>
      </c>
      <c r="R118" s="1118">
        <f t="shared" si="45"/>
        <v>275992.11199999996</v>
      </c>
      <c r="S118" s="72">
        <f t="shared" si="42"/>
        <v>30412.799999999988</v>
      </c>
      <c r="T118" s="41"/>
      <c r="U118" s="41"/>
    </row>
    <row r="119" spans="1:31">
      <c r="A119" s="105" t="str">
        <f t="shared" si="39"/>
        <v>Accociate</v>
      </c>
      <c r="B119" s="1123"/>
      <c r="C119" s="1123"/>
      <c r="D119" s="1123"/>
      <c r="E119" s="1123">
        <f t="shared" si="40"/>
        <v>0</v>
      </c>
      <c r="F119" s="1122">
        <f t="shared" si="40"/>
        <v>0</v>
      </c>
      <c r="G119" s="1121">
        <f t="shared" ref="G119:R119" si="46">G95*(1+$M$127)+(G107*(1+$M$128))</f>
        <v>31679.999999999996</v>
      </c>
      <c r="H119" s="1120">
        <f t="shared" si="46"/>
        <v>31679.999999999996</v>
      </c>
      <c r="I119" s="1120">
        <f t="shared" si="46"/>
        <v>31679.999999999996</v>
      </c>
      <c r="J119" s="1119">
        <f t="shared" si="46"/>
        <v>52460</v>
      </c>
      <c r="K119" s="1121">
        <f t="shared" si="46"/>
        <v>31679.999999999996</v>
      </c>
      <c r="L119" s="1120">
        <f t="shared" si="46"/>
        <v>31679.999999999996</v>
      </c>
      <c r="M119" s="1120">
        <f t="shared" si="46"/>
        <v>31679.999999999996</v>
      </c>
      <c r="N119" s="1119">
        <f t="shared" si="46"/>
        <v>73240</v>
      </c>
      <c r="O119" s="1118">
        <f t="shared" si="46"/>
        <v>174616</v>
      </c>
      <c r="P119" s="1118">
        <f t="shared" si="46"/>
        <v>181268.8</v>
      </c>
      <c r="Q119" s="1118">
        <f t="shared" si="46"/>
        <v>188254.24</v>
      </c>
      <c r="R119" s="1118">
        <f t="shared" si="46"/>
        <v>195588.95199999999</v>
      </c>
      <c r="S119" s="72">
        <f t="shared" si="42"/>
        <v>33768.799999999988</v>
      </c>
      <c r="T119" s="41"/>
    </row>
    <row r="120" spans="1:31">
      <c r="A120" s="105" t="str">
        <f t="shared" si="39"/>
        <v>Financial Director</v>
      </c>
      <c r="B120" s="1123"/>
      <c r="C120" s="1123"/>
      <c r="D120" s="1123"/>
      <c r="E120" s="1123">
        <f t="shared" si="40"/>
        <v>0</v>
      </c>
      <c r="F120" s="1122">
        <f t="shared" si="40"/>
        <v>0</v>
      </c>
      <c r="G120" s="1121">
        <f t="shared" ref="G120:R120" si="47">G96*(1+$M$127)+(G108*(1+$M$128))</f>
        <v>61919.999999999993</v>
      </c>
      <c r="H120" s="1120">
        <f t="shared" si="47"/>
        <v>61919.999999999993</v>
      </c>
      <c r="I120" s="1120">
        <f t="shared" si="47"/>
        <v>61919.999999999993</v>
      </c>
      <c r="J120" s="1119">
        <f t="shared" si="47"/>
        <v>82700</v>
      </c>
      <c r="K120" s="1121">
        <f t="shared" si="47"/>
        <v>61919.999999999993</v>
      </c>
      <c r="L120" s="1120">
        <f t="shared" si="47"/>
        <v>61919.999999999993</v>
      </c>
      <c r="M120" s="1120">
        <f t="shared" si="47"/>
        <v>61919.999999999993</v>
      </c>
      <c r="N120" s="1119">
        <f t="shared" si="47"/>
        <v>103480</v>
      </c>
      <c r="O120" s="1118">
        <f t="shared" si="47"/>
        <v>301624</v>
      </c>
      <c r="P120" s="1118">
        <f t="shared" si="47"/>
        <v>314627.19999999995</v>
      </c>
      <c r="Q120" s="1118">
        <f t="shared" si="47"/>
        <v>328280.56</v>
      </c>
      <c r="R120" s="1118">
        <f t="shared" si="47"/>
        <v>342616.58799999999</v>
      </c>
      <c r="S120" s="72">
        <f t="shared" si="42"/>
        <v>46167.199999999953</v>
      </c>
      <c r="T120" s="41"/>
    </row>
    <row r="121" spans="1:31">
      <c r="A121" s="105" t="str">
        <f t="shared" si="39"/>
        <v>[Revenue Manager]</v>
      </c>
      <c r="B121" s="1123"/>
      <c r="C121" s="1123"/>
      <c r="D121" s="1123"/>
      <c r="E121" s="1123">
        <f t="shared" si="40"/>
        <v>0</v>
      </c>
      <c r="F121" s="1122">
        <f t="shared" si="40"/>
        <v>0</v>
      </c>
      <c r="G121" s="1121">
        <f t="shared" ref="G121:R121" si="48">G97*(1+$M$127)+(G109*(1+$M$128))</f>
        <v>0</v>
      </c>
      <c r="H121" s="1120">
        <f t="shared" si="48"/>
        <v>0</v>
      </c>
      <c r="I121" s="1120">
        <f t="shared" si="48"/>
        <v>0</v>
      </c>
      <c r="J121" s="1119">
        <f t="shared" si="48"/>
        <v>0</v>
      </c>
      <c r="K121" s="1121">
        <f t="shared" si="48"/>
        <v>0</v>
      </c>
      <c r="L121" s="1120">
        <f t="shared" si="48"/>
        <v>30959.999999999996</v>
      </c>
      <c r="M121" s="1120">
        <f t="shared" si="48"/>
        <v>61919.999999999993</v>
      </c>
      <c r="N121" s="1119">
        <f t="shared" si="48"/>
        <v>61919.999999999993</v>
      </c>
      <c r="O121" s="1118">
        <f t="shared" si="48"/>
        <v>260063.99999999997</v>
      </c>
      <c r="P121" s="1118">
        <f t="shared" si="48"/>
        <v>273067.19999999995</v>
      </c>
      <c r="Q121" s="1118">
        <f t="shared" si="48"/>
        <v>286720.56</v>
      </c>
      <c r="R121" s="1118">
        <f t="shared" si="48"/>
        <v>301056.58799999999</v>
      </c>
      <c r="S121" s="72">
        <f t="shared" si="42"/>
        <v>273067.19999999995</v>
      </c>
      <c r="T121" s="41"/>
    </row>
    <row r="122" spans="1:31">
      <c r="A122" s="105" t="str">
        <f t="shared" si="39"/>
        <v>[]</v>
      </c>
      <c r="B122" s="1123"/>
      <c r="C122" s="1123"/>
      <c r="D122" s="1123"/>
      <c r="E122" s="1123">
        <f t="shared" si="40"/>
        <v>0</v>
      </c>
      <c r="F122" s="1122">
        <f t="shared" si="40"/>
        <v>0</v>
      </c>
      <c r="G122" s="1121">
        <f t="shared" ref="G122:R122" si="49">G98*(1+$M$127)+(G110*(1+$M$128))</f>
        <v>0</v>
      </c>
      <c r="H122" s="1120">
        <f t="shared" si="49"/>
        <v>0</v>
      </c>
      <c r="I122" s="1120">
        <f t="shared" si="49"/>
        <v>0</v>
      </c>
      <c r="J122" s="1119">
        <f t="shared" si="49"/>
        <v>0</v>
      </c>
      <c r="K122" s="1121">
        <f t="shared" si="49"/>
        <v>0</v>
      </c>
      <c r="L122" s="1120">
        <f t="shared" si="49"/>
        <v>0</v>
      </c>
      <c r="M122" s="1120">
        <f t="shared" si="49"/>
        <v>0</v>
      </c>
      <c r="N122" s="1119">
        <f t="shared" si="49"/>
        <v>0</v>
      </c>
      <c r="O122" s="1118">
        <f t="shared" si="49"/>
        <v>0</v>
      </c>
      <c r="P122" s="1118">
        <f t="shared" si="49"/>
        <v>0</v>
      </c>
      <c r="Q122" s="1118">
        <f t="shared" si="49"/>
        <v>0</v>
      </c>
      <c r="R122" s="1118">
        <f t="shared" si="49"/>
        <v>0</v>
      </c>
      <c r="S122" s="72">
        <f>SUM(S115:S121)</f>
        <v>1422498.1999999997</v>
      </c>
      <c r="T122" s="41"/>
    </row>
    <row r="123" spans="1:31" ht="14.7" customHeight="1" thickBot="1">
      <c r="A123" s="1117" t="s">
        <v>944</v>
      </c>
      <c r="B123" s="1116"/>
      <c r="C123" s="1116"/>
      <c r="D123" s="1116"/>
      <c r="E123" s="1116">
        <f t="shared" si="40"/>
        <v>0</v>
      </c>
      <c r="F123" s="1115">
        <f t="shared" si="40"/>
        <v>0</v>
      </c>
      <c r="G123" s="1114">
        <f>G99*(1+$M$127)+(G111*(1+$M$128))</f>
        <v>0</v>
      </c>
      <c r="H123" s="1112">
        <f>H99*(1+$M$127)+H111</f>
        <v>0</v>
      </c>
      <c r="I123" s="1112">
        <f>I99*(1+$M$127)+I111</f>
        <v>0</v>
      </c>
      <c r="J123" s="1111"/>
      <c r="K123" s="1113">
        <f>-J123</f>
        <v>0</v>
      </c>
      <c r="L123" s="1112">
        <f>L99*(1+$M$127)+L111</f>
        <v>0</v>
      </c>
      <c r="M123" s="1112">
        <f>M99*(1+$M$127)+M111</f>
        <v>0</v>
      </c>
      <c r="N123" s="1111"/>
      <c r="O123" s="1110">
        <f>-N123</f>
        <v>0</v>
      </c>
      <c r="P123" s="1109">
        <f>P99*(1+$M$127)+P111</f>
        <v>0</v>
      </c>
      <c r="Q123" s="1109">
        <f>Q99*(1+$M$127)+Q111</f>
        <v>0</v>
      </c>
      <c r="R123" s="1109">
        <f>R99*(1+$M$127)+R111</f>
        <v>0</v>
      </c>
      <c r="S123" s="72"/>
      <c r="T123" s="41"/>
    </row>
    <row r="124" spans="1:31" ht="14.7" customHeight="1" thickBot="1">
      <c r="A124" s="1108" t="s">
        <v>857</v>
      </c>
      <c r="B124" s="1105">
        <f t="shared" ref="B124:R124" si="50">SUM(B115:B123)*(1+B87)</f>
        <v>0</v>
      </c>
      <c r="C124" s="1105">
        <f t="shared" si="50"/>
        <v>0</v>
      </c>
      <c r="D124" s="1105">
        <f t="shared" si="50"/>
        <v>0</v>
      </c>
      <c r="E124" s="1105">
        <f t="shared" si="50"/>
        <v>0</v>
      </c>
      <c r="F124" s="1107">
        <f t="shared" si="50"/>
        <v>0</v>
      </c>
      <c r="G124" s="1106">
        <f t="shared" si="50"/>
        <v>360000</v>
      </c>
      <c r="H124" s="1105">
        <f t="shared" si="50"/>
        <v>360000</v>
      </c>
      <c r="I124" s="1105">
        <f t="shared" si="50"/>
        <v>360000</v>
      </c>
      <c r="J124" s="1104">
        <f t="shared" si="50"/>
        <v>593775</v>
      </c>
      <c r="K124" s="1106">
        <f t="shared" si="50"/>
        <v>453600</v>
      </c>
      <c r="L124" s="1105">
        <f t="shared" si="50"/>
        <v>484560</v>
      </c>
      <c r="M124" s="1105">
        <f t="shared" si="50"/>
        <v>515520</v>
      </c>
      <c r="N124" s="1104">
        <f t="shared" si="50"/>
        <v>1066190</v>
      </c>
      <c r="O124" s="1103">
        <f t="shared" si="50"/>
        <v>3123806.6999999997</v>
      </c>
      <c r="P124" s="1103">
        <f t="shared" si="50"/>
        <v>3251086.8599999994</v>
      </c>
      <c r="Q124" s="1103">
        <f t="shared" si="50"/>
        <v>3384731.0279999995</v>
      </c>
      <c r="R124" s="1103">
        <f t="shared" si="50"/>
        <v>3525057.4043999994</v>
      </c>
      <c r="S124" s="1102"/>
      <c r="T124" s="41"/>
    </row>
    <row r="126" spans="1:31" ht="14.7" customHeight="1" thickBot="1">
      <c r="A126" s="5" t="s">
        <v>865</v>
      </c>
      <c r="B126" s="4"/>
      <c r="C126" s="4"/>
      <c r="D126" s="77"/>
      <c r="E126" s="73"/>
      <c r="F126" s="73"/>
      <c r="G126" s="73"/>
      <c r="H126" s="73"/>
      <c r="I126" s="73"/>
    </row>
    <row r="127" spans="1:31" ht="14.7" customHeight="1" thickBot="1">
      <c r="A127" s="16" t="s">
        <v>298</v>
      </c>
      <c r="B127" s="78" t="s">
        <v>866</v>
      </c>
      <c r="C127" s="78" t="s">
        <v>945</v>
      </c>
      <c r="D127" s="76" t="s">
        <v>868</v>
      </c>
      <c r="E127" s="76" t="s">
        <v>869</v>
      </c>
      <c r="F127" s="76" t="s">
        <v>229</v>
      </c>
      <c r="G127" s="76" t="s">
        <v>870</v>
      </c>
      <c r="H127" s="76" t="s">
        <v>871</v>
      </c>
      <c r="I127" s="76" t="s">
        <v>872</v>
      </c>
      <c r="L127" s="18" t="s">
        <v>805</v>
      </c>
      <c r="M127" s="438">
        <v>0.152</v>
      </c>
    </row>
    <row r="128" spans="1:31" ht="14.7" customHeight="1" thickBot="1">
      <c r="A128" s="86" t="str">
        <f t="shared" ref="A128:A136" si="51">+A91</f>
        <v>ACEO Loren Hotels</v>
      </c>
      <c r="B128" s="70">
        <f t="shared" ref="B128:B136" si="52">1-C128</f>
        <v>1</v>
      </c>
      <c r="C128" s="70">
        <f t="shared" ref="C128:C136" si="53">+SUM(D128:I128)</f>
        <v>0</v>
      </c>
      <c r="D128" s="434">
        <v>0</v>
      </c>
      <c r="E128" s="434">
        <v>0</v>
      </c>
      <c r="F128" s="434">
        <v>0</v>
      </c>
      <c r="G128" s="434"/>
      <c r="H128" s="435">
        <v>0</v>
      </c>
      <c r="I128" s="436">
        <v>0</v>
      </c>
      <c r="L128" s="18" t="s">
        <v>806</v>
      </c>
      <c r="M128" s="438">
        <v>3.9E-2</v>
      </c>
    </row>
    <row r="129" spans="1:21">
      <c r="A129" s="86" t="str">
        <f t="shared" si="51"/>
        <v>VP Operations</v>
      </c>
      <c r="B129" s="70">
        <f t="shared" si="52"/>
        <v>1</v>
      </c>
      <c r="C129" s="70">
        <f t="shared" si="53"/>
        <v>0</v>
      </c>
      <c r="D129" s="437">
        <v>0</v>
      </c>
      <c r="E129" s="437">
        <v>0</v>
      </c>
      <c r="F129" s="437">
        <v>0</v>
      </c>
      <c r="G129" s="437">
        <v>0</v>
      </c>
      <c r="H129" s="435">
        <v>0</v>
      </c>
      <c r="I129" s="436">
        <v>0</v>
      </c>
    </row>
    <row r="130" spans="1:21">
      <c r="A130" s="87" t="str">
        <f t="shared" si="51"/>
        <v>[seniorS&amp;Mexec]</v>
      </c>
      <c r="B130" s="70">
        <f t="shared" si="52"/>
        <v>0</v>
      </c>
      <c r="C130" s="70">
        <f t="shared" si="53"/>
        <v>1</v>
      </c>
      <c r="D130" s="437">
        <v>0.5</v>
      </c>
      <c r="E130" s="437">
        <v>0.5</v>
      </c>
      <c r="F130" s="437">
        <v>0</v>
      </c>
      <c r="G130" s="437"/>
      <c r="H130" s="435">
        <v>0</v>
      </c>
      <c r="I130" s="436">
        <v>0</v>
      </c>
    </row>
    <row r="131" spans="1:21">
      <c r="A131" s="86" t="str">
        <f t="shared" si="51"/>
        <v>Senior Associate</v>
      </c>
      <c r="B131" s="70">
        <f t="shared" si="52"/>
        <v>0</v>
      </c>
      <c r="C131" s="70">
        <f t="shared" si="53"/>
        <v>1</v>
      </c>
      <c r="D131" s="437">
        <v>0.5</v>
      </c>
      <c r="E131" s="437">
        <v>0.5</v>
      </c>
      <c r="F131" s="437">
        <v>0</v>
      </c>
      <c r="G131" s="437"/>
      <c r="H131" s="435">
        <v>0</v>
      </c>
      <c r="I131" s="436">
        <v>0</v>
      </c>
    </row>
    <row r="132" spans="1:21">
      <c r="A132" s="86" t="str">
        <f t="shared" si="51"/>
        <v>Accociate</v>
      </c>
      <c r="B132" s="70">
        <f t="shared" si="52"/>
        <v>0</v>
      </c>
      <c r="C132" s="70">
        <f t="shared" si="53"/>
        <v>1</v>
      </c>
      <c r="D132" s="437">
        <v>0.5</v>
      </c>
      <c r="E132" s="437">
        <v>0.5</v>
      </c>
      <c r="F132" s="437">
        <v>0</v>
      </c>
      <c r="G132" s="437"/>
      <c r="H132" s="435">
        <v>0</v>
      </c>
      <c r="I132" s="436">
        <v>0</v>
      </c>
    </row>
    <row r="133" spans="1:21">
      <c r="A133" s="86" t="str">
        <f t="shared" si="51"/>
        <v>Financial Director</v>
      </c>
      <c r="B133" s="70">
        <f t="shared" si="52"/>
        <v>0</v>
      </c>
      <c r="C133" s="70">
        <f t="shared" si="53"/>
        <v>1</v>
      </c>
      <c r="D133" s="437">
        <v>0.5</v>
      </c>
      <c r="E133" s="437">
        <v>0.5</v>
      </c>
      <c r="F133" s="437">
        <v>0</v>
      </c>
      <c r="G133" s="437">
        <v>0</v>
      </c>
      <c r="H133" s="435">
        <v>0</v>
      </c>
      <c r="I133" s="436">
        <v>0</v>
      </c>
    </row>
    <row r="134" spans="1:21">
      <c r="A134" s="86" t="str">
        <f t="shared" si="51"/>
        <v>[Revenue Manager]</v>
      </c>
      <c r="B134" s="70">
        <f t="shared" si="52"/>
        <v>0</v>
      </c>
      <c r="C134" s="70">
        <f t="shared" si="53"/>
        <v>1</v>
      </c>
      <c r="D134" s="437">
        <v>0.5</v>
      </c>
      <c r="E134" s="437">
        <v>0.5</v>
      </c>
      <c r="F134" s="437">
        <v>0</v>
      </c>
      <c r="G134" s="437">
        <v>0</v>
      </c>
      <c r="H134" s="435">
        <v>0</v>
      </c>
      <c r="I134" s="436">
        <v>0</v>
      </c>
    </row>
    <row r="135" spans="1:21">
      <c r="A135" s="86" t="str">
        <f t="shared" si="51"/>
        <v>[]</v>
      </c>
      <c r="B135" s="70">
        <f t="shared" si="52"/>
        <v>1</v>
      </c>
      <c r="C135" s="70">
        <f t="shared" si="53"/>
        <v>0</v>
      </c>
      <c r="D135" s="437">
        <v>0</v>
      </c>
      <c r="E135" s="437">
        <v>0</v>
      </c>
      <c r="F135" s="437">
        <v>0</v>
      </c>
      <c r="G135" s="437">
        <v>0</v>
      </c>
      <c r="H135" s="435">
        <v>0</v>
      </c>
      <c r="I135" s="436">
        <v>0</v>
      </c>
    </row>
    <row r="136" spans="1:21">
      <c r="A136" s="86" t="str">
        <f t="shared" si="51"/>
        <v>[]</v>
      </c>
      <c r="B136" s="70">
        <f t="shared" si="52"/>
        <v>1</v>
      </c>
      <c r="C136" s="70">
        <f t="shared" si="53"/>
        <v>0</v>
      </c>
      <c r="D136" s="437">
        <v>0</v>
      </c>
      <c r="E136" s="437">
        <v>0</v>
      </c>
      <c r="F136" s="437">
        <v>0</v>
      </c>
      <c r="G136" s="437">
        <v>0</v>
      </c>
      <c r="H136" s="435">
        <v>0</v>
      </c>
      <c r="I136" s="436">
        <v>0</v>
      </c>
      <c r="L136" s="40"/>
    </row>
    <row r="137" spans="1:21">
      <c r="A137" s="74" t="s">
        <v>23</v>
      </c>
      <c r="B137" s="93">
        <f t="shared" ref="B137:I137" si="54">SUMPRODUCT(B128:B136,$K$115:$K$123)</f>
        <v>227520</v>
      </c>
      <c r="C137" s="93">
        <f t="shared" si="54"/>
        <v>226080</v>
      </c>
      <c r="D137" s="93">
        <f t="shared" si="54"/>
        <v>113040</v>
      </c>
      <c r="E137" s="93">
        <f t="shared" si="54"/>
        <v>113040</v>
      </c>
      <c r="F137" s="93">
        <f t="shared" si="54"/>
        <v>0</v>
      </c>
      <c r="G137" s="93">
        <f t="shared" si="54"/>
        <v>0</v>
      </c>
      <c r="H137" s="93">
        <f t="shared" si="54"/>
        <v>0</v>
      </c>
      <c r="I137" s="93">
        <f t="shared" si="54"/>
        <v>0</v>
      </c>
    </row>
    <row r="138" spans="1:21">
      <c r="L138" s="1101"/>
      <c r="M138" s="1101"/>
      <c r="O138" s="29"/>
      <c r="P138" s="29"/>
      <c r="Q138" s="29"/>
      <c r="R138" s="29"/>
      <c r="S138" s="29"/>
      <c r="T138" s="29"/>
      <c r="U138" s="29"/>
    </row>
  </sheetData>
  <pageMargins left="0.7" right="0.7" top="0.75" bottom="0.75" header="0.3" footer="0.3"/>
  <pageSetup orientation="portrait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F4B084"/>
    <pageSetUpPr autoPageBreaks="0"/>
  </sheetPr>
  <dimension ref="A1:AW191"/>
  <sheetViews>
    <sheetView showGridLines="0" zoomScale="70" zoomScaleNormal="70" workbookViewId="0">
      <pane xSplit="5" ySplit="3" topLeftCell="J4" activePane="bottomRight" state="frozen"/>
      <selection activeCell="E16" sqref="E16"/>
      <selection pane="topRight" activeCell="E16" sqref="E16"/>
      <selection pane="bottomLeft" activeCell="E16" sqref="E16"/>
      <selection pane="bottomRight" activeCell="E16" sqref="E16"/>
    </sheetView>
  </sheetViews>
  <sheetFormatPr defaultRowHeight="14.4" outlineLevelCol="1"/>
  <cols>
    <col min="1" max="1" width="50.26171875" style="29" bestFit="1" customWidth="1"/>
    <col min="2" max="3" width="21.26171875" style="29" customWidth="1" outlineLevel="1"/>
    <col min="4" max="4" width="15" style="29" customWidth="1" outlineLevel="1"/>
    <col min="5" max="5" width="20" style="29" customWidth="1" outlineLevel="1"/>
    <col min="6" max="6" width="14.578125" style="29" bestFit="1" customWidth="1"/>
    <col min="7" max="10" width="18.68359375" style="29" bestFit="1" customWidth="1"/>
    <col min="11" max="14" width="19.68359375" style="29" bestFit="1" customWidth="1"/>
    <col min="15" max="18" width="19.68359375" bestFit="1" customWidth="1"/>
    <col min="19" max="19" width="13.578125" bestFit="1" customWidth="1"/>
    <col min="20" max="20" width="31.26171875" bestFit="1" customWidth="1"/>
    <col min="21" max="21" width="21.26171875" bestFit="1" customWidth="1"/>
    <col min="22" max="22" width="21" bestFit="1" customWidth="1"/>
    <col min="23" max="23" width="16.41796875" bestFit="1" customWidth="1"/>
    <col min="24" max="24" width="27.26171875" bestFit="1" customWidth="1"/>
    <col min="25" max="27" width="11.26171875" bestFit="1" customWidth="1"/>
    <col min="28" max="28" width="6.68359375" bestFit="1" customWidth="1"/>
    <col min="29" max="29" width="10.26171875" bestFit="1" customWidth="1"/>
    <col min="30" max="30" width="5" bestFit="1" customWidth="1"/>
    <col min="32" max="32" width="9.68359375" bestFit="1" customWidth="1"/>
  </cols>
  <sheetData>
    <row r="1" spans="1:22" s="25" customFormat="1" ht="18.3" customHeight="1">
      <c r="A1" s="1268" t="str">
        <f t="array" aca="1" ref="A1" ca="1">_xlfn.TEXTAFTER(CELL("filename",A1),"]")</f>
        <v>c12_d&amp;s</v>
      </c>
      <c r="B1" s="1267"/>
      <c r="C1" s="1267"/>
      <c r="D1" s="1267"/>
      <c r="E1" s="1267"/>
      <c r="F1" s="1267"/>
      <c r="G1" s="1267"/>
      <c r="H1" s="1267"/>
      <c r="I1" s="1267"/>
      <c r="J1" s="1267"/>
      <c r="K1" s="1267"/>
      <c r="L1" s="1267"/>
      <c r="M1" s="1267"/>
      <c r="N1" s="1267"/>
      <c r="O1" s="1267"/>
      <c r="P1" s="1267"/>
      <c r="Q1" s="1267"/>
      <c r="R1" s="1267"/>
      <c r="T1" s="418"/>
    </row>
    <row r="2" spans="1:22">
      <c r="A2" s="1170" t="s">
        <v>120</v>
      </c>
      <c r="B2" s="1370">
        <v>44196</v>
      </c>
      <c r="C2" s="1369">
        <v>44561</v>
      </c>
      <c r="D2" s="1369">
        <v>44926</v>
      </c>
      <c r="E2" s="1368">
        <v>45291</v>
      </c>
      <c r="F2" s="1368">
        <v>45657</v>
      </c>
      <c r="G2" s="1370">
        <v>45747</v>
      </c>
      <c r="H2" s="1369">
        <v>45838</v>
      </c>
      <c r="I2" s="1369">
        <v>45930</v>
      </c>
      <c r="J2" s="1368">
        <v>46022</v>
      </c>
      <c r="K2" s="1370">
        <v>46112</v>
      </c>
      <c r="L2" s="1369">
        <v>46203</v>
      </c>
      <c r="M2" s="1369">
        <v>46295</v>
      </c>
      <c r="N2" s="1368">
        <v>46387</v>
      </c>
      <c r="O2" s="1367">
        <v>46752</v>
      </c>
      <c r="P2" s="1367">
        <v>47118</v>
      </c>
      <c r="Q2" s="1367">
        <v>47483</v>
      </c>
      <c r="R2" s="1367">
        <v>47848</v>
      </c>
    </row>
    <row r="3" spans="1:22">
      <c r="A3" s="1170" t="s">
        <v>222</v>
      </c>
      <c r="B3" s="1366" t="s">
        <v>2</v>
      </c>
      <c r="C3" s="1169" t="s">
        <v>2</v>
      </c>
      <c r="D3" s="1169" t="s">
        <v>2</v>
      </c>
      <c r="E3" s="1169" t="s">
        <v>2</v>
      </c>
      <c r="F3" s="1365" t="s">
        <v>2</v>
      </c>
      <c r="G3" s="1366" t="s">
        <v>3</v>
      </c>
      <c r="H3" s="1169" t="s">
        <v>4</v>
      </c>
      <c r="I3" s="1169" t="s">
        <v>5</v>
      </c>
      <c r="J3" s="1365" t="s">
        <v>2</v>
      </c>
      <c r="K3" s="1366" t="s">
        <v>3</v>
      </c>
      <c r="L3" s="1169" t="s">
        <v>4</v>
      </c>
      <c r="M3" s="1169" t="s">
        <v>5</v>
      </c>
      <c r="N3" s="1365" t="s">
        <v>2</v>
      </c>
      <c r="O3" s="1364" t="s">
        <v>2</v>
      </c>
      <c r="P3" s="1364" t="s">
        <v>2</v>
      </c>
      <c r="Q3" s="1364" t="s">
        <v>2</v>
      </c>
      <c r="R3" s="1364" t="s">
        <v>2</v>
      </c>
    </row>
    <row r="4" spans="1:22">
      <c r="A4" s="1248" t="s">
        <v>888</v>
      </c>
      <c r="B4" s="1363"/>
      <c r="C4" s="1362"/>
      <c r="D4" s="1362"/>
      <c r="E4" s="1362"/>
      <c r="F4" s="1361"/>
      <c r="G4" s="1360"/>
      <c r="H4" s="1170"/>
      <c r="I4" s="1170"/>
      <c r="J4" s="1359"/>
      <c r="K4" s="1360"/>
      <c r="L4" s="1170"/>
      <c r="M4" s="1170"/>
      <c r="N4" s="1359"/>
      <c r="O4" s="1358"/>
      <c r="P4" s="1358"/>
      <c r="Q4" s="1358"/>
      <c r="R4" s="1358"/>
    </row>
    <row r="5" spans="1:22">
      <c r="A5" s="12" t="s">
        <v>946</v>
      </c>
      <c r="B5" s="1491"/>
      <c r="C5" s="1492"/>
      <c r="D5" s="1492"/>
      <c r="E5" s="1492"/>
      <c r="F5" s="1490">
        <v>0</v>
      </c>
      <c r="G5" s="1491"/>
      <c r="H5" s="1492"/>
      <c r="I5" s="1492"/>
      <c r="J5" s="1490">
        <v>0</v>
      </c>
      <c r="K5" s="1491">
        <v>0</v>
      </c>
      <c r="L5" s="1492">
        <v>0</v>
      </c>
      <c r="M5" s="1492">
        <v>0</v>
      </c>
      <c r="N5" s="1490">
        <v>0</v>
      </c>
      <c r="O5" s="1493">
        <v>0</v>
      </c>
      <c r="P5" s="1493">
        <v>0</v>
      </c>
      <c r="Q5" s="1493">
        <v>0</v>
      </c>
      <c r="R5" s="1493">
        <v>0</v>
      </c>
      <c r="T5" s="4"/>
      <c r="U5" s="1355"/>
    </row>
    <row r="6" spans="1:22">
      <c r="A6" s="12" t="s">
        <v>947</v>
      </c>
      <c r="B6" s="1495"/>
      <c r="C6" s="1489"/>
      <c r="D6" s="1489"/>
      <c r="E6" s="1489"/>
      <c r="F6" s="1494">
        <v>0</v>
      </c>
      <c r="G6" s="1495"/>
      <c r="H6" s="1489"/>
      <c r="I6" s="1489"/>
      <c r="J6" s="1494">
        <v>0</v>
      </c>
      <c r="K6" s="1495">
        <v>0</v>
      </c>
      <c r="L6" s="1489">
        <v>0</v>
      </c>
      <c r="M6" s="1489">
        <v>0</v>
      </c>
      <c r="N6" s="1494">
        <v>0</v>
      </c>
      <c r="O6" s="1496">
        <v>0</v>
      </c>
      <c r="P6" s="1496">
        <v>0</v>
      </c>
      <c r="Q6" s="1496">
        <v>0</v>
      </c>
      <c r="R6" s="1496">
        <v>0</v>
      </c>
      <c r="U6" s="1355"/>
    </row>
    <row r="7" spans="1:22">
      <c r="A7" s="12" t="s">
        <v>948</v>
      </c>
      <c r="B7" s="1495"/>
      <c r="C7" s="1489"/>
      <c r="D7" s="1489"/>
      <c r="E7" s="1489"/>
      <c r="F7" s="1494">
        <v>0</v>
      </c>
      <c r="G7" s="1495"/>
      <c r="H7" s="1489"/>
      <c r="I7" s="1489">
        <f>520000</f>
        <v>520000</v>
      </c>
      <c r="J7" s="1494"/>
      <c r="K7" s="1495"/>
      <c r="L7" s="1489">
        <v>0</v>
      </c>
      <c r="M7" s="1489"/>
      <c r="N7" s="1494">
        <v>0</v>
      </c>
      <c r="O7" s="1496">
        <v>0</v>
      </c>
      <c r="P7" s="1496">
        <v>0</v>
      </c>
      <c r="Q7" s="1496">
        <v>0</v>
      </c>
      <c r="R7" s="1496">
        <v>0</v>
      </c>
      <c r="T7" s="29"/>
      <c r="U7" s="1357"/>
      <c r="V7" s="161"/>
    </row>
    <row r="8" spans="1:22">
      <c r="A8" s="12" t="s">
        <v>949</v>
      </c>
      <c r="B8" s="1495"/>
      <c r="C8" s="1489"/>
      <c r="D8" s="1489"/>
      <c r="E8" s="1489"/>
      <c r="F8" s="1494">
        <v>0</v>
      </c>
      <c r="G8" s="1495"/>
      <c r="H8" s="1489"/>
      <c r="I8" s="1489"/>
      <c r="J8" s="1494">
        <v>0</v>
      </c>
      <c r="K8" s="1495">
        <v>0</v>
      </c>
      <c r="L8" s="1489">
        <v>0</v>
      </c>
      <c r="M8" s="1489">
        <v>0</v>
      </c>
      <c r="N8" s="1494">
        <v>0</v>
      </c>
      <c r="O8" s="1496">
        <v>0</v>
      </c>
      <c r="P8" s="1496">
        <v>0</v>
      </c>
      <c r="Q8" s="1496">
        <v>0</v>
      </c>
      <c r="R8" s="1496">
        <v>0</v>
      </c>
      <c r="T8" s="29"/>
      <c r="U8" s="1355"/>
    </row>
    <row r="9" spans="1:22">
      <c r="A9" s="12" t="s">
        <v>950</v>
      </c>
      <c r="B9" s="1495"/>
      <c r="C9" s="1489"/>
      <c r="D9" s="1489">
        <v>1500000</v>
      </c>
      <c r="E9" s="1489"/>
      <c r="F9" s="1494">
        <v>0</v>
      </c>
      <c r="G9" s="1495"/>
      <c r="H9" s="1489"/>
      <c r="I9" s="1489"/>
      <c r="J9" s="1494">
        <v>0</v>
      </c>
      <c r="K9" s="1495">
        <v>0</v>
      </c>
      <c r="L9" s="1489">
        <v>0</v>
      </c>
      <c r="M9" s="1489">
        <v>0</v>
      </c>
      <c r="N9" s="1494">
        <v>0</v>
      </c>
      <c r="O9" s="1496">
        <v>0</v>
      </c>
      <c r="P9" s="1496">
        <v>0</v>
      </c>
      <c r="Q9" s="1496">
        <v>0</v>
      </c>
      <c r="R9" s="1496">
        <v>0</v>
      </c>
      <c r="T9" s="29"/>
      <c r="U9" s="1356"/>
    </row>
    <row r="10" spans="1:22">
      <c r="A10" s="12" t="s">
        <v>951</v>
      </c>
      <c r="B10" s="1495"/>
      <c r="C10" s="1489"/>
      <c r="D10" s="1489"/>
      <c r="E10" s="1489"/>
      <c r="F10" s="1494">
        <v>0</v>
      </c>
      <c r="G10" s="1495"/>
      <c r="H10" s="1489"/>
      <c r="I10" s="1489"/>
      <c r="J10" s="1494">
        <v>50000</v>
      </c>
      <c r="K10" s="1495">
        <v>0</v>
      </c>
      <c r="L10" s="1489">
        <v>0</v>
      </c>
      <c r="M10" s="1489">
        <v>0</v>
      </c>
      <c r="N10" s="1494">
        <v>0</v>
      </c>
      <c r="O10" s="1496">
        <v>0</v>
      </c>
      <c r="P10" s="1496">
        <v>0</v>
      </c>
      <c r="Q10" s="1496">
        <v>0</v>
      </c>
      <c r="R10" s="1496">
        <v>0</v>
      </c>
      <c r="T10" s="29"/>
      <c r="U10" s="1355"/>
    </row>
    <row r="11" spans="1:22">
      <c r="A11" s="12" t="s">
        <v>952</v>
      </c>
      <c r="B11" s="1495"/>
      <c r="C11" s="1489"/>
      <c r="D11" s="1489"/>
      <c r="E11" s="1489"/>
      <c r="F11" s="1494">
        <v>812800</v>
      </c>
      <c r="G11" s="1495">
        <v>280000</v>
      </c>
      <c r="H11" s="1489">
        <v>280000</v>
      </c>
      <c r="I11" s="1489">
        <v>280000</v>
      </c>
      <c r="J11" s="1494">
        <v>340000</v>
      </c>
      <c r="K11" s="1495">
        <f>2930000/16*3</f>
        <v>549375</v>
      </c>
      <c r="L11" s="1489">
        <f>2930000/16*3</f>
        <v>549375</v>
      </c>
      <c r="M11" s="1489">
        <f>2930000/16*3</f>
        <v>549375</v>
      </c>
      <c r="N11" s="1494">
        <f>2930000/16*3</f>
        <v>549375</v>
      </c>
      <c r="O11" s="1496">
        <f>2930000-SUM(K11:N11)</f>
        <v>732500</v>
      </c>
      <c r="P11" s="1496">
        <v>0</v>
      </c>
      <c r="Q11" s="1496">
        <v>0</v>
      </c>
      <c r="R11" s="1496">
        <v>0</v>
      </c>
      <c r="S11" s="15"/>
      <c r="T11" s="29"/>
      <c r="U11" s="1355"/>
    </row>
    <row r="12" spans="1:22">
      <c r="A12" s="12" t="s">
        <v>953</v>
      </c>
      <c r="B12" s="1495"/>
      <c r="C12" s="1489"/>
      <c r="D12" s="1489"/>
      <c r="E12" s="1489">
        <v>0</v>
      </c>
      <c r="F12" s="1494"/>
      <c r="G12" s="1495"/>
      <c r="H12" s="1489"/>
      <c r="I12" s="1489"/>
      <c r="J12" s="1494">
        <v>250000</v>
      </c>
      <c r="K12" s="1495">
        <v>0</v>
      </c>
      <c r="L12" s="1489">
        <v>0</v>
      </c>
      <c r="M12" s="1489">
        <v>0</v>
      </c>
      <c r="N12" s="1494">
        <v>0</v>
      </c>
      <c r="O12" s="1496">
        <v>0</v>
      </c>
      <c r="P12" s="1496">
        <v>0</v>
      </c>
      <c r="Q12" s="1496">
        <v>0</v>
      </c>
      <c r="R12" s="1496">
        <v>0</v>
      </c>
      <c r="S12" s="1129"/>
      <c r="T12" s="41"/>
    </row>
    <row r="13" spans="1:22">
      <c r="A13" s="12" t="s">
        <v>954</v>
      </c>
      <c r="B13" s="1495"/>
      <c r="C13" s="1489"/>
      <c r="D13" s="1489"/>
      <c r="E13" s="1489">
        <v>0</v>
      </c>
      <c r="F13" s="1497">
        <v>0</v>
      </c>
      <c r="G13" s="1495"/>
      <c r="H13" s="1489"/>
      <c r="I13" s="1489">
        <f>750000/2</f>
        <v>375000</v>
      </c>
      <c r="J13" s="1497">
        <f>750000/2</f>
        <v>375000</v>
      </c>
      <c r="K13" s="1498">
        <f>(4500000*0.6-SUM($I$13:$J$13))/4</f>
        <v>487500</v>
      </c>
      <c r="L13" s="1458">
        <f>(4500000*0.6-SUM($I$13:$J$13))/4</f>
        <v>487500</v>
      </c>
      <c r="M13" s="1458">
        <f>(4500000*0.6-SUM($I$13:$J$13))/4</f>
        <v>487500</v>
      </c>
      <c r="N13" s="1497">
        <f>(4500000*0.6-SUM($I$13:$J$13))/4</f>
        <v>487500</v>
      </c>
      <c r="O13" s="1496">
        <f>4500000-SUM(I13:N13)</f>
        <v>1800000</v>
      </c>
      <c r="P13" s="1496">
        <v>0</v>
      </c>
      <c r="Q13" s="1496">
        <v>0</v>
      </c>
      <c r="R13" s="1496">
        <v>0</v>
      </c>
      <c r="T13" s="301"/>
    </row>
    <row r="14" spans="1:22">
      <c r="A14" s="12" t="s">
        <v>955</v>
      </c>
      <c r="B14" s="1495"/>
      <c r="C14" s="1489"/>
      <c r="D14" s="1489"/>
      <c r="E14" s="1489">
        <v>0</v>
      </c>
      <c r="F14" s="1497">
        <v>0</v>
      </c>
      <c r="G14" s="1495"/>
      <c r="H14" s="1489"/>
      <c r="I14" s="1489">
        <f>1000000/2</f>
        <v>500000</v>
      </c>
      <c r="J14" s="1497">
        <f>1000000/2</f>
        <v>500000</v>
      </c>
      <c r="K14" s="1498">
        <f>5200000/3/4</f>
        <v>433333.33333333331</v>
      </c>
      <c r="L14" s="1458">
        <f>5200000/3/4</f>
        <v>433333.33333333331</v>
      </c>
      <c r="M14" s="1458">
        <f>5200000/3/4</f>
        <v>433333.33333333331</v>
      </c>
      <c r="N14" s="1497">
        <f>5200000/3/4</f>
        <v>433333.33333333331</v>
      </c>
      <c r="O14" s="1496">
        <f>5200000/3</f>
        <v>1733333.3333333333</v>
      </c>
      <c r="P14" s="1496">
        <f>5200000/3/2</f>
        <v>866666.66666666663</v>
      </c>
      <c r="Q14" s="1496">
        <f>5200000/3/2</f>
        <v>866666.66666666663</v>
      </c>
      <c r="R14" s="1496">
        <v>0</v>
      </c>
      <c r="S14" s="1"/>
      <c r="T14" s="1354"/>
    </row>
    <row r="15" spans="1:22">
      <c r="A15" s="12" t="s">
        <v>956</v>
      </c>
      <c r="B15" s="1495"/>
      <c r="C15" s="1489"/>
      <c r="D15" s="1489"/>
      <c r="E15" s="1489">
        <v>0</v>
      </c>
      <c r="F15" s="1497">
        <v>0</v>
      </c>
      <c r="G15" s="1495">
        <v>0</v>
      </c>
      <c r="H15" s="1489">
        <v>0</v>
      </c>
      <c r="I15" s="1489">
        <v>0</v>
      </c>
      <c r="J15" s="1497">
        <v>0</v>
      </c>
      <c r="K15" s="1498">
        <v>0</v>
      </c>
      <c r="L15" s="1458">
        <v>0</v>
      </c>
      <c r="M15" s="1458">
        <v>0</v>
      </c>
      <c r="N15" s="1497">
        <v>0</v>
      </c>
      <c r="O15" s="1496">
        <v>0</v>
      </c>
      <c r="P15" s="1496">
        <v>0</v>
      </c>
      <c r="Q15" s="1496">
        <v>0</v>
      </c>
      <c r="R15" s="1496">
        <v>0</v>
      </c>
      <c r="T15" s="301"/>
    </row>
    <row r="16" spans="1:22">
      <c r="A16" s="12" t="s">
        <v>957</v>
      </c>
      <c r="B16" s="1495"/>
      <c r="C16" s="1489"/>
      <c r="D16" s="1489"/>
      <c r="E16" s="1489">
        <v>0</v>
      </c>
      <c r="F16" s="1494">
        <v>0</v>
      </c>
      <c r="G16" s="1495"/>
      <c r="H16" s="1489"/>
      <c r="I16" s="1489"/>
      <c r="J16" s="1497"/>
      <c r="K16" s="1498">
        <v>0</v>
      </c>
      <c r="L16" s="1458">
        <v>0</v>
      </c>
      <c r="M16" s="1458">
        <v>0</v>
      </c>
      <c r="N16" s="1497">
        <v>0</v>
      </c>
      <c r="O16" s="1496">
        <f>2187500*0.5</f>
        <v>1093750</v>
      </c>
      <c r="P16" s="1496">
        <f>O16/2</f>
        <v>546875</v>
      </c>
      <c r="Q16" s="1496">
        <f>P16</f>
        <v>546875</v>
      </c>
      <c r="R16" s="1496">
        <v>0</v>
      </c>
      <c r="T16" s="41"/>
    </row>
    <row r="17" spans="1:20">
      <c r="A17" s="12" t="s">
        <v>958</v>
      </c>
      <c r="B17" s="1495"/>
      <c r="C17" s="1489"/>
      <c r="D17" s="1489"/>
      <c r="E17" s="1489"/>
      <c r="F17" s="1494"/>
      <c r="G17" s="1495"/>
      <c r="H17" s="1489">
        <v>1000000</v>
      </c>
      <c r="I17" s="1489"/>
      <c r="J17" s="1497"/>
      <c r="K17" s="1498"/>
      <c r="L17" s="1458"/>
      <c r="M17" s="1458"/>
      <c r="N17" s="1497"/>
      <c r="O17" s="1496"/>
      <c r="P17" s="1496"/>
      <c r="Q17" s="1496"/>
      <c r="R17" s="1496"/>
      <c r="T17" s="41"/>
    </row>
    <row r="18" spans="1:20">
      <c r="A18" s="12" t="s">
        <v>959</v>
      </c>
      <c r="B18" s="1495"/>
      <c r="C18" s="1489"/>
      <c r="D18" s="1489"/>
      <c r="E18" s="1489">
        <v>0</v>
      </c>
      <c r="F18" s="1494">
        <v>0</v>
      </c>
      <c r="G18" s="1495">
        <v>0</v>
      </c>
      <c r="H18" s="1489">
        <v>0</v>
      </c>
      <c r="I18" s="1489">
        <v>0</v>
      </c>
      <c r="J18" s="1497">
        <v>0</v>
      </c>
      <c r="K18" s="1498">
        <v>0</v>
      </c>
      <c r="L18" s="1458">
        <v>0</v>
      </c>
      <c r="M18" s="1458">
        <v>0</v>
      </c>
      <c r="N18" s="1497">
        <v>0</v>
      </c>
      <c r="O18" s="1496">
        <v>0</v>
      </c>
      <c r="P18" s="1496">
        <v>0</v>
      </c>
      <c r="Q18" s="1496">
        <v>0</v>
      </c>
      <c r="R18" s="1496">
        <v>0</v>
      </c>
      <c r="T18" s="41"/>
    </row>
    <row r="19" spans="1:20">
      <c r="A19" s="12" t="s">
        <v>960</v>
      </c>
      <c r="B19" s="1495"/>
      <c r="C19" s="1489"/>
      <c r="D19" s="1489"/>
      <c r="E19" s="1489">
        <v>0</v>
      </c>
      <c r="F19" s="1494">
        <v>0</v>
      </c>
      <c r="G19" s="1495">
        <v>0</v>
      </c>
      <c r="H19" s="1489">
        <v>1250000</v>
      </c>
      <c r="I19" s="1489">
        <v>0</v>
      </c>
      <c r="J19" s="1497">
        <v>0</v>
      </c>
      <c r="K19" s="1498">
        <v>0</v>
      </c>
      <c r="L19" s="1458">
        <v>0</v>
      </c>
      <c r="M19" s="1458">
        <v>0</v>
      </c>
      <c r="N19" s="1497">
        <v>0</v>
      </c>
      <c r="O19" s="1496">
        <v>0</v>
      </c>
      <c r="P19" s="1496">
        <v>0</v>
      </c>
      <c r="Q19" s="1496">
        <v>0</v>
      </c>
      <c r="R19" s="1496">
        <v>0</v>
      </c>
      <c r="T19" s="41"/>
    </row>
    <row r="20" spans="1:20">
      <c r="A20" s="12" t="s">
        <v>961</v>
      </c>
      <c r="B20" s="1495"/>
      <c r="C20" s="1489"/>
      <c r="D20" s="1489"/>
      <c r="E20" s="1489">
        <v>0</v>
      </c>
      <c r="F20" s="1494">
        <v>0</v>
      </c>
      <c r="G20" s="1495">
        <v>0</v>
      </c>
      <c r="H20" s="1489">
        <v>0</v>
      </c>
      <c r="I20" s="1489">
        <v>0</v>
      </c>
      <c r="J20" s="1494">
        <v>0</v>
      </c>
      <c r="K20" s="1495">
        <v>0</v>
      </c>
      <c r="L20" s="1489">
        <v>0</v>
      </c>
      <c r="M20" s="1489">
        <v>0</v>
      </c>
      <c r="N20" s="1494">
        <v>0</v>
      </c>
      <c r="O20" s="1496">
        <v>0</v>
      </c>
      <c r="P20" s="1496">
        <v>0</v>
      </c>
      <c r="Q20" s="1496">
        <v>0</v>
      </c>
      <c r="R20" s="1496">
        <v>0</v>
      </c>
      <c r="T20" s="41"/>
    </row>
    <row r="21" spans="1:20">
      <c r="A21" s="12" t="s">
        <v>962</v>
      </c>
      <c r="B21" s="1495"/>
      <c r="C21" s="1489"/>
      <c r="D21" s="1489"/>
      <c r="E21" s="1489"/>
      <c r="F21" s="1494">
        <v>0</v>
      </c>
      <c r="G21" s="1495"/>
      <c r="H21" s="1489"/>
      <c r="I21" s="1489"/>
      <c r="J21" s="1494">
        <v>0</v>
      </c>
      <c r="K21" s="1495">
        <v>0</v>
      </c>
      <c r="L21" s="1489">
        <v>0</v>
      </c>
      <c r="M21" s="1489">
        <v>0</v>
      </c>
      <c r="N21" s="1494">
        <v>2500000</v>
      </c>
      <c r="O21" s="1496">
        <v>0</v>
      </c>
      <c r="P21" s="1496">
        <v>0</v>
      </c>
      <c r="Q21" s="1496">
        <v>0</v>
      </c>
      <c r="R21" s="1496">
        <v>0</v>
      </c>
      <c r="S21" s="15"/>
      <c r="T21" s="41"/>
    </row>
    <row r="22" spans="1:20">
      <c r="A22" s="12" t="s">
        <v>232</v>
      </c>
      <c r="B22" s="1495"/>
      <c r="C22" s="1489"/>
      <c r="D22" s="1489"/>
      <c r="E22" s="1489"/>
      <c r="F22" s="1494"/>
      <c r="G22" s="1495"/>
      <c r="H22" s="1489"/>
      <c r="I22" s="1489"/>
      <c r="J22" s="1494"/>
      <c r="K22" s="1495"/>
      <c r="L22" s="1489"/>
      <c r="M22" s="1489"/>
      <c r="N22" s="1494">
        <f>500000+1600000</f>
        <v>2100000</v>
      </c>
      <c r="O22" s="1496">
        <v>250000</v>
      </c>
      <c r="P22" s="1496">
        <v>650000</v>
      </c>
      <c r="Q22" s="1496"/>
      <c r="R22" s="1496"/>
      <c r="S22" s="15"/>
      <c r="T22" s="41"/>
    </row>
    <row r="23" spans="1:20">
      <c r="A23" s="12" t="s">
        <v>233</v>
      </c>
      <c r="B23" s="1495"/>
      <c r="C23" s="1489"/>
      <c r="D23" s="1489"/>
      <c r="E23" s="1489"/>
      <c r="F23" s="1494"/>
      <c r="G23" s="1495"/>
      <c r="H23" s="1489"/>
      <c r="I23" s="1489"/>
      <c r="J23" s="1494"/>
      <c r="K23" s="1495"/>
      <c r="L23" s="1489"/>
      <c r="M23" s="1489">
        <v>0</v>
      </c>
      <c r="N23" s="1494">
        <v>0</v>
      </c>
      <c r="O23" s="1496">
        <v>2000000</v>
      </c>
      <c r="P23" s="1496">
        <v>2000000</v>
      </c>
      <c r="Q23" s="1496">
        <v>4000000</v>
      </c>
      <c r="R23" s="1496">
        <v>4000000</v>
      </c>
      <c r="S23" s="15"/>
      <c r="T23" s="41"/>
    </row>
    <row r="24" spans="1:20">
      <c r="A24" s="23" t="s">
        <v>811</v>
      </c>
      <c r="B24" s="1202">
        <f t="shared" ref="B24:R24" si="0">SUM(B5:B23)</f>
        <v>0</v>
      </c>
      <c r="C24" s="1202">
        <f t="shared" si="0"/>
        <v>0</v>
      </c>
      <c r="D24" s="1202">
        <f t="shared" si="0"/>
        <v>1500000</v>
      </c>
      <c r="E24" s="1202">
        <f t="shared" si="0"/>
        <v>0</v>
      </c>
      <c r="F24" s="1202">
        <f t="shared" si="0"/>
        <v>812800</v>
      </c>
      <c r="G24" s="1202">
        <f t="shared" si="0"/>
        <v>280000</v>
      </c>
      <c r="H24" s="1202">
        <f t="shared" si="0"/>
        <v>2530000</v>
      </c>
      <c r="I24" s="1202">
        <f t="shared" si="0"/>
        <v>1675000</v>
      </c>
      <c r="J24" s="1202">
        <f t="shared" si="0"/>
        <v>1515000</v>
      </c>
      <c r="K24" s="1202">
        <f t="shared" si="0"/>
        <v>1470208.3333333333</v>
      </c>
      <c r="L24" s="1202">
        <f t="shared" si="0"/>
        <v>1470208.3333333333</v>
      </c>
      <c r="M24" s="1202">
        <f t="shared" si="0"/>
        <v>1470208.3333333333</v>
      </c>
      <c r="N24" s="1202">
        <f t="shared" si="0"/>
        <v>6070208.333333333</v>
      </c>
      <c r="O24" s="1202">
        <f t="shared" si="0"/>
        <v>7609583.333333333</v>
      </c>
      <c r="P24" s="1202">
        <f t="shared" si="0"/>
        <v>4063541.6666666665</v>
      </c>
      <c r="Q24" s="1202">
        <f t="shared" si="0"/>
        <v>5413541.666666666</v>
      </c>
      <c r="R24" s="1202">
        <f t="shared" si="0"/>
        <v>4000000</v>
      </c>
      <c r="S24" s="15"/>
      <c r="T24" s="41"/>
    </row>
    <row r="25" spans="1:20">
      <c r="A25" s="42"/>
      <c r="B25" s="1199"/>
      <c r="C25" s="1199"/>
      <c r="D25" s="1199"/>
      <c r="E25" s="1199"/>
      <c r="F25" s="1199"/>
      <c r="G25" s="1199"/>
      <c r="H25" s="1199"/>
      <c r="I25" s="1199"/>
      <c r="J25" s="1199"/>
      <c r="K25" s="1199"/>
      <c r="L25" s="1199"/>
      <c r="M25" s="1199"/>
      <c r="N25" s="1199"/>
      <c r="O25" s="1199"/>
      <c r="P25" s="1199"/>
      <c r="Q25" s="1199"/>
      <c r="R25" s="1199"/>
      <c r="S25" s="15"/>
      <c r="T25" s="41"/>
    </row>
    <row r="26" spans="1:20">
      <c r="A26" s="1250" t="s">
        <v>896</v>
      </c>
      <c r="B26" s="1241"/>
      <c r="C26" s="1241"/>
      <c r="D26" s="1241"/>
      <c r="E26" s="1241"/>
      <c r="F26" s="1241"/>
      <c r="G26" s="1489">
        <f>-SUM(G5:G23)</f>
        <v>-280000</v>
      </c>
      <c r="H26" s="1489">
        <f>-SUM(H5:H23)</f>
        <v>-2530000</v>
      </c>
      <c r="I26" s="1489">
        <v>-1155000</v>
      </c>
      <c r="J26" s="1489">
        <v>-745000</v>
      </c>
      <c r="K26" s="1489">
        <v>-1470208</v>
      </c>
      <c r="L26" s="1489">
        <f>-1000000+310000</f>
        <v>-690000</v>
      </c>
      <c r="M26" s="1489">
        <v>-1000000</v>
      </c>
      <c r="N26" s="1489">
        <v>-2100000</v>
      </c>
      <c r="O26" s="1489">
        <f>-1500000-2000000-250000</f>
        <v>-3750000</v>
      </c>
      <c r="P26" s="1489">
        <f>-2000000-650000</f>
        <v>-2650000</v>
      </c>
      <c r="Q26" s="1489">
        <v>-4000000</v>
      </c>
      <c r="R26" s="1489">
        <v>-4000000</v>
      </c>
      <c r="S26" s="29"/>
      <c r="T26" s="41"/>
    </row>
    <row r="27" spans="1:20">
      <c r="A27" s="1170"/>
      <c r="B27" s="1225"/>
      <c r="C27" s="1225"/>
      <c r="D27" s="1225"/>
      <c r="E27" s="1225"/>
      <c r="F27" s="1225"/>
      <c r="G27" s="1225"/>
      <c r="H27" s="1225"/>
      <c r="I27" s="1225"/>
      <c r="J27" s="1225"/>
      <c r="K27" s="1225"/>
      <c r="L27" s="1225"/>
      <c r="M27" s="1225"/>
      <c r="N27" s="1225"/>
      <c r="O27" s="1225"/>
      <c r="P27" s="1225"/>
      <c r="Q27" s="1225"/>
      <c r="R27" s="1225"/>
      <c r="S27" s="29"/>
      <c r="T27" s="41"/>
    </row>
    <row r="28" spans="1:20" s="29" customFormat="1">
      <c r="A28" s="1250" t="s">
        <v>897</v>
      </c>
      <c r="B28" s="1129"/>
      <c r="C28" s="1129"/>
      <c r="D28" s="1129"/>
      <c r="E28" s="1129"/>
      <c r="F28" s="1129"/>
      <c r="G28" s="1129">
        <f t="shared" ref="G28:R28" si="1">+G26+F28+G29</f>
        <v>-280000</v>
      </c>
      <c r="H28" s="1129">
        <f t="shared" si="1"/>
        <v>-2810000</v>
      </c>
      <c r="I28" s="1129">
        <f t="shared" si="1"/>
        <v>-3965000</v>
      </c>
      <c r="J28" s="1129">
        <f t="shared" si="1"/>
        <v>-4710000</v>
      </c>
      <c r="K28" s="1129">
        <f t="shared" si="1"/>
        <v>-4671560.68</v>
      </c>
      <c r="L28" s="1129">
        <f t="shared" si="1"/>
        <v>-4184060.6799999997</v>
      </c>
      <c r="M28" s="1129">
        <f t="shared" si="1"/>
        <v>-4006560.6799999997</v>
      </c>
      <c r="N28" s="1129">
        <f t="shared" si="1"/>
        <v>-4929060.68</v>
      </c>
      <c r="O28" s="1129">
        <f t="shared" si="1"/>
        <v>-3750000</v>
      </c>
      <c r="P28" s="1129">
        <f t="shared" si="1"/>
        <v>-2650000</v>
      </c>
      <c r="Q28" s="1129">
        <f t="shared" si="1"/>
        <v>-6000000</v>
      </c>
      <c r="R28" s="1129">
        <f t="shared" si="1"/>
        <v>-8000000.333333334</v>
      </c>
      <c r="T28" s="41"/>
    </row>
    <row r="29" spans="1:20">
      <c r="A29" s="18" t="s">
        <v>898</v>
      </c>
      <c r="B29" s="1489"/>
      <c r="C29" s="1489"/>
      <c r="D29" s="1489"/>
      <c r="E29" s="1489"/>
      <c r="F29" s="1489"/>
      <c r="G29" s="1489"/>
      <c r="H29" s="1489"/>
      <c r="I29" s="1489"/>
      <c r="J29" s="1489"/>
      <c r="K29" s="1489">
        <f>208647.32+1300000</f>
        <v>1508647.32</v>
      </c>
      <c r="L29" s="1489">
        <f>-$J$28/4</f>
        <v>1177500</v>
      </c>
      <c r="M29" s="1489">
        <f>-$J$28/4</f>
        <v>1177500</v>
      </c>
      <c r="N29" s="1489">
        <f>-$J$28/4</f>
        <v>1177500</v>
      </c>
      <c r="O29" s="1489">
        <f>-N28</f>
        <v>4929060.68</v>
      </c>
      <c r="P29" s="1489">
        <f>-O28</f>
        <v>3750000</v>
      </c>
      <c r="Q29" s="1489">
        <v>650000</v>
      </c>
      <c r="R29" s="1489">
        <f>+Q16+Q14+586458</f>
        <v>1999999.6666666665</v>
      </c>
      <c r="S29" s="15"/>
      <c r="T29" s="41"/>
    </row>
    <row r="30" spans="1:20" s="29" customFormat="1">
      <c r="A30" s="1250" t="s">
        <v>899</v>
      </c>
      <c r="B30" s="1129">
        <f t="shared" ref="B30:R30" si="2">B24+B26</f>
        <v>0</v>
      </c>
      <c r="C30" s="1129">
        <f t="shared" si="2"/>
        <v>0</v>
      </c>
      <c r="D30" s="1129">
        <f t="shared" si="2"/>
        <v>1500000</v>
      </c>
      <c r="E30" s="1129">
        <f t="shared" si="2"/>
        <v>0</v>
      </c>
      <c r="F30" s="1129">
        <f t="shared" si="2"/>
        <v>812800</v>
      </c>
      <c r="G30" s="1129">
        <f t="shared" si="2"/>
        <v>0</v>
      </c>
      <c r="H30" s="1129">
        <f t="shared" si="2"/>
        <v>0</v>
      </c>
      <c r="I30" s="1129">
        <f t="shared" si="2"/>
        <v>520000</v>
      </c>
      <c r="J30" s="1129">
        <f t="shared" si="2"/>
        <v>770000</v>
      </c>
      <c r="K30" s="1129">
        <f t="shared" si="2"/>
        <v>0.33333333325572312</v>
      </c>
      <c r="L30" s="1129">
        <f t="shared" si="2"/>
        <v>780208.33333333326</v>
      </c>
      <c r="M30" s="1129">
        <f t="shared" si="2"/>
        <v>470208.33333333326</v>
      </c>
      <c r="N30" s="1129">
        <f t="shared" si="2"/>
        <v>3970208.333333333</v>
      </c>
      <c r="O30" s="1129">
        <f t="shared" si="2"/>
        <v>3859583.333333333</v>
      </c>
      <c r="P30" s="1129">
        <f t="shared" si="2"/>
        <v>1413541.6666666665</v>
      </c>
      <c r="Q30" s="1129">
        <f t="shared" si="2"/>
        <v>1413541.666666666</v>
      </c>
      <c r="R30" s="1129">
        <f t="shared" si="2"/>
        <v>0</v>
      </c>
      <c r="T30" s="41"/>
    </row>
    <row r="31" spans="1:20" s="29" customFormat="1">
      <c r="A31" s="1243" t="s">
        <v>963</v>
      </c>
      <c r="B31" s="1202">
        <f t="shared" ref="B31:R31" si="3">B29+B30</f>
        <v>0</v>
      </c>
      <c r="C31" s="1202">
        <f t="shared" si="3"/>
        <v>0</v>
      </c>
      <c r="D31" s="1202">
        <f t="shared" si="3"/>
        <v>1500000</v>
      </c>
      <c r="E31" s="1202">
        <f t="shared" si="3"/>
        <v>0</v>
      </c>
      <c r="F31" s="1202">
        <f t="shared" si="3"/>
        <v>812800</v>
      </c>
      <c r="G31" s="1202">
        <f t="shared" si="3"/>
        <v>0</v>
      </c>
      <c r="H31" s="1202">
        <f t="shared" si="3"/>
        <v>0</v>
      </c>
      <c r="I31" s="1202">
        <f t="shared" si="3"/>
        <v>520000</v>
      </c>
      <c r="J31" s="1202">
        <f t="shared" si="3"/>
        <v>770000</v>
      </c>
      <c r="K31" s="1353">
        <f t="shared" si="3"/>
        <v>1508647.6533333333</v>
      </c>
      <c r="L31" s="1353">
        <f t="shared" si="3"/>
        <v>1957708.3333333333</v>
      </c>
      <c r="M31" s="1353">
        <f t="shared" si="3"/>
        <v>1647708.3333333333</v>
      </c>
      <c r="N31" s="1353">
        <f t="shared" si="3"/>
        <v>5147708.333333333</v>
      </c>
      <c r="O31" s="1202">
        <f t="shared" si="3"/>
        <v>8788644.0133333318</v>
      </c>
      <c r="P31" s="1202">
        <f t="shared" si="3"/>
        <v>5163541.666666666</v>
      </c>
      <c r="Q31" s="1202">
        <f t="shared" si="3"/>
        <v>2063541.666666666</v>
      </c>
      <c r="R31" s="1202">
        <f t="shared" si="3"/>
        <v>1999999.6666666665</v>
      </c>
      <c r="T31" s="41"/>
    </row>
    <row r="32" spans="1:20">
      <c r="A32" s="42"/>
      <c r="B32" s="1129"/>
      <c r="C32" s="1129"/>
      <c r="D32" s="1129"/>
      <c r="E32" s="1129"/>
      <c r="F32" s="1129"/>
      <c r="G32" s="1129"/>
      <c r="H32" s="1129"/>
      <c r="I32" s="1129"/>
      <c r="J32" s="1129"/>
      <c r="K32" s="1129"/>
      <c r="L32" s="1129"/>
      <c r="M32" s="1129"/>
      <c r="N32" s="1129"/>
      <c r="O32" s="1129"/>
      <c r="P32" s="1129"/>
      <c r="Q32" s="1129"/>
      <c r="R32" s="1129"/>
      <c r="S32" s="15"/>
      <c r="T32" s="41"/>
    </row>
    <row r="33" spans="1:49">
      <c r="A33" s="5" t="s">
        <v>813</v>
      </c>
      <c r="B33" s="1129"/>
      <c r="C33" s="1129"/>
      <c r="D33" s="1129"/>
      <c r="E33" s="1129"/>
      <c r="F33" s="1129"/>
      <c r="G33" s="1129"/>
      <c r="H33" s="1129"/>
      <c r="K33" s="1129"/>
      <c r="L33" s="1129"/>
      <c r="M33" s="1129"/>
      <c r="N33" s="1129"/>
      <c r="O33" s="1129"/>
      <c r="P33" s="1129"/>
      <c r="Q33" s="1129"/>
      <c r="R33" s="1129"/>
      <c r="T33" s="41"/>
    </row>
    <row r="34" spans="1:49">
      <c r="A34" s="1222" t="s">
        <v>964</v>
      </c>
      <c r="B34" s="1495">
        <v>0</v>
      </c>
      <c r="C34" s="1489">
        <v>0</v>
      </c>
      <c r="D34" s="1489">
        <v>0</v>
      </c>
      <c r="E34" s="1489">
        <v>0</v>
      </c>
      <c r="F34" s="1494">
        <v>0</v>
      </c>
      <c r="G34" s="1499">
        <v>57077.25</v>
      </c>
      <c r="H34" s="1500">
        <v>57077.25</v>
      </c>
      <c r="I34" s="1500">
        <v>57077.25</v>
      </c>
      <c r="J34" s="1501">
        <v>57077.25</v>
      </c>
      <c r="K34" s="1495">
        <v>72879</v>
      </c>
      <c r="L34" s="1489">
        <v>72879</v>
      </c>
      <c r="M34" s="1489">
        <v>72879</v>
      </c>
      <c r="N34" s="1494">
        <v>72879</v>
      </c>
      <c r="O34" s="1496">
        <v>300261.48</v>
      </c>
      <c r="P34" s="1496">
        <v>309269.32439999998</v>
      </c>
      <c r="Q34" s="1496">
        <v>318547.404132</v>
      </c>
      <c r="R34" s="1496">
        <v>328103.82625595998</v>
      </c>
      <c r="T34" s="41"/>
    </row>
    <row r="35" spans="1:49">
      <c r="A35" s="1222" t="s">
        <v>965</v>
      </c>
      <c r="B35" s="1495">
        <v>0</v>
      </c>
      <c r="C35" s="1489">
        <v>0</v>
      </c>
      <c r="D35" s="1489">
        <v>0</v>
      </c>
      <c r="E35" s="1489">
        <v>0</v>
      </c>
      <c r="F35" s="1494">
        <v>0</v>
      </c>
      <c r="G35" s="1499">
        <v>49547.75</v>
      </c>
      <c r="H35" s="1500">
        <v>49547.75</v>
      </c>
      <c r="I35" s="1500">
        <v>49547.75</v>
      </c>
      <c r="J35" s="1501">
        <v>49547.75</v>
      </c>
      <c r="K35" s="1495">
        <v>63543</v>
      </c>
      <c r="L35" s="1489">
        <v>63543</v>
      </c>
      <c r="M35" s="1489">
        <v>63543</v>
      </c>
      <c r="N35" s="1494">
        <v>63543</v>
      </c>
      <c r="O35" s="1496">
        <v>261797.16</v>
      </c>
      <c r="P35" s="1496">
        <v>269651.0748</v>
      </c>
      <c r="Q35" s="1496">
        <v>277740.607044</v>
      </c>
      <c r="R35" s="1496">
        <v>286072.82525532</v>
      </c>
      <c r="T35" s="41"/>
    </row>
    <row r="36" spans="1:49">
      <c r="A36" s="1222" t="s">
        <v>966</v>
      </c>
      <c r="B36" s="1495"/>
      <c r="C36" s="1489"/>
      <c r="D36" s="1489"/>
      <c r="E36" s="1489"/>
      <c r="F36" s="1494"/>
      <c r="G36" s="1495"/>
      <c r="H36" s="1489"/>
      <c r="I36" s="1489"/>
      <c r="J36" s="1494"/>
      <c r="K36" s="1495"/>
      <c r="L36" s="1489"/>
      <c r="M36" s="1489"/>
      <c r="N36" s="1494"/>
      <c r="O36" s="1496"/>
      <c r="P36" s="1496"/>
      <c r="Q36" s="1496"/>
      <c r="R36" s="1496"/>
      <c r="T36" s="41"/>
    </row>
    <row r="37" spans="1:49">
      <c r="A37" s="1222" t="s">
        <v>967</v>
      </c>
      <c r="B37" s="1495">
        <v>0</v>
      </c>
      <c r="C37" s="1489">
        <v>0</v>
      </c>
      <c r="D37" s="1489">
        <v>0</v>
      </c>
      <c r="E37" s="1489">
        <v>0</v>
      </c>
      <c r="F37" s="1494">
        <v>0</v>
      </c>
      <c r="G37" s="1495">
        <v>0</v>
      </c>
      <c r="H37" s="1489">
        <v>0</v>
      </c>
      <c r="I37" s="1489">
        <v>0</v>
      </c>
      <c r="J37" s="1494">
        <v>0</v>
      </c>
      <c r="K37" s="1495">
        <v>0</v>
      </c>
      <c r="L37" s="1489">
        <v>0</v>
      </c>
      <c r="M37" s="1489">
        <v>0</v>
      </c>
      <c r="N37" s="1494">
        <v>0</v>
      </c>
      <c r="O37" s="1496">
        <v>0</v>
      </c>
      <c r="P37" s="1496">
        <v>0</v>
      </c>
      <c r="Q37" s="1496">
        <v>200000</v>
      </c>
      <c r="R37" s="1496">
        <v>206000</v>
      </c>
      <c r="T37" s="41"/>
    </row>
    <row r="38" spans="1:49">
      <c r="A38" s="1222" t="s">
        <v>968</v>
      </c>
      <c r="B38" s="1495">
        <v>0</v>
      </c>
      <c r="C38" s="1489">
        <v>0</v>
      </c>
      <c r="D38" s="1489">
        <v>0</v>
      </c>
      <c r="E38" s="1489">
        <v>0</v>
      </c>
      <c r="F38" s="1494">
        <v>0</v>
      </c>
      <c r="G38" s="1495">
        <v>0</v>
      </c>
      <c r="H38" s="1489">
        <v>0</v>
      </c>
      <c r="I38" s="1489">
        <v>0</v>
      </c>
      <c r="J38" s="1501">
        <v>50400</v>
      </c>
      <c r="K38" s="1495">
        <v>12500</v>
      </c>
      <c r="L38" s="1489">
        <v>12500</v>
      </c>
      <c r="M38" s="1489">
        <v>12500</v>
      </c>
      <c r="N38" s="1494">
        <v>12500</v>
      </c>
      <c r="O38" s="1496">
        <v>0</v>
      </c>
      <c r="P38" s="1496">
        <v>0</v>
      </c>
      <c r="Q38" s="1496">
        <v>0</v>
      </c>
      <c r="R38" s="1496">
        <v>0</v>
      </c>
      <c r="T38" s="41"/>
    </row>
    <row r="39" spans="1:49">
      <c r="A39" s="1146" t="s">
        <v>232</v>
      </c>
      <c r="B39" s="1495"/>
      <c r="C39" s="1489"/>
      <c r="D39" s="1489"/>
      <c r="E39" s="1489"/>
      <c r="F39" s="1489"/>
      <c r="G39" s="1495"/>
      <c r="H39" s="1489"/>
      <c r="I39" s="1489"/>
      <c r="J39" s="1494"/>
      <c r="K39" s="1495"/>
      <c r="L39" s="1489"/>
      <c r="M39" s="1489"/>
      <c r="N39" s="1494"/>
      <c r="O39" s="1496">
        <f>240000*0.5</f>
        <v>120000</v>
      </c>
      <c r="P39" s="1496">
        <f>240000*0.75</f>
        <v>180000</v>
      </c>
      <c r="Q39" s="1496">
        <v>240000</v>
      </c>
      <c r="R39" s="1496">
        <v>240000</v>
      </c>
      <c r="T39" s="41"/>
    </row>
    <row r="40" spans="1:49">
      <c r="A40" s="1146" t="s">
        <v>233</v>
      </c>
      <c r="B40" s="1495"/>
      <c r="C40" s="1489"/>
      <c r="D40" s="1489"/>
      <c r="E40" s="1489"/>
      <c r="F40" s="1489"/>
      <c r="G40" s="1495"/>
      <c r="H40" s="1489"/>
      <c r="I40" s="1489"/>
      <c r="J40" s="1494"/>
      <c r="K40" s="1495"/>
      <c r="L40" s="1489"/>
      <c r="M40" s="1489"/>
      <c r="N40" s="1494"/>
      <c r="O40" s="1496"/>
      <c r="P40" s="1496"/>
      <c r="Q40" s="1496"/>
      <c r="R40" s="1496"/>
      <c r="T40" s="41"/>
    </row>
    <row r="41" spans="1:49">
      <c r="A41" s="1352" t="s">
        <v>969</v>
      </c>
      <c r="B41" s="1254">
        <f t="shared" ref="B41:R41" si="4">SUM(B34:B40)</f>
        <v>0</v>
      </c>
      <c r="C41" s="1202">
        <f t="shared" si="4"/>
        <v>0</v>
      </c>
      <c r="D41" s="1202">
        <f t="shared" si="4"/>
        <v>0</v>
      </c>
      <c r="E41" s="1202">
        <f t="shared" si="4"/>
        <v>0</v>
      </c>
      <c r="F41" s="1202">
        <f t="shared" si="4"/>
        <v>0</v>
      </c>
      <c r="G41" s="1254">
        <f t="shared" si="4"/>
        <v>106625</v>
      </c>
      <c r="H41" s="1202">
        <f t="shared" si="4"/>
        <v>106625</v>
      </c>
      <c r="I41" s="1202">
        <f t="shared" si="4"/>
        <v>106625</v>
      </c>
      <c r="J41" s="1253">
        <f t="shared" si="4"/>
        <v>157025</v>
      </c>
      <c r="K41" s="1254">
        <f t="shared" si="4"/>
        <v>148922</v>
      </c>
      <c r="L41" s="1202">
        <f t="shared" si="4"/>
        <v>148922</v>
      </c>
      <c r="M41" s="1202">
        <f t="shared" si="4"/>
        <v>148922</v>
      </c>
      <c r="N41" s="1253">
        <f t="shared" si="4"/>
        <v>148922</v>
      </c>
      <c r="O41" s="1252">
        <f t="shared" si="4"/>
        <v>682058.64</v>
      </c>
      <c r="P41" s="1252">
        <f t="shared" si="4"/>
        <v>758920.39919999999</v>
      </c>
      <c r="Q41" s="1252">
        <f t="shared" si="4"/>
        <v>1036288.011176</v>
      </c>
      <c r="R41" s="1252">
        <f t="shared" si="4"/>
        <v>1060176.6515112799</v>
      </c>
      <c r="T41" s="41"/>
    </row>
    <row r="42" spans="1:49">
      <c r="A42" s="1242"/>
      <c r="B42" s="1325"/>
      <c r="C42" s="1199"/>
      <c r="D42" s="1199"/>
      <c r="E42" s="1199"/>
      <c r="F42" s="1199"/>
      <c r="G42" s="1325"/>
      <c r="H42" s="1199"/>
      <c r="I42" s="1199"/>
      <c r="J42" s="1324"/>
      <c r="K42" s="1325"/>
      <c r="L42" s="1199"/>
      <c r="M42" s="1199"/>
      <c r="N42" s="1324"/>
      <c r="O42" s="1323"/>
      <c r="P42" s="1323"/>
      <c r="Q42" s="1323"/>
      <c r="R42" s="1323"/>
      <c r="T42" s="41"/>
    </row>
    <row r="43" spans="1:49">
      <c r="A43" s="1339" t="s">
        <v>896</v>
      </c>
      <c r="B43" s="1495"/>
      <c r="C43" s="1489"/>
      <c r="D43" s="1489"/>
      <c r="E43" s="1489"/>
      <c r="F43" s="1489"/>
      <c r="G43" s="1499">
        <f>-G35</f>
        <v>-49547.75</v>
      </c>
      <c r="H43" s="1500">
        <f>-H35</f>
        <v>-49547.75</v>
      </c>
      <c r="I43" s="1500">
        <f>-I35</f>
        <v>-49547.75</v>
      </c>
      <c r="J43" s="1501">
        <f>-J35</f>
        <v>-49547.75</v>
      </c>
      <c r="K43" s="1495">
        <v>-148922</v>
      </c>
      <c r="L43" s="1489">
        <f t="shared" ref="L43:Q43" si="5">-L34-L35</f>
        <v>-136422</v>
      </c>
      <c r="M43" s="1489">
        <f t="shared" si="5"/>
        <v>-136422</v>
      </c>
      <c r="N43" s="1494">
        <f t="shared" si="5"/>
        <v>-136422</v>
      </c>
      <c r="O43" s="1496">
        <f t="shared" si="5"/>
        <v>-562058.64</v>
      </c>
      <c r="P43" s="1496">
        <f t="shared" si="5"/>
        <v>-578920.39919999999</v>
      </c>
      <c r="Q43" s="1496">
        <f t="shared" si="5"/>
        <v>-596288.011176</v>
      </c>
      <c r="R43" s="1496">
        <v>0</v>
      </c>
      <c r="S43" s="29"/>
      <c r="T43" s="41"/>
      <c r="AE43" s="1347"/>
      <c r="AF43" s="1347"/>
      <c r="AG43" s="1347"/>
      <c r="AH43" s="1347"/>
      <c r="AI43" s="21"/>
      <c r="AJ43" s="2243"/>
      <c r="AK43" s="2244"/>
      <c r="AL43" s="2244"/>
      <c r="AM43" s="2244"/>
      <c r="AN43" s="2244"/>
      <c r="AO43" s="2244"/>
      <c r="AQ43" s="2243"/>
      <c r="AR43" s="2244"/>
      <c r="AS43" s="2244"/>
      <c r="AT43" s="2244"/>
      <c r="AU43" s="2244"/>
      <c r="AV43" s="2244"/>
      <c r="AW43" s="2244"/>
    </row>
    <row r="44" spans="1:49">
      <c r="A44" s="1231"/>
      <c r="B44" s="1343"/>
      <c r="C44" s="1225"/>
      <c r="D44" s="1225"/>
      <c r="E44" s="1225"/>
      <c r="F44" s="1225"/>
      <c r="G44" s="1343"/>
      <c r="H44" s="1225"/>
      <c r="I44" s="1225"/>
      <c r="J44" s="1349"/>
      <c r="K44" s="1343"/>
      <c r="L44" s="1225"/>
      <c r="M44" s="1225"/>
      <c r="N44" s="1349"/>
      <c r="O44" s="1348"/>
      <c r="P44" s="1348"/>
      <c r="Q44" s="1348"/>
      <c r="R44" s="1348"/>
      <c r="S44" s="29"/>
      <c r="T44" s="41"/>
      <c r="AE44" s="1347"/>
      <c r="AF44" s="1347"/>
      <c r="AG44" s="1347"/>
      <c r="AH44" s="1347"/>
      <c r="AI44" s="21"/>
      <c r="AJ44" s="3"/>
      <c r="AK44" s="3"/>
      <c r="AL44" s="3"/>
      <c r="AM44" s="3"/>
      <c r="AN44" s="3"/>
      <c r="AO44" s="3"/>
      <c r="AQ44" s="3"/>
      <c r="AR44" s="3"/>
      <c r="AS44" s="3"/>
      <c r="AT44" s="3"/>
      <c r="AU44" s="3"/>
      <c r="AV44" s="3"/>
      <c r="AW44" s="3"/>
    </row>
    <row r="45" spans="1:49">
      <c r="A45" s="1339" t="s">
        <v>970</v>
      </c>
      <c r="B45" s="1328"/>
      <c r="C45" s="1129"/>
      <c r="D45" s="1129"/>
      <c r="E45" s="1129"/>
      <c r="F45" s="1327"/>
      <c r="G45" s="1328">
        <f t="shared" ref="G45:R45" si="6">+G43+F45+G46</f>
        <v>-49547.75</v>
      </c>
      <c r="H45" s="1129">
        <f t="shared" si="6"/>
        <v>-99095.5</v>
      </c>
      <c r="I45" s="1129">
        <f t="shared" si="6"/>
        <v>-148643.25</v>
      </c>
      <c r="J45" s="1327">
        <f t="shared" si="6"/>
        <v>-198191</v>
      </c>
      <c r="K45" s="1328">
        <f t="shared" si="6"/>
        <v>-347113</v>
      </c>
      <c r="L45" s="1129">
        <f t="shared" si="6"/>
        <v>-483535</v>
      </c>
      <c r="M45" s="1129">
        <f t="shared" si="6"/>
        <v>-619957</v>
      </c>
      <c r="N45" s="1327">
        <f t="shared" si="6"/>
        <v>-556379</v>
      </c>
      <c r="O45" s="1326">
        <f t="shared" si="6"/>
        <v>-562058.64000000013</v>
      </c>
      <c r="P45" s="1326">
        <f t="shared" si="6"/>
        <v>-578920.39919999987</v>
      </c>
      <c r="Q45" s="1326">
        <f t="shared" si="6"/>
        <v>-596288.01117599988</v>
      </c>
      <c r="R45" s="1326">
        <f t="shared" si="6"/>
        <v>0</v>
      </c>
      <c r="S45" s="29"/>
      <c r="T45" s="41"/>
      <c r="AE45" s="1347"/>
      <c r="AF45" s="1347"/>
      <c r="AG45" s="1347"/>
      <c r="AH45" s="1347"/>
      <c r="AI45" s="21"/>
      <c r="AJ45" s="3"/>
      <c r="AK45" s="3"/>
      <c r="AL45" s="3"/>
      <c r="AM45" s="3"/>
      <c r="AN45" s="3"/>
      <c r="AO45" s="3"/>
      <c r="AQ45" s="3"/>
      <c r="AR45" s="3"/>
      <c r="AS45" s="3"/>
      <c r="AT45" s="3"/>
      <c r="AU45" s="3"/>
      <c r="AV45" s="3"/>
      <c r="AW45" s="3"/>
    </row>
    <row r="46" spans="1:49">
      <c r="A46" s="1339" t="s">
        <v>971</v>
      </c>
      <c r="B46" s="1495"/>
      <c r="C46" s="1489"/>
      <c r="D46" s="1489"/>
      <c r="E46" s="1489"/>
      <c r="F46" s="1489"/>
      <c r="G46" s="1495"/>
      <c r="H46" s="1489"/>
      <c r="I46" s="1489"/>
      <c r="J46" s="1494"/>
      <c r="K46" s="1495"/>
      <c r="L46" s="1489"/>
      <c r="M46" s="1489"/>
      <c r="N46" s="1494">
        <v>200000</v>
      </c>
      <c r="O46" s="1496">
        <f>-N45</f>
        <v>556379</v>
      </c>
      <c r="P46" s="1496">
        <f>-O45</f>
        <v>562058.64000000013</v>
      </c>
      <c r="Q46" s="1496">
        <f>-P45</f>
        <v>578920.39919999987</v>
      </c>
      <c r="R46" s="1496">
        <f>-Q45</f>
        <v>596288.01117599988</v>
      </c>
      <c r="S46" s="29"/>
      <c r="T46" s="41"/>
      <c r="AE46" s="1347"/>
      <c r="AF46" s="1347"/>
      <c r="AG46" s="1347"/>
      <c r="AH46" s="1347"/>
      <c r="AI46" s="21"/>
      <c r="AJ46" s="3"/>
      <c r="AK46" s="3"/>
      <c r="AL46" s="3"/>
      <c r="AM46" s="3"/>
      <c r="AN46" s="3"/>
      <c r="AO46" s="3"/>
      <c r="AQ46" s="3"/>
      <c r="AR46" s="3"/>
      <c r="AS46" s="3"/>
      <c r="AT46" s="3"/>
      <c r="AU46" s="3"/>
      <c r="AV46" s="3"/>
      <c r="AW46" s="3"/>
    </row>
    <row r="47" spans="1:49">
      <c r="A47" s="1339" t="s">
        <v>899</v>
      </c>
      <c r="B47" s="1328">
        <f t="shared" ref="B47:R47" si="7">B41+B43</f>
        <v>0</v>
      </c>
      <c r="C47" s="1129">
        <f t="shared" si="7"/>
        <v>0</v>
      </c>
      <c r="D47" s="1129">
        <f t="shared" si="7"/>
        <v>0</v>
      </c>
      <c r="E47" s="1129">
        <f t="shared" si="7"/>
        <v>0</v>
      </c>
      <c r="F47" s="1129">
        <f t="shared" si="7"/>
        <v>0</v>
      </c>
      <c r="G47" s="1328">
        <f t="shared" si="7"/>
        <v>57077.25</v>
      </c>
      <c r="H47" s="1129">
        <f t="shared" si="7"/>
        <v>57077.25</v>
      </c>
      <c r="I47" s="1129">
        <f t="shared" si="7"/>
        <v>57077.25</v>
      </c>
      <c r="J47" s="1327">
        <f t="shared" si="7"/>
        <v>107477.25</v>
      </c>
      <c r="K47" s="1328">
        <f t="shared" si="7"/>
        <v>0</v>
      </c>
      <c r="L47" s="1129">
        <f t="shared" si="7"/>
        <v>12500</v>
      </c>
      <c r="M47" s="1129">
        <f t="shared" si="7"/>
        <v>12500</v>
      </c>
      <c r="N47" s="1327">
        <f t="shared" si="7"/>
        <v>12500</v>
      </c>
      <c r="O47" s="1326">
        <f t="shared" si="7"/>
        <v>120000</v>
      </c>
      <c r="P47" s="1326">
        <f t="shared" si="7"/>
        <v>180000</v>
      </c>
      <c r="Q47" s="1326">
        <f t="shared" si="7"/>
        <v>440000</v>
      </c>
      <c r="R47" s="1326">
        <f t="shared" si="7"/>
        <v>1060176.6515112799</v>
      </c>
      <c r="S47" s="29"/>
      <c r="T47" s="41"/>
      <c r="AE47" s="1347"/>
      <c r="AF47" s="1347"/>
      <c r="AG47" s="1347"/>
      <c r="AH47" s="1347"/>
      <c r="AI47" s="21"/>
      <c r="AJ47" s="3"/>
      <c r="AK47" s="3"/>
      <c r="AL47" s="3"/>
      <c r="AM47" s="3"/>
      <c r="AN47" s="3"/>
      <c r="AO47" s="3"/>
      <c r="AQ47" s="3"/>
      <c r="AR47" s="3"/>
      <c r="AS47" s="3"/>
      <c r="AT47" s="3"/>
      <c r="AU47" s="3"/>
      <c r="AV47" s="3"/>
      <c r="AW47" s="3"/>
    </row>
    <row r="48" spans="1:49">
      <c r="A48" s="1344" t="s">
        <v>900</v>
      </c>
      <c r="B48" s="1254">
        <f t="shared" ref="B48:R48" si="8">B46+B47</f>
        <v>0</v>
      </c>
      <c r="C48" s="1202">
        <f t="shared" si="8"/>
        <v>0</v>
      </c>
      <c r="D48" s="1202">
        <f t="shared" si="8"/>
        <v>0</v>
      </c>
      <c r="E48" s="1202">
        <f t="shared" si="8"/>
        <v>0</v>
      </c>
      <c r="F48" s="1202">
        <f t="shared" si="8"/>
        <v>0</v>
      </c>
      <c r="G48" s="1254">
        <f t="shared" si="8"/>
        <v>57077.25</v>
      </c>
      <c r="H48" s="1202">
        <f t="shared" si="8"/>
        <v>57077.25</v>
      </c>
      <c r="I48" s="1202">
        <f t="shared" si="8"/>
        <v>57077.25</v>
      </c>
      <c r="J48" s="1253">
        <f t="shared" si="8"/>
        <v>107477.25</v>
      </c>
      <c r="K48" s="1254">
        <f t="shared" si="8"/>
        <v>0</v>
      </c>
      <c r="L48" s="1202">
        <f t="shared" si="8"/>
        <v>12500</v>
      </c>
      <c r="M48" s="1202">
        <f t="shared" si="8"/>
        <v>12500</v>
      </c>
      <c r="N48" s="1253">
        <f t="shared" si="8"/>
        <v>212500</v>
      </c>
      <c r="O48" s="1252">
        <f t="shared" si="8"/>
        <v>676379</v>
      </c>
      <c r="P48" s="1252">
        <f t="shared" si="8"/>
        <v>742058.64000000013</v>
      </c>
      <c r="Q48" s="1252">
        <f t="shared" si="8"/>
        <v>1018920.3991999999</v>
      </c>
      <c r="R48" s="1252">
        <f t="shared" si="8"/>
        <v>1656464.6626872797</v>
      </c>
      <c r="S48" s="29"/>
      <c r="T48" s="41"/>
      <c r="AE48" s="1347"/>
      <c r="AF48" s="1347"/>
      <c r="AG48" s="1347"/>
      <c r="AH48" s="1347"/>
      <c r="AI48" s="21"/>
      <c r="AJ48" s="3"/>
      <c r="AK48" s="3"/>
      <c r="AL48" s="3"/>
      <c r="AM48" s="3"/>
      <c r="AN48" s="3"/>
      <c r="AO48" s="3"/>
      <c r="AQ48" s="3"/>
      <c r="AR48" s="3"/>
      <c r="AS48" s="3"/>
      <c r="AT48" s="3"/>
      <c r="AU48" s="3"/>
      <c r="AV48" s="3"/>
      <c r="AW48" s="3"/>
    </row>
    <row r="49" spans="1:49">
      <c r="A49" s="1243"/>
      <c r="B49" s="1199"/>
      <c r="C49" s="1199"/>
      <c r="D49" s="1199"/>
      <c r="E49" s="1199"/>
      <c r="F49" s="1199"/>
      <c r="G49" s="1199"/>
      <c r="H49" s="1199"/>
      <c r="I49" s="1199"/>
      <c r="J49" s="1199"/>
      <c r="K49" s="1199"/>
      <c r="L49" s="1199"/>
      <c r="M49" s="1199"/>
      <c r="N49" s="1199"/>
      <c r="O49" s="1199"/>
      <c r="P49" s="1199"/>
      <c r="Q49" s="1199"/>
      <c r="R49" s="1199"/>
      <c r="S49" s="29"/>
      <c r="T49" s="41"/>
      <c r="AE49" s="1347"/>
      <c r="AF49" s="1347"/>
      <c r="AG49" s="1347"/>
      <c r="AH49" s="1347"/>
      <c r="AI49" s="21"/>
      <c r="AJ49" s="3"/>
      <c r="AK49" s="3"/>
      <c r="AL49" s="3"/>
      <c r="AM49" s="3"/>
      <c r="AN49" s="3"/>
      <c r="AO49" s="3"/>
      <c r="AQ49" s="3"/>
      <c r="AR49" s="3"/>
      <c r="AS49" s="3"/>
      <c r="AT49" s="3"/>
      <c r="AU49" s="3"/>
      <c r="AV49" s="3"/>
      <c r="AW49" s="3"/>
    </row>
    <row r="50" spans="1:49">
      <c r="A50" s="5" t="s">
        <v>972</v>
      </c>
      <c r="B50" s="1129"/>
      <c r="C50" s="1129"/>
      <c r="D50" s="1129"/>
      <c r="E50" s="1129"/>
      <c r="F50" s="1129"/>
      <c r="G50" s="1129"/>
      <c r="H50" s="1129"/>
      <c r="K50" s="1129"/>
      <c r="L50" s="1129"/>
      <c r="M50" s="1129"/>
      <c r="N50" s="1129"/>
      <c r="O50" s="1129"/>
      <c r="P50" s="1129"/>
      <c r="Q50" s="1129"/>
      <c r="R50" s="1129"/>
      <c r="T50" s="41"/>
    </row>
    <row r="51" spans="1:49">
      <c r="A51" s="1222" t="s">
        <v>973</v>
      </c>
      <c r="B51" s="1495"/>
      <c r="C51" s="1489"/>
      <c r="D51" s="1489"/>
      <c r="E51" s="1489">
        <v>0</v>
      </c>
      <c r="F51" s="1494">
        <v>0</v>
      </c>
      <c r="G51" s="1499">
        <f>88442/4</f>
        <v>22110.5</v>
      </c>
      <c r="H51" s="1500">
        <f>88442/4</f>
        <v>22110.5</v>
      </c>
      <c r="I51" s="1500">
        <f>88442/4</f>
        <v>22110.5</v>
      </c>
      <c r="J51" s="1501">
        <f>88442/4</f>
        <v>22110.5</v>
      </c>
      <c r="K51" s="1495">
        <f>180000/4</f>
        <v>45000</v>
      </c>
      <c r="L51" s="1489">
        <f>180000/4</f>
        <v>45000</v>
      </c>
      <c r="M51" s="1489">
        <f>180000/4</f>
        <v>45000</v>
      </c>
      <c r="N51" s="1494">
        <f>180000/4</f>
        <v>45000</v>
      </c>
      <c r="O51" s="1496">
        <v>180000</v>
      </c>
      <c r="P51" s="1496">
        <v>180000</v>
      </c>
      <c r="Q51" s="1496">
        <v>180000</v>
      </c>
      <c r="R51" s="1496">
        <v>180000</v>
      </c>
      <c r="T51" s="41"/>
    </row>
    <row r="52" spans="1:49">
      <c r="A52" s="1222" t="s">
        <v>974</v>
      </c>
      <c r="B52" s="1495"/>
      <c r="C52" s="1489"/>
      <c r="D52" s="1489"/>
      <c r="E52" s="1489">
        <v>0</v>
      </c>
      <c r="F52" s="1494">
        <f>300000+367500</f>
        <v>667500</v>
      </c>
      <c r="G52" s="1499">
        <f>91819/4</f>
        <v>22954.75</v>
      </c>
      <c r="H52" s="1500">
        <f>91819/4</f>
        <v>22954.75</v>
      </c>
      <c r="I52" s="1500">
        <f>91819/4</f>
        <v>22954.75</v>
      </c>
      <c r="J52" s="1501">
        <f>91819/4</f>
        <v>22954.75</v>
      </c>
      <c r="K52" s="1495">
        <f>240000/4</f>
        <v>60000</v>
      </c>
      <c r="L52" s="1489">
        <f>240000/4</f>
        <v>60000</v>
      </c>
      <c r="M52" s="1489">
        <f>240000/4</f>
        <v>60000</v>
      </c>
      <c r="N52" s="1494">
        <f>240000/4</f>
        <v>60000</v>
      </c>
      <c r="O52" s="1496">
        <v>240000</v>
      </c>
      <c r="P52" s="1496">
        <v>240000</v>
      </c>
      <c r="Q52" s="1496">
        <v>240000</v>
      </c>
      <c r="R52" s="1496">
        <v>240000</v>
      </c>
      <c r="T52" s="41"/>
    </row>
    <row r="53" spans="1:49">
      <c r="A53" s="1222" t="s">
        <v>975</v>
      </c>
      <c r="B53" s="1495"/>
      <c r="C53" s="1489"/>
      <c r="D53" s="1489"/>
      <c r="E53" s="1489">
        <v>0</v>
      </c>
      <c r="F53" s="1494">
        <v>0</v>
      </c>
      <c r="G53" s="1495">
        <f>200000/4*0</f>
        <v>0</v>
      </c>
      <c r="H53" s="1489">
        <f>200000/4*0</f>
        <v>0</v>
      </c>
      <c r="I53" s="1489">
        <f>200000/4*0</f>
        <v>0</v>
      </c>
      <c r="J53" s="1494">
        <f>200000/4*0</f>
        <v>0</v>
      </c>
      <c r="K53" s="1495">
        <f>200000/4</f>
        <v>50000</v>
      </c>
      <c r="L53" s="1489">
        <f>400000/4</f>
        <v>100000</v>
      </c>
      <c r="M53" s="1489">
        <f>200000/4</f>
        <v>50000</v>
      </c>
      <c r="N53" s="1494">
        <f>200000/4</f>
        <v>50000</v>
      </c>
      <c r="O53" s="1496">
        <v>200000</v>
      </c>
      <c r="P53" s="1496">
        <v>200000</v>
      </c>
      <c r="Q53" s="1496">
        <v>200000</v>
      </c>
      <c r="R53" s="1496">
        <v>200000</v>
      </c>
      <c r="T53" s="41"/>
    </row>
    <row r="54" spans="1:49">
      <c r="A54" s="1222" t="s">
        <v>966</v>
      </c>
      <c r="B54" s="1495"/>
      <c r="C54" s="1489"/>
      <c r="D54" s="1489"/>
      <c r="E54" s="1489"/>
      <c r="F54" s="1494"/>
      <c r="G54" s="1495"/>
      <c r="H54" s="1489"/>
      <c r="I54" s="1489"/>
      <c r="J54" s="1494"/>
      <c r="K54" s="1495"/>
      <c r="L54" s="1489"/>
      <c r="M54" s="1489"/>
      <c r="N54" s="1494"/>
      <c r="O54" s="1496"/>
      <c r="P54" s="1496"/>
      <c r="Q54" s="1496"/>
      <c r="R54" s="1496"/>
      <c r="T54" s="41"/>
    </row>
    <row r="55" spans="1:49">
      <c r="A55" s="1222" t="s">
        <v>976</v>
      </c>
      <c r="B55" s="1495"/>
      <c r="C55" s="1489"/>
      <c r="D55" s="1489"/>
      <c r="E55" s="1489">
        <v>0</v>
      </c>
      <c r="F55" s="1494">
        <v>0</v>
      </c>
      <c r="G55" s="1495">
        <v>0</v>
      </c>
      <c r="H55" s="1489">
        <v>0</v>
      </c>
      <c r="I55" s="1489">
        <v>0</v>
      </c>
      <c r="J55" s="1494">
        <v>0</v>
      </c>
      <c r="K55" s="1495">
        <v>0</v>
      </c>
      <c r="L55" s="1489">
        <f>180000/4</f>
        <v>45000</v>
      </c>
      <c r="M55" s="1489">
        <f>180000/4</f>
        <v>45000</v>
      </c>
      <c r="N55" s="1494">
        <f>+M55</f>
        <v>45000</v>
      </c>
      <c r="O55" s="1496">
        <v>180000</v>
      </c>
      <c r="P55" s="1496">
        <v>180000</v>
      </c>
      <c r="Q55" s="1496">
        <v>180000</v>
      </c>
      <c r="R55" s="1496">
        <v>180000</v>
      </c>
      <c r="T55" s="41"/>
    </row>
    <row r="56" spans="1:49">
      <c r="A56" s="1222" t="s">
        <v>967</v>
      </c>
      <c r="B56" s="1495">
        <v>0</v>
      </c>
      <c r="C56" s="1489">
        <v>0</v>
      </c>
      <c r="D56" s="1489">
        <v>0</v>
      </c>
      <c r="E56" s="1489">
        <v>0</v>
      </c>
      <c r="F56" s="1494">
        <v>0</v>
      </c>
      <c r="G56" s="1495">
        <v>0</v>
      </c>
      <c r="H56" s="1489">
        <v>0</v>
      </c>
      <c r="I56" s="1489">
        <v>0</v>
      </c>
      <c r="J56" s="1494">
        <v>0</v>
      </c>
      <c r="K56" s="1495">
        <v>0</v>
      </c>
      <c r="L56" s="1489">
        <v>0</v>
      </c>
      <c r="M56" s="1489">
        <v>0</v>
      </c>
      <c r="N56" s="1494">
        <v>0</v>
      </c>
      <c r="O56" s="1496">
        <v>0</v>
      </c>
      <c r="P56" s="1496">
        <v>0</v>
      </c>
      <c r="Q56" s="1496">
        <v>200000</v>
      </c>
      <c r="R56" s="1496">
        <v>206000</v>
      </c>
      <c r="T56" s="41"/>
    </row>
    <row r="57" spans="1:49">
      <c r="A57" s="1222" t="s">
        <v>977</v>
      </c>
      <c r="B57" s="1495"/>
      <c r="C57" s="1489"/>
      <c r="D57" s="1489"/>
      <c r="E57" s="1489">
        <v>0</v>
      </c>
      <c r="F57" s="1494">
        <v>0</v>
      </c>
      <c r="G57" s="1495"/>
      <c r="H57" s="1489">
        <f>108000/4*0</f>
        <v>0</v>
      </c>
      <c r="I57" s="1489">
        <f>108000/4*0</f>
        <v>0</v>
      </c>
      <c r="J57" s="1494">
        <f>108000/4*0</f>
        <v>0</v>
      </c>
      <c r="K57" s="1495">
        <f>108000/4</f>
        <v>27000</v>
      </c>
      <c r="L57" s="1489">
        <f>+K57</f>
        <v>27000</v>
      </c>
      <c r="M57" s="1489">
        <f>+L57</f>
        <v>27000</v>
      </c>
      <c r="N57" s="1494">
        <f>+M57</f>
        <v>27000</v>
      </c>
      <c r="O57" s="1496">
        <v>108000</v>
      </c>
      <c r="P57" s="1496">
        <v>108000</v>
      </c>
      <c r="Q57" s="1496">
        <v>108000</v>
      </c>
      <c r="R57" s="1496">
        <v>108000</v>
      </c>
      <c r="T57" s="41"/>
    </row>
    <row r="58" spans="1:49">
      <c r="A58" s="1222" t="s">
        <v>968</v>
      </c>
      <c r="B58" s="1495">
        <v>0</v>
      </c>
      <c r="C58" s="1489">
        <v>0</v>
      </c>
      <c r="D58" s="1489">
        <v>0</v>
      </c>
      <c r="E58" s="1489">
        <v>0</v>
      </c>
      <c r="F58" s="1494">
        <v>0</v>
      </c>
      <c r="G58" s="1495">
        <v>0</v>
      </c>
      <c r="H58" s="1489">
        <v>0</v>
      </c>
      <c r="I58" s="1489">
        <v>0</v>
      </c>
      <c r="J58" s="1501">
        <v>50400</v>
      </c>
      <c r="K58" s="1495">
        <v>12500</v>
      </c>
      <c r="L58" s="1489">
        <v>12500</v>
      </c>
      <c r="M58" s="1489">
        <v>12500</v>
      </c>
      <c r="N58" s="1494">
        <v>12500</v>
      </c>
      <c r="O58" s="1496">
        <v>0</v>
      </c>
      <c r="P58" s="1496">
        <v>0</v>
      </c>
      <c r="Q58" s="1496">
        <v>0</v>
      </c>
      <c r="R58" s="1496">
        <v>0</v>
      </c>
      <c r="T58" s="41"/>
    </row>
    <row r="59" spans="1:49">
      <c r="A59" s="1146" t="s">
        <v>232</v>
      </c>
      <c r="B59" s="1495"/>
      <c r="C59" s="1489"/>
      <c r="D59" s="1489"/>
      <c r="E59" s="1489"/>
      <c r="F59" s="1489"/>
      <c r="G59" s="1495"/>
      <c r="H59" s="1489"/>
      <c r="I59" s="1489"/>
      <c r="J59" s="1494"/>
      <c r="K59" s="1495"/>
      <c r="L59" s="1489"/>
      <c r="M59" s="1489"/>
      <c r="N59" s="1494"/>
      <c r="O59" s="1496">
        <f>240000*0.5</f>
        <v>120000</v>
      </c>
      <c r="P59" s="1496">
        <f>240000*0.75</f>
        <v>180000</v>
      </c>
      <c r="Q59" s="1496">
        <v>240000</v>
      </c>
      <c r="R59" s="1496">
        <v>240000</v>
      </c>
      <c r="T59" s="41"/>
    </row>
    <row r="60" spans="1:49">
      <c r="A60" s="1146" t="s">
        <v>233</v>
      </c>
      <c r="B60" s="1495"/>
      <c r="C60" s="1489"/>
      <c r="D60" s="1489"/>
      <c r="E60" s="1489"/>
      <c r="F60" s="1489"/>
      <c r="G60" s="1495"/>
      <c r="H60" s="1489"/>
      <c r="I60" s="1489"/>
      <c r="J60" s="1494"/>
      <c r="K60" s="1495"/>
      <c r="L60" s="1489"/>
      <c r="M60" s="1489"/>
      <c r="N60" s="1494"/>
      <c r="O60" s="1496"/>
      <c r="P60" s="1496"/>
      <c r="Q60" s="1496"/>
      <c r="R60" s="1496"/>
      <c r="T60" s="41"/>
    </row>
    <row r="61" spans="1:49">
      <c r="A61" s="1352" t="s">
        <v>978</v>
      </c>
      <c r="B61" s="1254">
        <f t="shared" ref="B61:R61" si="9">SUM(B51:B60)</f>
        <v>0</v>
      </c>
      <c r="C61" s="1202">
        <f t="shared" si="9"/>
        <v>0</v>
      </c>
      <c r="D61" s="1202">
        <f t="shared" si="9"/>
        <v>0</v>
      </c>
      <c r="E61" s="1202">
        <f t="shared" si="9"/>
        <v>0</v>
      </c>
      <c r="F61" s="1202">
        <f t="shared" si="9"/>
        <v>667500</v>
      </c>
      <c r="G61" s="1254">
        <f t="shared" si="9"/>
        <v>45065.25</v>
      </c>
      <c r="H61" s="1202">
        <f t="shared" si="9"/>
        <v>45065.25</v>
      </c>
      <c r="I61" s="1202">
        <f t="shared" si="9"/>
        <v>45065.25</v>
      </c>
      <c r="J61" s="1253">
        <f t="shared" si="9"/>
        <v>95465.25</v>
      </c>
      <c r="K61" s="1254">
        <f t="shared" si="9"/>
        <v>194500</v>
      </c>
      <c r="L61" s="1202">
        <f t="shared" si="9"/>
        <v>289500</v>
      </c>
      <c r="M61" s="1202">
        <f t="shared" si="9"/>
        <v>239500</v>
      </c>
      <c r="N61" s="1253">
        <f t="shared" si="9"/>
        <v>239500</v>
      </c>
      <c r="O61" s="1252">
        <f t="shared" si="9"/>
        <v>1028000</v>
      </c>
      <c r="P61" s="1252">
        <f t="shared" si="9"/>
        <v>1088000</v>
      </c>
      <c r="Q61" s="1252">
        <f t="shared" si="9"/>
        <v>1348000</v>
      </c>
      <c r="R61" s="1252">
        <f t="shared" si="9"/>
        <v>1354000</v>
      </c>
      <c r="T61" s="41"/>
    </row>
    <row r="62" spans="1:49">
      <c r="A62" s="1242"/>
      <c r="B62" s="1325"/>
      <c r="C62" s="1199"/>
      <c r="D62" s="1199"/>
      <c r="E62" s="1199"/>
      <c r="F62" s="1199"/>
      <c r="G62" s="1325"/>
      <c r="H62" s="1199"/>
      <c r="I62" s="1199"/>
      <c r="J62" s="1324"/>
      <c r="K62" s="1325"/>
      <c r="L62" s="1199"/>
      <c r="M62" s="1199"/>
      <c r="N62" s="1324"/>
      <c r="O62" s="1323"/>
      <c r="P62" s="1323"/>
      <c r="Q62" s="1323"/>
      <c r="R62" s="1323"/>
      <c r="T62" s="41"/>
    </row>
    <row r="63" spans="1:49">
      <c r="A63" s="1339" t="s">
        <v>896</v>
      </c>
      <c r="B63" s="1258"/>
      <c r="C63" s="1241"/>
      <c r="D63" s="1241"/>
      <c r="E63" s="1241"/>
      <c r="F63" s="1241"/>
      <c r="G63" s="1351">
        <f>-G52</f>
        <v>-22954.75</v>
      </c>
      <c r="H63" s="1245">
        <f>-H52</f>
        <v>-22954.75</v>
      </c>
      <c r="I63" s="1245">
        <f>-I52</f>
        <v>-22954.75</v>
      </c>
      <c r="J63" s="1350">
        <f>-J52</f>
        <v>-22954.75</v>
      </c>
      <c r="K63" s="1495">
        <v>-194500</v>
      </c>
      <c r="L63" s="1241"/>
      <c r="M63" s="1241"/>
      <c r="N63" s="1257"/>
      <c r="O63" s="1256"/>
      <c r="P63" s="1256"/>
      <c r="Q63" s="1256"/>
      <c r="R63" s="1256">
        <v>0</v>
      </c>
      <c r="S63" s="29"/>
      <c r="T63" s="41"/>
      <c r="AE63" s="1347"/>
      <c r="AF63" s="1347"/>
      <c r="AG63" s="1347"/>
      <c r="AH63" s="1347"/>
      <c r="AI63" s="21"/>
      <c r="AJ63" s="2243"/>
      <c r="AK63" s="2244"/>
      <c r="AL63" s="2244"/>
      <c r="AM63" s="2244"/>
      <c r="AN63" s="2244"/>
      <c r="AO63" s="2244"/>
      <c r="AQ63" s="2243"/>
      <c r="AR63" s="2244"/>
      <c r="AS63" s="2244"/>
      <c r="AT63" s="2244"/>
      <c r="AU63" s="2244"/>
      <c r="AV63" s="2244"/>
      <c r="AW63" s="2244"/>
    </row>
    <row r="64" spans="1:49">
      <c r="A64" s="1231"/>
      <c r="B64" s="1343"/>
      <c r="C64" s="1225"/>
      <c r="D64" s="1225"/>
      <c r="E64" s="1225"/>
      <c r="F64" s="1225"/>
      <c r="G64" s="1343"/>
      <c r="H64" s="1225"/>
      <c r="I64" s="1225"/>
      <c r="J64" s="1349"/>
      <c r="K64" s="1343"/>
      <c r="L64" s="1225"/>
      <c r="M64" s="1225"/>
      <c r="N64" s="1349"/>
      <c r="O64" s="1348"/>
      <c r="P64" s="1348"/>
      <c r="Q64" s="1348"/>
      <c r="R64" s="1348"/>
      <c r="S64" s="29"/>
      <c r="T64" s="41"/>
      <c r="AE64" s="1347"/>
      <c r="AF64" s="1347"/>
      <c r="AG64" s="1347"/>
      <c r="AH64" s="1347"/>
      <c r="AI64" s="21"/>
      <c r="AJ64" s="3"/>
      <c r="AK64" s="3"/>
      <c r="AL64" s="3"/>
      <c r="AM64" s="3"/>
      <c r="AN64" s="3"/>
      <c r="AO64" s="3"/>
      <c r="AQ64" s="3"/>
      <c r="AR64" s="3"/>
      <c r="AS64" s="3"/>
      <c r="AT64" s="3"/>
      <c r="AU64" s="3"/>
      <c r="AV64" s="3"/>
      <c r="AW64" s="3"/>
    </row>
    <row r="65" spans="1:49">
      <c r="A65" s="1339" t="s">
        <v>970</v>
      </c>
      <c r="B65" s="1328"/>
      <c r="C65" s="1129"/>
      <c r="D65" s="1129"/>
      <c r="E65" s="1129"/>
      <c r="F65" s="1327"/>
      <c r="G65" s="1328">
        <f t="shared" ref="G65:R65" si="10">+G63+F65+G66</f>
        <v>-22954.75</v>
      </c>
      <c r="H65" s="1129">
        <f t="shared" si="10"/>
        <v>-45909.5</v>
      </c>
      <c r="I65" s="1129">
        <f t="shared" si="10"/>
        <v>-68864.25</v>
      </c>
      <c r="J65" s="1327">
        <f t="shared" si="10"/>
        <v>-91819</v>
      </c>
      <c r="K65" s="1328">
        <f t="shared" si="10"/>
        <v>-286319</v>
      </c>
      <c r="L65" s="1129">
        <f t="shared" si="10"/>
        <v>-286319</v>
      </c>
      <c r="M65" s="1129">
        <f t="shared" si="10"/>
        <v>-194500</v>
      </c>
      <c r="N65" s="1327">
        <f t="shared" si="10"/>
        <v>300</v>
      </c>
      <c r="O65" s="1326">
        <f t="shared" si="10"/>
        <v>0</v>
      </c>
      <c r="P65" s="1326">
        <f t="shared" si="10"/>
        <v>0</v>
      </c>
      <c r="Q65" s="1326">
        <f t="shared" si="10"/>
        <v>0</v>
      </c>
      <c r="R65" s="1326">
        <f t="shared" si="10"/>
        <v>0</v>
      </c>
      <c r="S65" s="29"/>
      <c r="T65" s="41"/>
      <c r="AE65" s="1347"/>
      <c r="AF65" s="1347"/>
      <c r="AG65" s="1347"/>
      <c r="AH65" s="1347"/>
      <c r="AI65" s="21"/>
      <c r="AJ65" s="3"/>
      <c r="AK65" s="3"/>
      <c r="AL65" s="3"/>
      <c r="AM65" s="3"/>
      <c r="AN65" s="3"/>
      <c r="AO65" s="3"/>
      <c r="AQ65" s="3"/>
      <c r="AR65" s="3"/>
      <c r="AS65" s="3"/>
      <c r="AT65" s="3"/>
      <c r="AU65" s="3"/>
      <c r="AV65" s="3"/>
      <c r="AW65" s="3"/>
    </row>
    <row r="66" spans="1:49">
      <c r="A66" s="1339" t="s">
        <v>971</v>
      </c>
      <c r="B66" s="1258"/>
      <c r="C66" s="1241"/>
      <c r="D66" s="1241"/>
      <c r="E66" s="1241"/>
      <c r="F66" s="1241"/>
      <c r="G66" s="1258"/>
      <c r="H66" s="1241"/>
      <c r="I66" s="1241"/>
      <c r="J66" s="1257"/>
      <c r="K66" s="1258"/>
      <c r="L66" s="1241"/>
      <c r="M66" s="1489">
        <v>91819</v>
      </c>
      <c r="N66" s="1489">
        <v>194800</v>
      </c>
      <c r="O66" s="1489">
        <f>-N65</f>
        <v>-300</v>
      </c>
      <c r="P66" s="1489">
        <f>-O65</f>
        <v>0</v>
      </c>
      <c r="Q66" s="1489">
        <f>-P65</f>
        <v>0</v>
      </c>
      <c r="R66" s="1489">
        <f>-Q65</f>
        <v>0</v>
      </c>
      <c r="S66" s="29"/>
      <c r="T66" s="41"/>
      <c r="AE66" s="1347"/>
      <c r="AF66" s="1347"/>
      <c r="AG66" s="1347"/>
      <c r="AH66" s="1347"/>
      <c r="AI66" s="21"/>
      <c r="AJ66" s="3"/>
      <c r="AK66" s="3"/>
      <c r="AL66" s="3"/>
      <c r="AM66" s="3"/>
      <c r="AN66" s="3"/>
      <c r="AO66" s="3"/>
      <c r="AQ66" s="3"/>
      <c r="AR66" s="3"/>
      <c r="AS66" s="3"/>
      <c r="AT66" s="3"/>
      <c r="AU66" s="3"/>
      <c r="AV66" s="3"/>
      <c r="AW66" s="3"/>
    </row>
    <row r="67" spans="1:49">
      <c r="A67" s="1339" t="s">
        <v>899</v>
      </c>
      <c r="B67" s="1328">
        <f t="shared" ref="B67:R67" si="11">B61+B63</f>
        <v>0</v>
      </c>
      <c r="C67" s="1129">
        <f t="shared" si="11"/>
        <v>0</v>
      </c>
      <c r="D67" s="1129">
        <f t="shared" si="11"/>
        <v>0</v>
      </c>
      <c r="E67" s="1129">
        <f t="shared" si="11"/>
        <v>0</v>
      </c>
      <c r="F67" s="1129">
        <f t="shared" si="11"/>
        <v>667500</v>
      </c>
      <c r="G67" s="1328">
        <f t="shared" si="11"/>
        <v>22110.5</v>
      </c>
      <c r="H67" s="1129">
        <f t="shared" si="11"/>
        <v>22110.5</v>
      </c>
      <c r="I67" s="1129">
        <f t="shared" si="11"/>
        <v>22110.5</v>
      </c>
      <c r="J67" s="1327">
        <f t="shared" si="11"/>
        <v>72510.5</v>
      </c>
      <c r="K67" s="1328">
        <f t="shared" si="11"/>
        <v>0</v>
      </c>
      <c r="L67" s="1129">
        <f t="shared" si="11"/>
        <v>289500</v>
      </c>
      <c r="M67" s="1129">
        <f t="shared" si="11"/>
        <v>239500</v>
      </c>
      <c r="N67" s="1327">
        <f t="shared" si="11"/>
        <v>239500</v>
      </c>
      <c r="O67" s="1326">
        <f t="shared" si="11"/>
        <v>1028000</v>
      </c>
      <c r="P67" s="1326">
        <f t="shared" si="11"/>
        <v>1088000</v>
      </c>
      <c r="Q67" s="1326">
        <f t="shared" si="11"/>
        <v>1348000</v>
      </c>
      <c r="R67" s="1326">
        <f t="shared" si="11"/>
        <v>1354000</v>
      </c>
      <c r="S67" s="29"/>
      <c r="T67" s="41"/>
      <c r="AE67" s="1347"/>
      <c r="AF67" s="1347"/>
      <c r="AG67" s="1347"/>
      <c r="AH67" s="1347"/>
      <c r="AI67" s="21"/>
      <c r="AJ67" s="3"/>
      <c r="AK67" s="3"/>
      <c r="AL67" s="3"/>
      <c r="AM67" s="3"/>
      <c r="AN67" s="3"/>
      <c r="AO67" s="3"/>
      <c r="AQ67" s="3"/>
      <c r="AR67" s="3"/>
      <c r="AS67" s="3"/>
      <c r="AT67" s="3"/>
      <c r="AU67" s="3"/>
      <c r="AV67" s="3"/>
      <c r="AW67" s="3"/>
    </row>
    <row r="68" spans="1:49">
      <c r="A68" s="1344" t="s">
        <v>900</v>
      </c>
      <c r="B68" s="1254">
        <f t="shared" ref="B68:R68" si="12">B66+B67</f>
        <v>0</v>
      </c>
      <c r="C68" s="1202">
        <f t="shared" si="12"/>
        <v>0</v>
      </c>
      <c r="D68" s="1202">
        <f t="shared" si="12"/>
        <v>0</v>
      </c>
      <c r="E68" s="1202">
        <f t="shared" si="12"/>
        <v>0</v>
      </c>
      <c r="F68" s="1202">
        <f t="shared" si="12"/>
        <v>667500</v>
      </c>
      <c r="G68" s="1254">
        <f t="shared" si="12"/>
        <v>22110.5</v>
      </c>
      <c r="H68" s="1202">
        <f t="shared" si="12"/>
        <v>22110.5</v>
      </c>
      <c r="I68" s="1202">
        <f t="shared" si="12"/>
        <v>22110.5</v>
      </c>
      <c r="J68" s="1253">
        <f t="shared" si="12"/>
        <v>72510.5</v>
      </c>
      <c r="K68" s="1254">
        <f t="shared" si="12"/>
        <v>0</v>
      </c>
      <c r="L68" s="1202">
        <f t="shared" si="12"/>
        <v>289500</v>
      </c>
      <c r="M68" s="1202">
        <f t="shared" si="12"/>
        <v>331319</v>
      </c>
      <c r="N68" s="1253">
        <f t="shared" si="12"/>
        <v>434300</v>
      </c>
      <c r="O68" s="1252">
        <f t="shared" si="12"/>
        <v>1027700</v>
      </c>
      <c r="P68" s="1252">
        <f t="shared" si="12"/>
        <v>1088000</v>
      </c>
      <c r="Q68" s="1252">
        <f t="shared" si="12"/>
        <v>1348000</v>
      </c>
      <c r="R68" s="1252">
        <f t="shared" si="12"/>
        <v>1354000</v>
      </c>
      <c r="S68" s="29"/>
      <c r="T68" s="41"/>
      <c r="AE68" s="1347"/>
      <c r="AF68" s="1347"/>
      <c r="AG68" s="1347"/>
      <c r="AH68" s="1347"/>
      <c r="AI68" s="21"/>
      <c r="AJ68" s="3"/>
      <c r="AK68" s="3"/>
      <c r="AL68" s="3"/>
      <c r="AM68" s="3"/>
      <c r="AN68" s="3"/>
      <c r="AO68" s="3"/>
      <c r="AQ68" s="3"/>
      <c r="AR68" s="3"/>
      <c r="AS68" s="3"/>
      <c r="AT68" s="3"/>
      <c r="AU68" s="3"/>
      <c r="AV68" s="3"/>
      <c r="AW68" s="3"/>
    </row>
    <row r="69" spans="1:49">
      <c r="A69" s="1346"/>
      <c r="B69" s="1314"/>
      <c r="C69" s="1198"/>
      <c r="D69" s="1198"/>
      <c r="E69" s="1198"/>
      <c r="F69" s="1198"/>
      <c r="G69" s="1314"/>
      <c r="H69" s="1198"/>
      <c r="I69" s="1198"/>
      <c r="J69" s="1313"/>
      <c r="K69" s="1314"/>
      <c r="L69" s="1198"/>
      <c r="M69" s="1198"/>
      <c r="N69" s="1313"/>
      <c r="O69" s="1312"/>
      <c r="P69" s="1312"/>
      <c r="Q69" s="1312"/>
      <c r="R69" s="1312"/>
      <c r="T69" s="41"/>
      <c r="AE69" s="1345"/>
      <c r="AF69" s="1345"/>
      <c r="AG69" s="1345"/>
      <c r="AH69" s="1345"/>
      <c r="AI69" s="1345"/>
      <c r="AJ69" s="1345"/>
      <c r="AK69" s="1345"/>
      <c r="AM69" s="1345"/>
      <c r="AN69" s="1345"/>
      <c r="AO69" s="1345"/>
      <c r="AP69" s="1345"/>
      <c r="AQ69" s="1345"/>
      <c r="AR69" s="1345"/>
      <c r="AS69" s="1345"/>
    </row>
    <row r="70" spans="1:49">
      <c r="A70" s="1344" t="s">
        <v>914</v>
      </c>
      <c r="B70" s="1325">
        <f t="shared" ref="B70:R70" si="13">+B31+B48+B68</f>
        <v>0</v>
      </c>
      <c r="C70" s="1199">
        <f t="shared" si="13"/>
        <v>0</v>
      </c>
      <c r="D70" s="1199">
        <f t="shared" si="13"/>
        <v>1500000</v>
      </c>
      <c r="E70" s="1199">
        <f t="shared" si="13"/>
        <v>0</v>
      </c>
      <c r="F70" s="1199">
        <f t="shared" si="13"/>
        <v>1480300</v>
      </c>
      <c r="G70" s="1325">
        <f t="shared" si="13"/>
        <v>79187.75</v>
      </c>
      <c r="H70" s="1199">
        <f t="shared" si="13"/>
        <v>79187.75</v>
      </c>
      <c r="I70" s="1199">
        <f t="shared" si="13"/>
        <v>599187.75</v>
      </c>
      <c r="J70" s="1324">
        <f t="shared" si="13"/>
        <v>949987.75</v>
      </c>
      <c r="K70" s="1325">
        <f t="shared" si="13"/>
        <v>1508647.6533333333</v>
      </c>
      <c r="L70" s="1199">
        <f t="shared" si="13"/>
        <v>2259708.333333333</v>
      </c>
      <c r="M70" s="1199">
        <f t="shared" si="13"/>
        <v>1991527.3333333333</v>
      </c>
      <c r="N70" s="1324">
        <f t="shared" si="13"/>
        <v>5794508.333333333</v>
      </c>
      <c r="O70" s="1323">
        <f t="shared" si="13"/>
        <v>10492723.013333332</v>
      </c>
      <c r="P70" s="1323">
        <f t="shared" si="13"/>
        <v>6993600.3066666666</v>
      </c>
      <c r="Q70" s="1323">
        <f t="shared" si="13"/>
        <v>4430462.0658666659</v>
      </c>
      <c r="R70" s="1323">
        <f t="shared" si="13"/>
        <v>5010464.3293539463</v>
      </c>
      <c r="T70" s="41"/>
      <c r="AE70" s="1"/>
      <c r="AF70" s="1"/>
      <c r="AG70" s="1"/>
      <c r="AH70" s="1"/>
      <c r="AI70" s="1"/>
      <c r="AJ70" s="1"/>
      <c r="AK70" s="1"/>
      <c r="AM70" s="1"/>
      <c r="AN70" s="1"/>
      <c r="AO70" s="1"/>
      <c r="AP70" s="1"/>
      <c r="AQ70" s="1"/>
      <c r="AR70" s="1"/>
      <c r="AS70" s="1"/>
    </row>
    <row r="71" spans="1:49">
      <c r="A71" s="1211"/>
      <c r="B71" s="1325"/>
      <c r="C71" s="1199"/>
      <c r="D71" s="1199"/>
      <c r="E71" s="1199"/>
      <c r="F71" s="1199"/>
      <c r="G71" s="1325"/>
      <c r="H71" s="1199"/>
      <c r="I71" s="1199"/>
      <c r="J71" s="1324"/>
      <c r="K71" s="1325"/>
      <c r="L71" s="1199"/>
      <c r="M71" s="1199"/>
      <c r="N71" s="1324"/>
      <c r="O71" s="1323"/>
      <c r="P71" s="1323"/>
      <c r="Q71" s="1323"/>
      <c r="R71" s="1323"/>
      <c r="T71" s="41"/>
      <c r="AE71" s="1"/>
      <c r="AF71" s="1"/>
      <c r="AG71" s="1"/>
      <c r="AH71" s="1"/>
      <c r="AI71" s="1"/>
      <c r="AJ71" s="1"/>
      <c r="AK71" s="1"/>
      <c r="AM71" s="1"/>
      <c r="AN71" s="1"/>
      <c r="AO71" s="1"/>
      <c r="AP71" s="1"/>
      <c r="AQ71" s="1"/>
      <c r="AR71" s="1"/>
      <c r="AS71" s="1"/>
    </row>
    <row r="72" spans="1:49">
      <c r="A72" s="1223" t="s">
        <v>979</v>
      </c>
      <c r="B72" s="1861">
        <v>1</v>
      </c>
      <c r="C72" s="1862">
        <v>1</v>
      </c>
      <c r="D72" s="1862">
        <v>1</v>
      </c>
      <c r="E72" s="1862">
        <v>1</v>
      </c>
      <c r="F72" s="1862">
        <v>1</v>
      </c>
      <c r="G72" s="1861">
        <v>0.5</v>
      </c>
      <c r="H72" s="1862">
        <v>0.5</v>
      </c>
      <c r="I72" s="1862">
        <v>0.5</v>
      </c>
      <c r="J72" s="1863">
        <v>0.5</v>
      </c>
      <c r="K72" s="1478">
        <f>+lgh_inputs!$D$4</f>
        <v>0.3</v>
      </c>
      <c r="L72" s="1475">
        <f>+lgh_inputs!$D$4</f>
        <v>0.3</v>
      </c>
      <c r="M72" s="1475">
        <f>+lgh_inputs!$D$4</f>
        <v>0.3</v>
      </c>
      <c r="N72" s="1479">
        <f>+lgh_inputs!$D$4</f>
        <v>0.3</v>
      </c>
      <c r="O72" s="1480">
        <f>+lgh_inputs!$D$4</f>
        <v>0.3</v>
      </c>
      <c r="P72" s="1480">
        <f>+lgh_inputs!$D$4</f>
        <v>0.3</v>
      </c>
      <c r="Q72" s="1480">
        <f>+lgh_inputs!$D$4</f>
        <v>0.3</v>
      </c>
      <c r="R72" s="1480">
        <f>+lgh_inputs!$D$4</f>
        <v>0.3</v>
      </c>
      <c r="T72" s="41"/>
      <c r="AE72" s="1"/>
      <c r="AF72" s="1"/>
      <c r="AG72" s="1"/>
      <c r="AH72" s="1"/>
      <c r="AI72" s="1"/>
      <c r="AJ72" s="1"/>
      <c r="AK72" s="1"/>
      <c r="AM72" s="1"/>
      <c r="AN72" s="1"/>
      <c r="AO72" s="1"/>
      <c r="AP72" s="1"/>
      <c r="AQ72" s="1"/>
      <c r="AR72" s="1"/>
      <c r="AS72" s="1"/>
    </row>
    <row r="73" spans="1:49">
      <c r="A73" s="1223" t="s">
        <v>980</v>
      </c>
      <c r="B73" s="1861">
        <v>1</v>
      </c>
      <c r="C73" s="1862">
        <v>1</v>
      </c>
      <c r="D73" s="1862">
        <v>1</v>
      </c>
      <c r="E73" s="1862">
        <v>1</v>
      </c>
      <c r="F73" s="1862">
        <v>1</v>
      </c>
      <c r="G73" s="1861">
        <v>1</v>
      </c>
      <c r="H73" s="1862">
        <v>1</v>
      </c>
      <c r="I73" s="1862">
        <v>1</v>
      </c>
      <c r="J73" s="1863">
        <v>1</v>
      </c>
      <c r="K73" s="1478">
        <f>+lgh_inputs!$D$4</f>
        <v>0.3</v>
      </c>
      <c r="L73" s="1475">
        <f>+lgh_inputs!$D$4</f>
        <v>0.3</v>
      </c>
      <c r="M73" s="1475">
        <f>+lgh_inputs!$D$4</f>
        <v>0.3</v>
      </c>
      <c r="N73" s="1479">
        <f>+lgh_inputs!$D$4</f>
        <v>0.3</v>
      </c>
      <c r="O73" s="1480">
        <f>+lgh_inputs!$D$4</f>
        <v>0.3</v>
      </c>
      <c r="P73" s="1480">
        <f>+lgh_inputs!$D$4</f>
        <v>0.3</v>
      </c>
      <c r="Q73" s="1480">
        <f>+lgh_inputs!$D$4</f>
        <v>0.3</v>
      </c>
      <c r="R73" s="1480">
        <f>+lgh_inputs!$D$4</f>
        <v>0.3</v>
      </c>
      <c r="T73" s="41"/>
      <c r="AE73" s="1"/>
      <c r="AF73" s="1"/>
      <c r="AG73" s="1"/>
      <c r="AH73" s="1"/>
      <c r="AI73" s="1"/>
      <c r="AJ73" s="1"/>
      <c r="AK73" s="1"/>
      <c r="AM73" s="1"/>
      <c r="AN73" s="1"/>
      <c r="AO73" s="1"/>
      <c r="AP73" s="1"/>
      <c r="AQ73" s="1"/>
      <c r="AR73" s="1"/>
      <c r="AS73" s="1"/>
    </row>
    <row r="74" spans="1:49">
      <c r="A74" s="1222" t="s">
        <v>981</v>
      </c>
      <c r="B74" s="1343">
        <f t="shared" ref="B74:R74" si="14">B31*B72+B48*B73</f>
        <v>0</v>
      </c>
      <c r="C74" s="1225">
        <f t="shared" si="14"/>
        <v>0</v>
      </c>
      <c r="D74" s="1129">
        <f t="shared" si="14"/>
        <v>1500000</v>
      </c>
      <c r="E74" s="1225">
        <f t="shared" si="14"/>
        <v>0</v>
      </c>
      <c r="F74" s="1129">
        <f t="shared" si="14"/>
        <v>812800</v>
      </c>
      <c r="G74" s="1328">
        <f t="shared" si="14"/>
        <v>57077.25</v>
      </c>
      <c r="H74" s="1129">
        <f t="shared" si="14"/>
        <v>57077.25</v>
      </c>
      <c r="I74" s="1129">
        <f t="shared" si="14"/>
        <v>317077.25</v>
      </c>
      <c r="J74" s="1327">
        <f t="shared" si="14"/>
        <v>492477.25</v>
      </c>
      <c r="K74" s="1328">
        <f t="shared" si="14"/>
        <v>452594.29599999997</v>
      </c>
      <c r="L74" s="1129">
        <f t="shared" si="14"/>
        <v>591062.5</v>
      </c>
      <c r="M74" s="1129">
        <f t="shared" si="14"/>
        <v>498062.49999999994</v>
      </c>
      <c r="N74" s="1327">
        <f t="shared" si="14"/>
        <v>1608062.4999999998</v>
      </c>
      <c r="O74" s="1326">
        <f t="shared" si="14"/>
        <v>2839506.9039999996</v>
      </c>
      <c r="P74" s="1326">
        <f t="shared" si="14"/>
        <v>1771680.0919999997</v>
      </c>
      <c r="Q74" s="1326">
        <f t="shared" si="14"/>
        <v>924738.61975999968</v>
      </c>
      <c r="R74" s="1326">
        <f t="shared" si="14"/>
        <v>1096939.2988061837</v>
      </c>
      <c r="T74" s="41"/>
      <c r="AE74" s="1"/>
      <c r="AF74" s="1"/>
      <c r="AG74" s="1"/>
      <c r="AH74" s="1"/>
      <c r="AI74" s="1"/>
      <c r="AJ74" s="1"/>
      <c r="AK74" s="1"/>
      <c r="AM74" s="1"/>
      <c r="AN74" s="1"/>
      <c r="AO74" s="1"/>
      <c r="AP74" s="1"/>
      <c r="AQ74" s="1"/>
      <c r="AR74" s="1"/>
      <c r="AS74" s="1"/>
    </row>
    <row r="75" spans="1:49">
      <c r="A75" s="1222" t="s">
        <v>982</v>
      </c>
      <c r="B75" s="1343">
        <f t="shared" ref="B75:R75" si="15">B68*B72</f>
        <v>0</v>
      </c>
      <c r="C75" s="1225">
        <f t="shared" si="15"/>
        <v>0</v>
      </c>
      <c r="D75" s="1225">
        <f t="shared" si="15"/>
        <v>0</v>
      </c>
      <c r="E75" s="1225">
        <f t="shared" si="15"/>
        <v>0</v>
      </c>
      <c r="F75" s="1129">
        <f t="shared" si="15"/>
        <v>667500</v>
      </c>
      <c r="G75" s="1328">
        <f t="shared" si="15"/>
        <v>11055.25</v>
      </c>
      <c r="H75" s="1129">
        <f t="shared" si="15"/>
        <v>11055.25</v>
      </c>
      <c r="I75" s="1129">
        <f t="shared" si="15"/>
        <v>11055.25</v>
      </c>
      <c r="J75" s="1327">
        <f t="shared" si="15"/>
        <v>36255.25</v>
      </c>
      <c r="K75" s="1328">
        <f t="shared" si="15"/>
        <v>0</v>
      </c>
      <c r="L75" s="1129">
        <f t="shared" si="15"/>
        <v>86850</v>
      </c>
      <c r="M75" s="1129">
        <f t="shared" si="15"/>
        <v>99395.7</v>
      </c>
      <c r="N75" s="1327">
        <f t="shared" si="15"/>
        <v>130290</v>
      </c>
      <c r="O75" s="1326">
        <f t="shared" si="15"/>
        <v>308310</v>
      </c>
      <c r="P75" s="1326">
        <f t="shared" si="15"/>
        <v>326400</v>
      </c>
      <c r="Q75" s="1326">
        <f t="shared" si="15"/>
        <v>404400</v>
      </c>
      <c r="R75" s="1326">
        <f t="shared" si="15"/>
        <v>406200</v>
      </c>
      <c r="T75" s="41"/>
      <c r="AE75" s="1"/>
      <c r="AF75" s="1"/>
      <c r="AG75" s="1"/>
      <c r="AH75" s="1"/>
      <c r="AI75" s="1"/>
      <c r="AJ75" s="1"/>
      <c r="AK75" s="1"/>
      <c r="AM75" s="1"/>
      <c r="AN75" s="1"/>
      <c r="AO75" s="1"/>
      <c r="AP75" s="1"/>
      <c r="AQ75" s="1"/>
      <c r="AR75" s="1"/>
      <c r="AS75" s="1"/>
    </row>
    <row r="76" spans="1:49">
      <c r="A76" s="1221" t="s">
        <v>310</v>
      </c>
      <c r="B76" s="1342">
        <f t="shared" ref="B76:R76" si="16">SUM(B74:B75)</f>
        <v>0</v>
      </c>
      <c r="C76" s="1219">
        <f t="shared" si="16"/>
        <v>0</v>
      </c>
      <c r="D76" s="1219">
        <f t="shared" si="16"/>
        <v>1500000</v>
      </c>
      <c r="E76" s="1219">
        <f t="shared" si="16"/>
        <v>0</v>
      </c>
      <c r="F76" s="1219">
        <f t="shared" si="16"/>
        <v>1480300</v>
      </c>
      <c r="G76" s="1342">
        <f t="shared" si="16"/>
        <v>68132.5</v>
      </c>
      <c r="H76" s="1219">
        <f t="shared" si="16"/>
        <v>68132.5</v>
      </c>
      <c r="I76" s="1219">
        <f t="shared" si="16"/>
        <v>328132.5</v>
      </c>
      <c r="J76" s="1341">
        <f t="shared" si="16"/>
        <v>528732.5</v>
      </c>
      <c r="K76" s="1342">
        <f t="shared" si="16"/>
        <v>452594.29599999997</v>
      </c>
      <c r="L76" s="1219">
        <f t="shared" si="16"/>
        <v>677912.5</v>
      </c>
      <c r="M76" s="1219">
        <f t="shared" si="16"/>
        <v>597458.19999999995</v>
      </c>
      <c r="N76" s="1341">
        <f t="shared" si="16"/>
        <v>1738352.4999999998</v>
      </c>
      <c r="O76" s="1340">
        <f t="shared" si="16"/>
        <v>3147816.9039999996</v>
      </c>
      <c r="P76" s="1340">
        <f t="shared" si="16"/>
        <v>2098080.0919999997</v>
      </c>
      <c r="Q76" s="1340">
        <f t="shared" si="16"/>
        <v>1329138.6197599997</v>
      </c>
      <c r="R76" s="1340">
        <f t="shared" si="16"/>
        <v>1503139.2988061837</v>
      </c>
      <c r="T76" s="41"/>
      <c r="AE76" s="1"/>
      <c r="AF76" s="1"/>
      <c r="AG76" s="1"/>
      <c r="AH76" s="1"/>
      <c r="AI76" s="1"/>
      <c r="AJ76" s="1"/>
      <c r="AK76" s="1"/>
      <c r="AM76" s="1"/>
      <c r="AN76" s="1"/>
      <c r="AO76" s="1"/>
      <c r="AP76" s="1"/>
      <c r="AQ76" s="1"/>
      <c r="AR76" s="1"/>
      <c r="AS76" s="1"/>
    </row>
    <row r="77" spans="1:49">
      <c r="A77" s="1339" t="s">
        <v>673</v>
      </c>
      <c r="B77" s="1328"/>
      <c r="C77" s="1129"/>
      <c r="D77" s="1129"/>
      <c r="E77" s="1129"/>
      <c r="F77" s="1129"/>
      <c r="G77" s="1338">
        <f t="shared" ref="G77:R77" si="17">+G76/G70</f>
        <v>0.86039191667903181</v>
      </c>
      <c r="H77" s="1247">
        <f t="shared" si="17"/>
        <v>0.86039191667903181</v>
      </c>
      <c r="I77" s="1247">
        <f t="shared" si="17"/>
        <v>0.54762885255915195</v>
      </c>
      <c r="J77" s="1337">
        <f t="shared" si="17"/>
        <v>0.55656770310985593</v>
      </c>
      <c r="K77" s="1334">
        <f t="shared" si="17"/>
        <v>0.3</v>
      </c>
      <c r="L77" s="1214">
        <f t="shared" si="17"/>
        <v>0.30000000000000004</v>
      </c>
      <c r="M77" s="1214">
        <f t="shared" si="17"/>
        <v>0.3</v>
      </c>
      <c r="N77" s="1336">
        <f t="shared" si="17"/>
        <v>0.3</v>
      </c>
      <c r="O77" s="1335">
        <f t="shared" si="17"/>
        <v>0.3</v>
      </c>
      <c r="P77" s="1335">
        <f t="shared" si="17"/>
        <v>0.29999999999999993</v>
      </c>
      <c r="Q77" s="1335">
        <f t="shared" si="17"/>
        <v>0.3</v>
      </c>
      <c r="R77" s="1335">
        <f t="shared" si="17"/>
        <v>0.3</v>
      </c>
      <c r="T77" s="41"/>
      <c r="AE77" s="1"/>
      <c r="AF77" s="1"/>
      <c r="AG77" s="1"/>
      <c r="AH77" s="1"/>
      <c r="AI77" s="1"/>
      <c r="AJ77" s="1"/>
      <c r="AK77" s="1"/>
      <c r="AM77" s="1"/>
      <c r="AN77" s="1"/>
      <c r="AO77" s="1"/>
      <c r="AP77" s="1"/>
      <c r="AQ77" s="1"/>
      <c r="AR77" s="1"/>
      <c r="AS77" s="1"/>
    </row>
    <row r="78" spans="1:49">
      <c r="A78" s="1242" t="s">
        <v>901</v>
      </c>
      <c r="B78" s="1328"/>
      <c r="C78" s="1129"/>
      <c r="D78" s="1129"/>
      <c r="E78" s="1129"/>
      <c r="F78" s="1129"/>
      <c r="G78" s="1328"/>
      <c r="H78" s="1129"/>
      <c r="I78" s="1129"/>
      <c r="J78" s="1327"/>
      <c r="K78" s="1334"/>
      <c r="L78" s="1214"/>
      <c r="M78" s="1214"/>
      <c r="N78" s="1336"/>
      <c r="O78" s="1335"/>
      <c r="P78" s="1335"/>
      <c r="Q78" s="1335"/>
      <c r="R78" s="1335"/>
      <c r="T78" s="41"/>
      <c r="AE78" s="1"/>
      <c r="AF78" s="1"/>
      <c r="AG78" s="1"/>
      <c r="AH78" s="1"/>
      <c r="AI78" s="1"/>
      <c r="AJ78" s="1"/>
      <c r="AK78" s="1"/>
      <c r="AM78" s="1"/>
      <c r="AN78" s="1"/>
      <c r="AO78" s="1"/>
      <c r="AP78" s="1"/>
      <c r="AQ78" s="1"/>
      <c r="AR78" s="1"/>
      <c r="AS78" s="1"/>
    </row>
    <row r="79" spans="1:49">
      <c r="A79" s="1146" t="s">
        <v>317</v>
      </c>
      <c r="B79" s="1258">
        <v>0</v>
      </c>
      <c r="C79" s="1241">
        <v>0</v>
      </c>
      <c r="D79" s="1241">
        <v>0</v>
      </c>
      <c r="E79" s="1241">
        <v>0</v>
      </c>
      <c r="F79" s="1241">
        <v>0</v>
      </c>
      <c r="G79" s="1258">
        <v>0</v>
      </c>
      <c r="H79" s="1241">
        <v>0</v>
      </c>
      <c r="I79" s="1241">
        <v>0</v>
      </c>
      <c r="J79" s="1257">
        <v>0</v>
      </c>
      <c r="K79" s="1258">
        <v>0</v>
      </c>
      <c r="L79" s="1241">
        <v>0</v>
      </c>
      <c r="M79" s="1241">
        <v>0</v>
      </c>
      <c r="N79" s="1257">
        <v>0</v>
      </c>
      <c r="O79" s="1256">
        <v>0</v>
      </c>
      <c r="P79" s="1256">
        <v>0</v>
      </c>
      <c r="Q79" s="1256">
        <v>0</v>
      </c>
      <c r="R79" s="1256">
        <v>0</v>
      </c>
      <c r="T79" s="41"/>
      <c r="AE79" s="1"/>
      <c r="AF79" s="1"/>
      <c r="AG79" s="1"/>
      <c r="AH79" s="1"/>
      <c r="AI79" s="1"/>
      <c r="AJ79" s="1"/>
      <c r="AK79" s="1"/>
      <c r="AM79" s="1"/>
      <c r="AN79" s="1"/>
      <c r="AO79" s="1"/>
      <c r="AP79" s="1"/>
      <c r="AQ79" s="1"/>
      <c r="AR79" s="1"/>
      <c r="AS79" s="1"/>
    </row>
    <row r="80" spans="1:49">
      <c r="A80" s="1146" t="s">
        <v>902</v>
      </c>
      <c r="B80" s="1258">
        <v>0</v>
      </c>
      <c r="C80" s="1241">
        <v>0</v>
      </c>
      <c r="D80" s="1241">
        <v>0</v>
      </c>
      <c r="E80" s="1241">
        <v>0</v>
      </c>
      <c r="F80" s="1241">
        <v>0</v>
      </c>
      <c r="G80" s="1258">
        <v>0</v>
      </c>
      <c r="H80" s="1241">
        <v>0</v>
      </c>
      <c r="I80" s="1241">
        <v>0</v>
      </c>
      <c r="J80" s="1257">
        <v>0</v>
      </c>
      <c r="K80" s="1258">
        <v>0</v>
      </c>
      <c r="L80" s="1241">
        <v>0</v>
      </c>
      <c r="M80" s="1241">
        <v>0</v>
      </c>
      <c r="N80" s="1257">
        <v>0</v>
      </c>
      <c r="O80" s="1256">
        <v>0</v>
      </c>
      <c r="P80" s="1256">
        <v>0</v>
      </c>
      <c r="Q80" s="1256">
        <v>0</v>
      </c>
      <c r="R80" s="1256">
        <v>0</v>
      </c>
      <c r="T80" s="41"/>
      <c r="AE80" s="1"/>
      <c r="AF80" s="1"/>
      <c r="AG80" s="1"/>
      <c r="AH80" s="1"/>
      <c r="AI80" s="1"/>
      <c r="AJ80" s="1"/>
      <c r="AK80" s="1"/>
      <c r="AM80" s="1"/>
      <c r="AN80" s="1"/>
      <c r="AO80" s="1"/>
      <c r="AP80" s="1"/>
      <c r="AQ80" s="1"/>
      <c r="AR80" s="1"/>
      <c r="AS80" s="1"/>
    </row>
    <row r="81" spans="1:45">
      <c r="A81" s="1146" t="s">
        <v>229</v>
      </c>
      <c r="B81" s="1258">
        <v>0</v>
      </c>
      <c r="C81" s="1241">
        <v>0</v>
      </c>
      <c r="D81" s="1241">
        <v>0</v>
      </c>
      <c r="E81" s="1241">
        <v>0</v>
      </c>
      <c r="F81" s="1241">
        <v>0</v>
      </c>
      <c r="G81" s="1258">
        <v>0</v>
      </c>
      <c r="H81" s="1241">
        <v>0</v>
      </c>
      <c r="I81" s="1241">
        <v>0</v>
      </c>
      <c r="J81" s="1257">
        <v>0</v>
      </c>
      <c r="K81" s="1258">
        <v>0</v>
      </c>
      <c r="L81" s="1241">
        <v>0</v>
      </c>
      <c r="M81" s="1241">
        <v>0</v>
      </c>
      <c r="N81" s="1257">
        <v>0</v>
      </c>
      <c r="O81" s="1256">
        <v>0</v>
      </c>
      <c r="P81" s="1256">
        <v>0</v>
      </c>
      <c r="Q81" s="1256">
        <v>0</v>
      </c>
      <c r="R81" s="1256">
        <v>0</v>
      </c>
      <c r="T81" s="41"/>
      <c r="AE81" s="1"/>
      <c r="AF81" s="1"/>
      <c r="AG81" s="1"/>
      <c r="AH81" s="1"/>
      <c r="AI81" s="1"/>
      <c r="AJ81" s="1"/>
      <c r="AK81" s="1"/>
      <c r="AM81" s="1"/>
      <c r="AN81" s="1"/>
      <c r="AO81" s="1"/>
      <c r="AP81" s="1"/>
      <c r="AQ81" s="1"/>
      <c r="AR81" s="1"/>
      <c r="AS81" s="1"/>
    </row>
    <row r="82" spans="1:45">
      <c r="A82" s="1146" t="s">
        <v>903</v>
      </c>
      <c r="B82" s="1258">
        <v>0</v>
      </c>
      <c r="C82" s="1241">
        <v>0</v>
      </c>
      <c r="D82" s="1241">
        <v>0</v>
      </c>
      <c r="E82" s="1241">
        <v>0</v>
      </c>
      <c r="F82" s="1241">
        <v>0</v>
      </c>
      <c r="G82" s="1258">
        <v>0</v>
      </c>
      <c r="H82" s="1241">
        <v>0</v>
      </c>
      <c r="I82" s="1241">
        <v>0</v>
      </c>
      <c r="J82" s="1257">
        <v>0</v>
      </c>
      <c r="K82" s="1258">
        <v>0</v>
      </c>
      <c r="L82" s="1241">
        <v>0</v>
      </c>
      <c r="M82" s="1241">
        <v>0</v>
      </c>
      <c r="N82" s="1257">
        <v>0</v>
      </c>
      <c r="O82" s="1256">
        <v>0</v>
      </c>
      <c r="P82" s="1256">
        <v>0</v>
      </c>
      <c r="Q82" s="1256">
        <v>0</v>
      </c>
      <c r="R82" s="1256">
        <v>0</v>
      </c>
      <c r="T82" s="41"/>
      <c r="AE82" s="1"/>
      <c r="AF82" s="1"/>
      <c r="AG82" s="1"/>
      <c r="AH82" s="1"/>
      <c r="AI82" s="1"/>
      <c r="AJ82" s="1"/>
      <c r="AK82" s="1"/>
      <c r="AM82" s="1"/>
      <c r="AN82" s="1"/>
      <c r="AO82" s="1"/>
      <c r="AP82" s="1"/>
      <c r="AQ82" s="1"/>
      <c r="AR82" s="1"/>
      <c r="AS82" s="1"/>
    </row>
    <row r="83" spans="1:45">
      <c r="A83" s="1146" t="s">
        <v>137</v>
      </c>
      <c r="B83" s="1258">
        <v>0</v>
      </c>
      <c r="C83" s="1241">
        <v>0</v>
      </c>
      <c r="D83" s="1241">
        <v>0</v>
      </c>
      <c r="E83" s="1241">
        <v>0</v>
      </c>
      <c r="F83" s="1241">
        <v>0</v>
      </c>
      <c r="G83" s="1258">
        <v>0</v>
      </c>
      <c r="H83" s="1241">
        <v>0</v>
      </c>
      <c r="I83" s="1241">
        <v>0</v>
      </c>
      <c r="J83" s="1257">
        <v>0</v>
      </c>
      <c r="K83" s="1258">
        <v>0</v>
      </c>
      <c r="L83" s="1241">
        <v>0</v>
      </c>
      <c r="M83" s="1241">
        <v>0</v>
      </c>
      <c r="N83" s="1257">
        <v>0</v>
      </c>
      <c r="O83" s="1256">
        <v>0</v>
      </c>
      <c r="P83" s="1256">
        <v>0</v>
      </c>
      <c r="Q83" s="1256">
        <v>0</v>
      </c>
      <c r="R83" s="1256">
        <v>0</v>
      </c>
      <c r="T83" s="41"/>
      <c r="AE83" s="1"/>
      <c r="AF83" s="1"/>
      <c r="AG83" s="1"/>
      <c r="AH83" s="1"/>
      <c r="AI83" s="1"/>
      <c r="AJ83" s="1"/>
      <c r="AK83" s="1"/>
      <c r="AM83" s="1"/>
      <c r="AN83" s="1"/>
      <c r="AO83" s="1"/>
      <c r="AP83" s="1"/>
      <c r="AQ83" s="1"/>
      <c r="AR83" s="1"/>
      <c r="AS83" s="1"/>
    </row>
    <row r="84" spans="1:45">
      <c r="A84" s="1146" t="s">
        <v>983</v>
      </c>
      <c r="B84" s="1258">
        <v>0</v>
      </c>
      <c r="C84" s="1241">
        <v>0</v>
      </c>
      <c r="D84" s="1241">
        <v>0</v>
      </c>
      <c r="E84" s="1241">
        <v>0</v>
      </c>
      <c r="F84" s="1241">
        <v>0</v>
      </c>
      <c r="G84" s="1258"/>
      <c r="H84" s="1241">
        <v>0</v>
      </c>
      <c r="I84" s="1241">
        <v>0</v>
      </c>
      <c r="J84" s="1257">
        <v>0</v>
      </c>
      <c r="K84" s="1258">
        <v>0</v>
      </c>
      <c r="L84" s="1241">
        <v>0</v>
      </c>
      <c r="M84" s="1241">
        <v>0</v>
      </c>
      <c r="N84" s="1257">
        <v>0</v>
      </c>
      <c r="O84" s="1256">
        <v>0</v>
      </c>
      <c r="P84" s="1256">
        <v>0</v>
      </c>
      <c r="Q84" s="1256">
        <v>0</v>
      </c>
      <c r="R84" s="1256">
        <v>0</v>
      </c>
      <c r="T84" s="41"/>
      <c r="AE84" s="1"/>
      <c r="AF84" s="1"/>
      <c r="AG84" s="1"/>
      <c r="AH84" s="1"/>
      <c r="AI84" s="1"/>
      <c r="AJ84" s="1"/>
      <c r="AK84" s="1"/>
      <c r="AM84" s="1"/>
      <c r="AN84" s="1"/>
      <c r="AO84" s="1"/>
      <c r="AP84" s="1"/>
      <c r="AQ84" s="1"/>
      <c r="AR84" s="1"/>
      <c r="AS84" s="1"/>
    </row>
    <row r="85" spans="1:45">
      <c r="A85" s="1146" t="s">
        <v>594</v>
      </c>
      <c r="B85" s="1258">
        <v>0</v>
      </c>
      <c r="C85" s="1241">
        <v>0</v>
      </c>
      <c r="D85" s="1241">
        <v>0</v>
      </c>
      <c r="E85" s="1241">
        <v>0</v>
      </c>
      <c r="F85" s="1241">
        <v>0</v>
      </c>
      <c r="G85" s="1258">
        <v>0</v>
      </c>
      <c r="H85" s="1241">
        <v>0</v>
      </c>
      <c r="I85" s="1241">
        <v>0</v>
      </c>
      <c r="J85" s="1257">
        <v>0</v>
      </c>
      <c r="K85" s="1258">
        <v>0</v>
      </c>
      <c r="L85" s="1241">
        <v>0</v>
      </c>
      <c r="M85" s="1241">
        <v>0</v>
      </c>
      <c r="N85" s="1257">
        <v>0</v>
      </c>
      <c r="O85" s="1256">
        <v>0</v>
      </c>
      <c r="P85" s="1256">
        <v>0</v>
      </c>
      <c r="Q85" s="1256">
        <v>0</v>
      </c>
      <c r="R85" s="1256">
        <v>0</v>
      </c>
      <c r="T85" s="41"/>
      <c r="AE85" s="1"/>
      <c r="AF85" s="1"/>
      <c r="AG85" s="1"/>
      <c r="AH85" s="1"/>
      <c r="AI85" s="1"/>
      <c r="AJ85" s="1"/>
      <c r="AK85" s="1"/>
      <c r="AM85" s="1"/>
      <c r="AN85" s="1"/>
      <c r="AO85" s="1"/>
      <c r="AP85" s="1"/>
      <c r="AQ85" s="1"/>
      <c r="AR85" s="1"/>
      <c r="AS85" s="1"/>
    </row>
    <row r="86" spans="1:45">
      <c r="A86" s="1145" t="s">
        <v>904</v>
      </c>
      <c r="B86" s="1254">
        <f t="shared" ref="B86:R86" si="18">SUM(B79:B85)</f>
        <v>0</v>
      </c>
      <c r="C86" s="1202">
        <f t="shared" si="18"/>
        <v>0</v>
      </c>
      <c r="D86" s="1202">
        <f t="shared" si="18"/>
        <v>0</v>
      </c>
      <c r="E86" s="1202">
        <f t="shared" si="18"/>
        <v>0</v>
      </c>
      <c r="F86" s="1202">
        <f t="shared" si="18"/>
        <v>0</v>
      </c>
      <c r="G86" s="1254">
        <f t="shared" si="18"/>
        <v>0</v>
      </c>
      <c r="H86" s="1202">
        <f t="shared" si="18"/>
        <v>0</v>
      </c>
      <c r="I86" s="1202">
        <f t="shared" si="18"/>
        <v>0</v>
      </c>
      <c r="J86" s="1253">
        <f t="shared" si="18"/>
        <v>0</v>
      </c>
      <c r="K86" s="1254">
        <f t="shared" si="18"/>
        <v>0</v>
      </c>
      <c r="L86" s="1202">
        <f t="shared" si="18"/>
        <v>0</v>
      </c>
      <c r="M86" s="1202">
        <f t="shared" si="18"/>
        <v>0</v>
      </c>
      <c r="N86" s="1253">
        <f t="shared" si="18"/>
        <v>0</v>
      </c>
      <c r="O86" s="1252">
        <f t="shared" si="18"/>
        <v>0</v>
      </c>
      <c r="P86" s="1252">
        <f t="shared" si="18"/>
        <v>0</v>
      </c>
      <c r="Q86" s="1252">
        <f t="shared" si="18"/>
        <v>0</v>
      </c>
      <c r="R86" s="1252">
        <f t="shared" si="18"/>
        <v>0</v>
      </c>
      <c r="T86" s="41"/>
      <c r="AE86" s="1"/>
      <c r="AF86" s="1"/>
      <c r="AG86" s="1"/>
      <c r="AH86" s="1"/>
      <c r="AI86" s="1"/>
      <c r="AJ86" s="1"/>
      <c r="AK86" s="1"/>
      <c r="AM86" s="1"/>
      <c r="AN86" s="1"/>
      <c r="AO86" s="1"/>
      <c r="AP86" s="1"/>
      <c r="AQ86" s="1"/>
      <c r="AR86" s="1"/>
      <c r="AS86" s="1"/>
    </row>
    <row r="87" spans="1:45">
      <c r="A87" s="1250" t="s">
        <v>984</v>
      </c>
      <c r="B87" s="1328">
        <f t="shared" ref="B87:R87" si="19">-SUMPRODUCT($C$121:$C$129,B$121:B$129)+B86</f>
        <v>-185000</v>
      </c>
      <c r="C87" s="1129">
        <f t="shared" si="19"/>
        <v>-1</v>
      </c>
      <c r="D87" s="1129">
        <f t="shared" si="19"/>
        <v>0</v>
      </c>
      <c r="E87" s="1129">
        <f t="shared" si="19"/>
        <v>0</v>
      </c>
      <c r="F87" s="1261">
        <f t="shared" si="19"/>
        <v>0</v>
      </c>
      <c r="G87" s="1328">
        <f t="shared" si="19"/>
        <v>-46250</v>
      </c>
      <c r="H87" s="1129">
        <f t="shared" si="19"/>
        <v>-46250</v>
      </c>
      <c r="I87" s="1129">
        <f t="shared" si="19"/>
        <v>-46250</v>
      </c>
      <c r="J87" s="1327">
        <f t="shared" si="19"/>
        <v>-46250</v>
      </c>
      <c r="K87" s="1328">
        <f t="shared" si="19"/>
        <v>-46250</v>
      </c>
      <c r="L87" s="1129">
        <f t="shared" si="19"/>
        <v>-46250</v>
      </c>
      <c r="M87" s="1129">
        <f t="shared" si="19"/>
        <v>-46250</v>
      </c>
      <c r="N87" s="1327">
        <f t="shared" si="19"/>
        <v>-46250</v>
      </c>
      <c r="O87" s="1326">
        <f t="shared" si="19"/>
        <v>-185000</v>
      </c>
      <c r="P87" s="1326">
        <f t="shared" si="19"/>
        <v>-185000</v>
      </c>
      <c r="Q87" s="1326">
        <f t="shared" si="19"/>
        <v>-185000</v>
      </c>
      <c r="R87" s="1326">
        <f t="shared" si="19"/>
        <v>-185000</v>
      </c>
      <c r="T87" s="41"/>
      <c r="AE87" s="1"/>
      <c r="AF87" s="1"/>
      <c r="AG87" s="1"/>
      <c r="AH87" s="1"/>
      <c r="AI87" s="1"/>
      <c r="AJ87" s="1"/>
      <c r="AK87" s="1"/>
      <c r="AM87" s="1"/>
      <c r="AN87" s="1"/>
      <c r="AO87" s="1"/>
      <c r="AP87" s="1"/>
      <c r="AQ87" s="1"/>
      <c r="AR87" s="1"/>
      <c r="AS87" s="1"/>
    </row>
    <row r="88" spans="1:45">
      <c r="A88" s="1223"/>
      <c r="B88" s="1328"/>
      <c r="C88" s="1129"/>
      <c r="D88" s="1129"/>
      <c r="E88" s="1129"/>
      <c r="F88" s="1129"/>
      <c r="G88" s="1328"/>
      <c r="H88" s="1129"/>
      <c r="I88" s="1129"/>
      <c r="J88" s="1327"/>
      <c r="K88" s="1334"/>
      <c r="L88" s="1129"/>
      <c r="M88" s="1129"/>
      <c r="N88" s="1327"/>
      <c r="O88" s="1326"/>
      <c r="P88" s="1326"/>
      <c r="Q88" s="1326"/>
      <c r="R88" s="1326"/>
      <c r="T88" s="41"/>
      <c r="AE88" s="1"/>
      <c r="AF88" s="1"/>
      <c r="AG88" s="1"/>
      <c r="AH88" s="1"/>
      <c r="AI88" s="1"/>
      <c r="AJ88" s="1"/>
      <c r="AK88" s="1"/>
      <c r="AM88" s="1"/>
      <c r="AN88" s="1"/>
      <c r="AO88" s="1"/>
      <c r="AP88" s="1"/>
      <c r="AQ88" s="1"/>
      <c r="AR88" s="1"/>
      <c r="AS88" s="1"/>
    </row>
    <row r="89" spans="1:45">
      <c r="A89" s="1231" t="s">
        <v>985</v>
      </c>
      <c r="B89" s="1328">
        <f t="shared" ref="B89:R89" si="20">+B$28*B72+B45*B73</f>
        <v>0</v>
      </c>
      <c r="C89" s="1129">
        <f t="shared" si="20"/>
        <v>0</v>
      </c>
      <c r="D89" s="1129">
        <f t="shared" si="20"/>
        <v>0</v>
      </c>
      <c r="E89" s="1129">
        <f t="shared" si="20"/>
        <v>0</v>
      </c>
      <c r="F89" s="1129">
        <f t="shared" si="20"/>
        <v>0</v>
      </c>
      <c r="G89" s="1328">
        <f t="shared" si="20"/>
        <v>-189547.75</v>
      </c>
      <c r="H89" s="1129">
        <f t="shared" si="20"/>
        <v>-1504095.5</v>
      </c>
      <c r="I89" s="1129">
        <f t="shared" si="20"/>
        <v>-2131143.25</v>
      </c>
      <c r="J89" s="1327">
        <f t="shared" si="20"/>
        <v>-2553191</v>
      </c>
      <c r="K89" s="1328">
        <f t="shared" si="20"/>
        <v>-1505602.1039999998</v>
      </c>
      <c r="L89" s="1129">
        <f t="shared" si="20"/>
        <v>-1400278.7039999999</v>
      </c>
      <c r="M89" s="1129">
        <f t="shared" si="20"/>
        <v>-1387955.304</v>
      </c>
      <c r="N89" s="1327">
        <f t="shared" si="20"/>
        <v>-1645631.9039999999</v>
      </c>
      <c r="O89" s="1326">
        <f t="shared" si="20"/>
        <v>-1293617.5919999999</v>
      </c>
      <c r="P89" s="1326">
        <f t="shared" si="20"/>
        <v>-968676.11975999991</v>
      </c>
      <c r="Q89" s="1326">
        <f t="shared" si="20"/>
        <v>-1978886.4033528001</v>
      </c>
      <c r="R89" s="1326">
        <f t="shared" si="20"/>
        <v>-2400000.1</v>
      </c>
      <c r="T89" s="41"/>
      <c r="AE89" s="1"/>
      <c r="AF89" s="1"/>
      <c r="AG89" s="1"/>
      <c r="AH89" s="1"/>
      <c r="AI89" s="1"/>
      <c r="AJ89" s="1"/>
      <c r="AK89" s="1"/>
      <c r="AM89" s="1"/>
      <c r="AN89" s="1"/>
      <c r="AO89" s="1"/>
      <c r="AP89" s="1"/>
      <c r="AQ89" s="1"/>
      <c r="AR89" s="1"/>
      <c r="AS89" s="1"/>
    </row>
    <row r="90" spans="1:45">
      <c r="A90" s="1231" t="s">
        <v>986</v>
      </c>
      <c r="B90" s="1328">
        <f t="shared" ref="B90:R90" si="21">+B$65*B72</f>
        <v>0</v>
      </c>
      <c r="C90" s="1129">
        <f t="shared" si="21"/>
        <v>0</v>
      </c>
      <c r="D90" s="1129">
        <f t="shared" si="21"/>
        <v>0</v>
      </c>
      <c r="E90" s="1129">
        <f t="shared" si="21"/>
        <v>0</v>
      </c>
      <c r="F90" s="1129">
        <f t="shared" si="21"/>
        <v>0</v>
      </c>
      <c r="G90" s="1328">
        <f t="shared" si="21"/>
        <v>-11477.375</v>
      </c>
      <c r="H90" s="1129">
        <f t="shared" si="21"/>
        <v>-22954.75</v>
      </c>
      <c r="I90" s="1129">
        <f t="shared" si="21"/>
        <v>-34432.125</v>
      </c>
      <c r="J90" s="1327">
        <f t="shared" si="21"/>
        <v>-45909.5</v>
      </c>
      <c r="K90" s="1328">
        <f t="shared" si="21"/>
        <v>-85895.7</v>
      </c>
      <c r="L90" s="1129">
        <f t="shared" si="21"/>
        <v>-85895.7</v>
      </c>
      <c r="M90" s="1129">
        <f t="shared" si="21"/>
        <v>-58350</v>
      </c>
      <c r="N90" s="1327">
        <f t="shared" si="21"/>
        <v>90</v>
      </c>
      <c r="O90" s="1326">
        <f t="shared" si="21"/>
        <v>0</v>
      </c>
      <c r="P90" s="1326">
        <f t="shared" si="21"/>
        <v>0</v>
      </c>
      <c r="Q90" s="1326">
        <f t="shared" si="21"/>
        <v>0</v>
      </c>
      <c r="R90" s="1326">
        <f t="shared" si="21"/>
        <v>0</v>
      </c>
      <c r="T90" s="41"/>
      <c r="AE90" s="1"/>
      <c r="AF90" s="1"/>
      <c r="AG90" s="1"/>
      <c r="AH90" s="1"/>
      <c r="AI90" s="1"/>
      <c r="AJ90" s="1"/>
      <c r="AK90" s="1"/>
      <c r="AM90" s="1"/>
      <c r="AN90" s="1"/>
      <c r="AO90" s="1"/>
      <c r="AP90" s="1"/>
      <c r="AQ90" s="1"/>
      <c r="AR90" s="1"/>
      <c r="AS90" s="1"/>
    </row>
    <row r="91" spans="1:45">
      <c r="A91" s="1449" t="s">
        <v>987</v>
      </c>
      <c r="B91" s="1342">
        <f t="shared" ref="B91:R91" si="22">SUM(B89:B90)</f>
        <v>0</v>
      </c>
      <c r="C91" s="1219">
        <f t="shared" si="22"/>
        <v>0</v>
      </c>
      <c r="D91" s="1219">
        <f t="shared" si="22"/>
        <v>0</v>
      </c>
      <c r="E91" s="1219">
        <f t="shared" si="22"/>
        <v>0</v>
      </c>
      <c r="F91" s="1219">
        <f t="shared" si="22"/>
        <v>0</v>
      </c>
      <c r="G91" s="1342">
        <f t="shared" si="22"/>
        <v>-201025.125</v>
      </c>
      <c r="H91" s="1219">
        <f t="shared" si="22"/>
        <v>-1527050.25</v>
      </c>
      <c r="I91" s="1219">
        <f t="shared" si="22"/>
        <v>-2165575.375</v>
      </c>
      <c r="J91" s="1341">
        <f t="shared" si="22"/>
        <v>-2599100.5</v>
      </c>
      <c r="K91" s="1342">
        <f t="shared" si="22"/>
        <v>-1591497.8039999998</v>
      </c>
      <c r="L91" s="1219">
        <f t="shared" si="22"/>
        <v>-1486174.4039999999</v>
      </c>
      <c r="M91" s="1219">
        <f t="shared" si="22"/>
        <v>-1446305.304</v>
      </c>
      <c r="N91" s="1341">
        <f t="shared" si="22"/>
        <v>-1645541.9039999999</v>
      </c>
      <c r="O91" s="1340">
        <f t="shared" si="22"/>
        <v>-1293617.5919999999</v>
      </c>
      <c r="P91" s="1340">
        <f t="shared" si="22"/>
        <v>-968676.11975999991</v>
      </c>
      <c r="Q91" s="1340">
        <f t="shared" si="22"/>
        <v>-1978886.4033528001</v>
      </c>
      <c r="R91" s="1340">
        <f t="shared" si="22"/>
        <v>-2400000.1</v>
      </c>
      <c r="T91" s="41"/>
      <c r="AE91" s="1"/>
      <c r="AF91" s="1"/>
      <c r="AG91" s="1"/>
      <c r="AH91" s="1"/>
      <c r="AI91" s="1"/>
      <c r="AJ91" s="1"/>
      <c r="AK91" s="1"/>
      <c r="AM91" s="1"/>
      <c r="AN91" s="1"/>
      <c r="AO91" s="1"/>
      <c r="AP91" s="1"/>
      <c r="AQ91" s="1"/>
      <c r="AR91" s="1"/>
      <c r="AS91" s="1"/>
    </row>
    <row r="92" spans="1:45">
      <c r="A92" s="1222"/>
      <c r="B92" s="1328"/>
      <c r="C92" s="1129"/>
      <c r="D92" s="1129"/>
      <c r="E92" s="1129"/>
      <c r="F92" s="1129"/>
      <c r="G92" s="1328"/>
      <c r="H92" s="1129"/>
      <c r="I92" s="1129"/>
      <c r="J92" s="1327"/>
      <c r="K92" s="1328"/>
      <c r="L92" s="1129"/>
      <c r="M92" s="1129"/>
      <c r="N92" s="1327"/>
      <c r="O92" s="1326"/>
      <c r="P92" s="1326"/>
      <c r="Q92" s="1326"/>
      <c r="R92" s="1326"/>
      <c r="T92" s="41"/>
      <c r="AE92" s="1"/>
      <c r="AF92" s="1"/>
      <c r="AG92" s="1"/>
      <c r="AH92" s="1"/>
      <c r="AI92" s="1"/>
      <c r="AJ92" s="1"/>
      <c r="AK92" s="1"/>
      <c r="AM92" s="1"/>
      <c r="AN92" s="1"/>
      <c r="AO92" s="1"/>
      <c r="AP92" s="1"/>
      <c r="AQ92" s="1"/>
      <c r="AR92" s="1"/>
      <c r="AS92" s="1"/>
    </row>
    <row r="93" spans="1:45">
      <c r="A93" s="1211" t="s">
        <v>922</v>
      </c>
      <c r="B93" s="1328"/>
      <c r="C93" s="1129"/>
      <c r="D93" s="1129"/>
      <c r="E93" s="1129"/>
      <c r="F93" s="1129"/>
      <c r="G93" s="1328"/>
      <c r="H93" s="1129"/>
      <c r="I93" s="1129"/>
      <c r="J93" s="1327"/>
      <c r="K93" s="1328"/>
      <c r="L93" s="1129"/>
      <c r="M93" s="1129"/>
      <c r="N93" s="1327"/>
      <c r="O93" s="1326"/>
      <c r="P93" s="1326"/>
      <c r="Q93" s="1326"/>
      <c r="R93" s="1326"/>
      <c r="T93" s="41"/>
      <c r="AE93" s="1"/>
      <c r="AF93" s="1"/>
      <c r="AG93" s="1"/>
      <c r="AH93" s="1"/>
      <c r="AI93" s="1"/>
      <c r="AJ93" s="1"/>
      <c r="AK93" s="1"/>
      <c r="AM93" s="1"/>
      <c r="AN93" s="1"/>
      <c r="AO93" s="1"/>
      <c r="AP93" s="1"/>
      <c r="AQ93" s="1"/>
      <c r="AR93" s="1"/>
      <c r="AS93" s="1"/>
    </row>
    <row r="94" spans="1:45">
      <c r="A94" s="1330" t="s">
        <v>824</v>
      </c>
      <c r="B94" s="1328" t="e">
        <f>+'c12_oc'!#REF!/'c12_inputs'!$C$3</f>
        <v>#REF!</v>
      </c>
      <c r="C94" s="1129" t="e">
        <f>+'c12_oc'!#REF!/'c12_inputs'!$C$3</f>
        <v>#REF!</v>
      </c>
      <c r="D94" s="1129" t="e">
        <f>+'c12_oc'!#REF!/'c12_inputs'!$C$3</f>
        <v>#REF!</v>
      </c>
      <c r="E94" s="1129" t="e">
        <f>+'c12_oc'!#REF!/'c12_inputs'!$C$3</f>
        <v>#REF!</v>
      </c>
      <c r="F94" s="1129">
        <f>+'c12_oc'!B$29/'c12_inputs'!$C$3</f>
        <v>0</v>
      </c>
      <c r="G94" s="1328">
        <f>+'c12_oc'!C$29/'c12_inputs'!$C$3</f>
        <v>-15828.333333333334</v>
      </c>
      <c r="H94" s="1129">
        <f>+'c12_oc'!D$29/'c12_inputs'!$C$3</f>
        <v>-15828.333333333334</v>
      </c>
      <c r="I94" s="1129">
        <f>+'c12_oc'!E$29/'c12_inputs'!$C$3</f>
        <v>-15828.333333333334</v>
      </c>
      <c r="J94" s="1327">
        <f>+'c12_oc'!F$29/'c12_inputs'!$C$3</f>
        <v>-15828.333333333334</v>
      </c>
      <c r="K94" s="1328">
        <f>+'c12_oc'!G$29/'c12_inputs'!$C$3</f>
        <v>-45000</v>
      </c>
      <c r="L94" s="1129">
        <f>+'c12_oc'!H$29/'c12_inputs'!$C$3</f>
        <v>-45000</v>
      </c>
      <c r="M94" s="1129">
        <f>+'c12_oc'!I$29/'c12_inputs'!$C$3</f>
        <v>-45000</v>
      </c>
      <c r="N94" s="1327">
        <f>+'c12_oc'!J$29/'c12_inputs'!$C$3</f>
        <v>-45000</v>
      </c>
      <c r="O94" s="1326">
        <f>+'c12_oc'!K$29/'c12_inputs'!$C$3</f>
        <v>-180000</v>
      </c>
      <c r="P94" s="1326">
        <f>+'c12_oc'!L$29/'c12_inputs'!$C$3</f>
        <v>-180000</v>
      </c>
      <c r="Q94" s="1326">
        <f>+'c12_oc'!M$29/'c12_inputs'!$C$3</f>
        <v>-180000</v>
      </c>
      <c r="R94" s="1326">
        <f>+'c12_oc'!N$29/'c12_inputs'!$C$3</f>
        <v>-100000</v>
      </c>
      <c r="S94" s="29"/>
      <c r="T94" s="41"/>
      <c r="AE94" s="1"/>
      <c r="AF94" s="1"/>
      <c r="AG94" s="1"/>
      <c r="AH94" s="1"/>
      <c r="AI94" s="1"/>
      <c r="AJ94" s="1"/>
      <c r="AK94" s="1"/>
      <c r="AM94" s="1"/>
      <c r="AN94" s="1"/>
      <c r="AO94" s="1"/>
      <c r="AP94" s="1"/>
      <c r="AQ94" s="1"/>
      <c r="AR94" s="1"/>
      <c r="AS94" s="1"/>
    </row>
    <row r="95" spans="1:45">
      <c r="A95" s="1146" t="s">
        <v>988</v>
      </c>
      <c r="B95" s="1328">
        <f t="shared" ref="B95:R95" si="23">-B156</f>
        <v>0</v>
      </c>
      <c r="C95" s="1129">
        <f t="shared" si="23"/>
        <v>0</v>
      </c>
      <c r="D95" s="1129">
        <f t="shared" si="23"/>
        <v>0</v>
      </c>
      <c r="E95" s="1129">
        <f t="shared" si="23"/>
        <v>0</v>
      </c>
      <c r="F95" s="1261">
        <f t="shared" si="23"/>
        <v>0</v>
      </c>
      <c r="G95" s="1328">
        <f t="shared" si="23"/>
        <v>-429119.99999999994</v>
      </c>
      <c r="H95" s="1129">
        <f t="shared" si="23"/>
        <v>-429119.99999999994</v>
      </c>
      <c r="I95" s="1129">
        <f t="shared" si="23"/>
        <v>-429119.99999999994</v>
      </c>
      <c r="J95" s="1327">
        <f t="shared" si="23"/>
        <v>-1583449</v>
      </c>
      <c r="K95" s="1328">
        <f t="shared" si="23"/>
        <v>-610559.99999999988</v>
      </c>
      <c r="L95" s="1129">
        <f t="shared" si="23"/>
        <v>-610559.99999999988</v>
      </c>
      <c r="M95" s="1129">
        <f t="shared" si="23"/>
        <v>-610559.99999999988</v>
      </c>
      <c r="N95" s="1327">
        <f t="shared" si="23"/>
        <v>-1458384</v>
      </c>
      <c r="O95" s="1326">
        <f t="shared" si="23"/>
        <v>-3290064</v>
      </c>
      <c r="P95" s="1326">
        <f t="shared" si="23"/>
        <v>-3290064</v>
      </c>
      <c r="Q95" s="1326">
        <f t="shared" si="23"/>
        <v>-2290065</v>
      </c>
      <c r="R95" s="1326">
        <f t="shared" si="23"/>
        <v>-2290065</v>
      </c>
      <c r="T95" s="41"/>
      <c r="AE95" s="1"/>
      <c r="AF95" s="1"/>
      <c r="AG95" s="1"/>
      <c r="AH95" s="1"/>
      <c r="AI95" s="1"/>
      <c r="AJ95" s="1"/>
      <c r="AK95" s="1"/>
      <c r="AM95" s="1"/>
      <c r="AN95" s="1"/>
      <c r="AO95" s="1"/>
      <c r="AP95" s="1"/>
      <c r="AQ95" s="1"/>
      <c r="AR95" s="1"/>
      <c r="AS95" s="1"/>
    </row>
    <row r="96" spans="1:45">
      <c r="A96" s="1330" t="s">
        <v>826</v>
      </c>
      <c r="B96" s="1332" t="e">
        <f>+'c12_oc'!#REF!/'c12_inputs'!$C$3</f>
        <v>#REF!</v>
      </c>
      <c r="C96" s="30" t="e">
        <f>+'c12_oc'!#REF!/'c12_inputs'!$C$3</f>
        <v>#REF!</v>
      </c>
      <c r="D96" s="30" t="e">
        <f>+'c12_oc'!#REF!/'c12_inputs'!$C$3</f>
        <v>#REF!</v>
      </c>
      <c r="E96" s="30" t="e">
        <f>+'c12_oc'!#REF!/'c12_inputs'!$C$3</f>
        <v>#REF!</v>
      </c>
      <c r="F96" s="30">
        <f>+'c12_oc'!B$33/'c12_inputs'!$C$3</f>
        <v>0</v>
      </c>
      <c r="G96" s="1332">
        <f>+'c12_oc'!C$33/'c12_inputs'!$C$3</f>
        <v>0</v>
      </c>
      <c r="H96" s="30">
        <f>+'c12_oc'!D$33/'c12_inputs'!$C$3</f>
        <v>0</v>
      </c>
      <c r="I96" s="30">
        <f>+'c12_oc'!E$33/'c12_inputs'!$C$3</f>
        <v>0</v>
      </c>
      <c r="J96" s="1331">
        <f>+'c12_oc'!F$33/'c12_inputs'!$C$3</f>
        <v>-63999.999999999993</v>
      </c>
      <c r="K96" s="1332">
        <f>+'c12_oc'!G$33/'c12_inputs'!$C$3</f>
        <v>-105789.12</v>
      </c>
      <c r="L96" s="30">
        <f>+'c12_oc'!H$33/'c12_inputs'!$C$3</f>
        <v>-105789.12</v>
      </c>
      <c r="M96" s="30">
        <f>+'c12_oc'!I$33/'c12_inputs'!$C$3</f>
        <v>-105789.12</v>
      </c>
      <c r="N96" s="1331">
        <f>+'c12_oc'!J$33/'c12_inputs'!$C$3</f>
        <v>-107503.46999999999</v>
      </c>
      <c r="O96" s="153">
        <f>+'c12_oc'!K$33/'c12_inputs'!$C$3</f>
        <v>-470408.12000000005</v>
      </c>
      <c r="P96" s="153">
        <f>+'c12_oc'!L$33/'c12_inputs'!$C$3</f>
        <v>-470408.12000000005</v>
      </c>
      <c r="Q96" s="153">
        <f>+'c12_oc'!M$33/'c12_inputs'!$C$3</f>
        <v>-470408.12000000005</v>
      </c>
      <c r="R96" s="153">
        <f>+'c12_oc'!N$33/'c12_inputs'!$C$3</f>
        <v>-470408.12000000005</v>
      </c>
      <c r="T96" s="41"/>
      <c r="AE96" s="1"/>
      <c r="AF96" s="1"/>
      <c r="AG96" s="1"/>
      <c r="AH96" s="1"/>
      <c r="AI96" s="1"/>
      <c r="AJ96" s="1"/>
      <c r="AK96" s="1"/>
      <c r="AL96" s="2"/>
      <c r="AM96" s="1"/>
      <c r="AN96" s="1"/>
      <c r="AO96" s="1"/>
      <c r="AP96" s="1"/>
      <c r="AQ96" s="1"/>
      <c r="AR96" s="1"/>
      <c r="AS96" s="1"/>
    </row>
    <row r="97" spans="1:20">
      <c r="A97" s="1333" t="s">
        <v>145</v>
      </c>
      <c r="B97" s="1332" t="e">
        <f>+'c12_oc'!#REF!/'c12_inputs'!$C$3</f>
        <v>#REF!</v>
      </c>
      <c r="C97" s="30" t="e">
        <f>+'c12_oc'!#REF!/'c12_inputs'!$C$3</f>
        <v>#REF!</v>
      </c>
      <c r="D97" s="30" t="e">
        <f>+'c12_oc'!#REF!/'c12_inputs'!$C$3</f>
        <v>#REF!</v>
      </c>
      <c r="E97" s="30" t="e">
        <f>+'c12_oc'!#REF!/'c12_inputs'!$C$3</f>
        <v>#REF!</v>
      </c>
      <c r="F97" s="30">
        <f>+'c12_oc'!B$30/'c12_inputs'!$C$3</f>
        <v>-160000</v>
      </c>
      <c r="G97" s="1332">
        <f>+'c12_oc'!C$30/'c12_inputs'!$C$3</f>
        <v>-37517.666666666664</v>
      </c>
      <c r="H97" s="30">
        <f>+'c12_oc'!D$30/'c12_inputs'!$C$3</f>
        <v>-62235</v>
      </c>
      <c r="I97" s="30">
        <f>+'c12_oc'!E$30/'c12_inputs'!$C$3</f>
        <v>-49566.333333333336</v>
      </c>
      <c r="J97" s="1331">
        <f>+'c12_oc'!F$30/'c12_inputs'!$C$3</f>
        <v>-83143.666666666672</v>
      </c>
      <c r="K97" s="1332">
        <f>+'c12_oc'!G$30/'c12_inputs'!$C$3</f>
        <v>-58115.666666666664</v>
      </c>
      <c r="L97" s="30">
        <f>+'c12_oc'!H$30/'c12_inputs'!$C$3</f>
        <v>-58115.666666666664</v>
      </c>
      <c r="M97" s="30">
        <f>+'c12_oc'!I$30/'c12_inputs'!$C$3</f>
        <v>-58115.666666666664</v>
      </c>
      <c r="N97" s="1331">
        <f>+'c12_oc'!J$30/'c12_inputs'!$C$3</f>
        <v>-58115.666666666664</v>
      </c>
      <c r="O97" s="153">
        <f>+'c12_oc'!K$30/'c12_inputs'!$C$3</f>
        <v>-232462.66666666666</v>
      </c>
      <c r="P97" s="153">
        <f>+'c12_oc'!L$30/'c12_inputs'!$C$3</f>
        <v>-232462.66666666666</v>
      </c>
      <c r="Q97" s="153">
        <f>+'c12_oc'!M$30/'c12_inputs'!$C$3</f>
        <v>-232462.66666666666</v>
      </c>
      <c r="R97" s="153">
        <f>+'c12_oc'!N$30/'c12_inputs'!$C$3</f>
        <v>-232462.66666666666</v>
      </c>
      <c r="T97" s="41"/>
    </row>
    <row r="98" spans="1:20">
      <c r="A98" s="1330" t="s">
        <v>146</v>
      </c>
      <c r="B98" s="1332" t="e">
        <f>+'c12_oc'!#REF!/'c12_inputs'!$C$3</f>
        <v>#REF!</v>
      </c>
      <c r="C98" s="30" t="e">
        <f>+'c12_oc'!#REF!/'c12_inputs'!$C$3</f>
        <v>#REF!</v>
      </c>
      <c r="D98" s="30" t="e">
        <f>+'c12_oc'!#REF!/'c12_inputs'!$C$3</f>
        <v>#REF!</v>
      </c>
      <c r="E98" s="30" t="e">
        <f>+'c12_oc'!#REF!/'c12_inputs'!$C$3</f>
        <v>#REF!</v>
      </c>
      <c r="F98" s="30">
        <f>+'c12_oc'!B$31/'c12_inputs'!$C$3</f>
        <v>0</v>
      </c>
      <c r="G98" s="1332">
        <f>+'c12_oc'!C$31/'c12_inputs'!$C$3</f>
        <v>0</v>
      </c>
      <c r="H98" s="30">
        <f>+'c12_oc'!D$31/'c12_inputs'!$C$3</f>
        <v>0</v>
      </c>
      <c r="I98" s="30">
        <f>+'c12_oc'!E$31/'c12_inputs'!$C$3</f>
        <v>0</v>
      </c>
      <c r="J98" s="1331">
        <f>+'c12_oc'!F$31/'c12_inputs'!$C$3</f>
        <v>0</v>
      </c>
      <c r="K98" s="1332">
        <f>+'c12_oc'!G$31/'c12_inputs'!$C$3</f>
        <v>0</v>
      </c>
      <c r="L98" s="30">
        <f>+'c12_oc'!H$31/'c12_inputs'!$C$3</f>
        <v>-33333.333333333336</v>
      </c>
      <c r="M98" s="30">
        <f>+'c12_oc'!I$31/'c12_inputs'!$C$3</f>
        <v>-33333.333333333336</v>
      </c>
      <c r="N98" s="1331">
        <f>+'c12_oc'!J$31/'c12_inputs'!$C$3</f>
        <v>0</v>
      </c>
      <c r="O98" s="153">
        <f>+'c12_oc'!K$31/'c12_inputs'!$C$3</f>
        <v>0</v>
      </c>
      <c r="P98" s="153">
        <f>+'c12_oc'!L$31/'c12_inputs'!$C$3</f>
        <v>0</v>
      </c>
      <c r="Q98" s="153">
        <f>+'c12_oc'!M$31/'c12_inputs'!$C$3</f>
        <v>0</v>
      </c>
      <c r="R98" s="153">
        <f>+'c12_oc'!N$31/'c12_inputs'!$C$3</f>
        <v>0</v>
      </c>
      <c r="T98" s="41"/>
    </row>
    <row r="99" spans="1:20">
      <c r="A99" s="1330" t="s">
        <v>827</v>
      </c>
      <c r="B99" s="1329" t="e">
        <f>+'c12_oc'!#REF!/'c12_inputs'!$C$3</f>
        <v>#REF!</v>
      </c>
      <c r="C99" s="30" t="e">
        <f>+'c12_oc'!#REF!/'c12_inputs'!$C$3</f>
        <v>#REF!</v>
      </c>
      <c r="D99" s="30" t="e">
        <f>+'c12_oc'!#REF!/'c12_inputs'!$C$3</f>
        <v>#REF!</v>
      </c>
      <c r="E99" s="30" t="e">
        <f>+'c12_oc'!#REF!/'c12_inputs'!$C$3</f>
        <v>#REF!</v>
      </c>
      <c r="F99" s="30">
        <f>+'c12_oc'!B$34/'c12_inputs'!$C$3</f>
        <v>0</v>
      </c>
      <c r="G99" s="1328">
        <f>+'c12_oc'!C$34/'c12_inputs'!$C$3</f>
        <v>0</v>
      </c>
      <c r="H99" s="1129">
        <f>+'c12_oc'!D$34/'c12_inputs'!$C$3</f>
        <v>0</v>
      </c>
      <c r="I99" s="1129">
        <f>+'c12_oc'!E$34/'c12_inputs'!$C$3</f>
        <v>-15000</v>
      </c>
      <c r="J99" s="1327">
        <f>+'c12_oc'!F$34/'c12_inputs'!$C$3</f>
        <v>-199909.33333333334</v>
      </c>
      <c r="K99" s="1328">
        <f>+'c12_oc'!G$34/'c12_inputs'!$C$3</f>
        <v>-540000</v>
      </c>
      <c r="L99" s="1129">
        <f>+'c12_oc'!H$34/'c12_inputs'!$C$3</f>
        <v>-700000</v>
      </c>
      <c r="M99" s="1129">
        <f>+'c12_oc'!I$34/'c12_inputs'!$C$3</f>
        <v>-100000</v>
      </c>
      <c r="N99" s="1327">
        <f>+'c12_oc'!J$34/'c12_inputs'!$C$3</f>
        <v>-100000</v>
      </c>
      <c r="O99" s="1326">
        <f>+'c12_oc'!K$34/'c12_inputs'!$C$3</f>
        <v>0</v>
      </c>
      <c r="P99" s="1326">
        <f>+'c12_oc'!L$34/'c12_inputs'!$C$3</f>
        <v>0</v>
      </c>
      <c r="Q99" s="1326">
        <f>+'c12_oc'!M$34/'c12_inputs'!$C$3</f>
        <v>0</v>
      </c>
      <c r="R99" s="1326">
        <f>+'c12_oc'!N$34/'c12_inputs'!$C$3</f>
        <v>0</v>
      </c>
      <c r="S99" s="29"/>
      <c r="T99" s="41"/>
    </row>
    <row r="100" spans="1:20">
      <c r="A100" s="1204" t="s">
        <v>311</v>
      </c>
      <c r="B100" s="1202" t="e">
        <f t="shared" ref="B100:R100" si="24">SUM(B94:B99)</f>
        <v>#REF!</v>
      </c>
      <c r="C100" s="1202" t="e">
        <f t="shared" si="24"/>
        <v>#REF!</v>
      </c>
      <c r="D100" s="1202" t="e">
        <f t="shared" si="24"/>
        <v>#REF!</v>
      </c>
      <c r="E100" s="1202" t="e">
        <f t="shared" si="24"/>
        <v>#REF!</v>
      </c>
      <c r="F100" s="1202">
        <f t="shared" si="24"/>
        <v>-160000</v>
      </c>
      <c r="G100" s="1254">
        <f t="shared" si="24"/>
        <v>-482465.99999999994</v>
      </c>
      <c r="H100" s="1202">
        <f t="shared" si="24"/>
        <v>-507183.33333333326</v>
      </c>
      <c r="I100" s="1202">
        <f t="shared" si="24"/>
        <v>-509514.66666666657</v>
      </c>
      <c r="J100" s="1253">
        <f t="shared" si="24"/>
        <v>-1946330.3333333333</v>
      </c>
      <c r="K100" s="1254">
        <f t="shared" si="24"/>
        <v>-1359464.7866666666</v>
      </c>
      <c r="L100" s="1202">
        <f t="shared" si="24"/>
        <v>-1552798.1199999999</v>
      </c>
      <c r="M100" s="1202">
        <f t="shared" si="24"/>
        <v>-952798.11999999988</v>
      </c>
      <c r="N100" s="1253">
        <f t="shared" si="24"/>
        <v>-1769003.1366666667</v>
      </c>
      <c r="O100" s="1252">
        <f t="shared" si="24"/>
        <v>-4172934.7866666666</v>
      </c>
      <c r="P100" s="1252">
        <f t="shared" si="24"/>
        <v>-4172934.7866666666</v>
      </c>
      <c r="Q100" s="1252">
        <f t="shared" si="24"/>
        <v>-3172935.7866666666</v>
      </c>
      <c r="R100" s="1252">
        <f t="shared" si="24"/>
        <v>-3092935.7866666666</v>
      </c>
      <c r="T100" s="41"/>
    </row>
    <row r="101" spans="1:20">
      <c r="A101" s="1248"/>
      <c r="B101" s="1199"/>
      <c r="C101" s="1199"/>
      <c r="D101" s="1199"/>
      <c r="E101" s="1199"/>
      <c r="F101" s="1199"/>
      <c r="G101" s="1325"/>
      <c r="H101" s="1199"/>
      <c r="I101" s="1199"/>
      <c r="J101" s="1324"/>
      <c r="K101" s="1325"/>
      <c r="L101" s="1199"/>
      <c r="M101" s="1199"/>
      <c r="N101" s="1324"/>
      <c r="O101" s="1323"/>
      <c r="P101" s="1323"/>
      <c r="Q101" s="1323"/>
      <c r="R101" s="1323"/>
      <c r="T101" s="41"/>
    </row>
    <row r="102" spans="1:20">
      <c r="A102" s="1196" t="str">
        <f ca="1">A1&amp;" Profit"</f>
        <v>c12_d&amp;s Profit</v>
      </c>
      <c r="B102" s="1194" t="e">
        <f t="shared" ref="B102:R102" si="25">+B76+B107-B100</f>
        <v>#REF!</v>
      </c>
      <c r="C102" s="1194" t="e">
        <f t="shared" si="25"/>
        <v>#REF!</v>
      </c>
      <c r="D102" s="1194" t="e">
        <f t="shared" si="25"/>
        <v>#REF!</v>
      </c>
      <c r="E102" s="1194" t="e">
        <f t="shared" si="25"/>
        <v>#REF!</v>
      </c>
      <c r="F102" s="1194">
        <f t="shared" si="25"/>
        <v>1480300</v>
      </c>
      <c r="G102" s="1322">
        <f t="shared" si="25"/>
        <v>68132.5</v>
      </c>
      <c r="H102" s="1194">
        <f t="shared" si="25"/>
        <v>68132.5</v>
      </c>
      <c r="I102" s="1194">
        <f t="shared" si="25"/>
        <v>328132.5</v>
      </c>
      <c r="J102" s="1321">
        <f t="shared" si="25"/>
        <v>528732.5</v>
      </c>
      <c r="K102" s="1322">
        <f t="shared" si="25"/>
        <v>452594.29599999997</v>
      </c>
      <c r="L102" s="1194">
        <f t="shared" si="25"/>
        <v>677912.5</v>
      </c>
      <c r="M102" s="1194">
        <f t="shared" si="25"/>
        <v>597458.19999999995</v>
      </c>
      <c r="N102" s="1321">
        <f t="shared" si="25"/>
        <v>1738352.4999999998</v>
      </c>
      <c r="O102" s="1320">
        <f t="shared" si="25"/>
        <v>3147816.9039999996</v>
      </c>
      <c r="P102" s="1320">
        <f t="shared" si="25"/>
        <v>2098080.0919999997</v>
      </c>
      <c r="Q102" s="1320">
        <f t="shared" si="25"/>
        <v>1329138.6197599997</v>
      </c>
      <c r="R102" s="1320">
        <f t="shared" si="25"/>
        <v>1503139.2988061837</v>
      </c>
      <c r="T102" s="41"/>
    </row>
    <row r="103" spans="1:20">
      <c r="A103" s="40"/>
      <c r="G103" s="1319"/>
      <c r="J103" s="1318"/>
      <c r="K103" s="1319"/>
      <c r="N103" s="1318"/>
      <c r="O103" s="14"/>
      <c r="P103" s="14"/>
      <c r="Q103" s="14"/>
      <c r="R103" s="14"/>
      <c r="T103" s="41"/>
    </row>
    <row r="104" spans="1:20">
      <c r="A104" s="40" t="s">
        <v>925</v>
      </c>
      <c r="B104" s="31">
        <f t="shared" ref="B104:R104" si="26">+B70</f>
        <v>0</v>
      </c>
      <c r="C104" s="31">
        <f t="shared" si="26"/>
        <v>0</v>
      </c>
      <c r="D104" s="31">
        <f t="shared" si="26"/>
        <v>1500000</v>
      </c>
      <c r="E104" s="31">
        <f t="shared" si="26"/>
        <v>0</v>
      </c>
      <c r="F104" s="31">
        <f t="shared" si="26"/>
        <v>1480300</v>
      </c>
      <c r="G104" s="1317">
        <f t="shared" si="26"/>
        <v>79187.75</v>
      </c>
      <c r="H104" s="31">
        <f t="shared" si="26"/>
        <v>79187.75</v>
      </c>
      <c r="I104" s="31">
        <f t="shared" si="26"/>
        <v>599187.75</v>
      </c>
      <c r="J104" s="1316">
        <f t="shared" si="26"/>
        <v>949987.75</v>
      </c>
      <c r="K104" s="1317">
        <f t="shared" si="26"/>
        <v>1508647.6533333333</v>
      </c>
      <c r="L104" s="31">
        <f t="shared" si="26"/>
        <v>2259708.333333333</v>
      </c>
      <c r="M104" s="31">
        <f t="shared" si="26"/>
        <v>1991527.3333333333</v>
      </c>
      <c r="N104" s="1316">
        <f t="shared" si="26"/>
        <v>5794508.333333333</v>
      </c>
      <c r="O104" s="1315">
        <f t="shared" si="26"/>
        <v>10492723.013333332</v>
      </c>
      <c r="P104" s="1315">
        <f t="shared" si="26"/>
        <v>6993600.3066666666</v>
      </c>
      <c r="Q104" s="1315">
        <f t="shared" si="26"/>
        <v>4430462.0658666659</v>
      </c>
      <c r="R104" s="1315">
        <f t="shared" si="26"/>
        <v>5010464.3293539463</v>
      </c>
      <c r="T104" s="41"/>
    </row>
    <row r="105" spans="1:20">
      <c r="A105" s="40" t="s">
        <v>926</v>
      </c>
      <c r="B105" s="31">
        <f t="shared" ref="B105:R105" si="27">-B76</f>
        <v>0</v>
      </c>
      <c r="C105" s="31">
        <f t="shared" si="27"/>
        <v>0</v>
      </c>
      <c r="D105" s="31">
        <f t="shared" si="27"/>
        <v>-1500000</v>
      </c>
      <c r="E105" s="31">
        <f t="shared" si="27"/>
        <v>0</v>
      </c>
      <c r="F105" s="31">
        <f t="shared" si="27"/>
        <v>-1480300</v>
      </c>
      <c r="G105" s="1317">
        <f t="shared" si="27"/>
        <v>-68132.5</v>
      </c>
      <c r="H105" s="31">
        <f t="shared" si="27"/>
        <v>-68132.5</v>
      </c>
      <c r="I105" s="31">
        <f t="shared" si="27"/>
        <v>-328132.5</v>
      </c>
      <c r="J105" s="1316">
        <f t="shared" si="27"/>
        <v>-528732.5</v>
      </c>
      <c r="K105" s="1317">
        <f t="shared" si="27"/>
        <v>-452594.29599999997</v>
      </c>
      <c r="L105" s="31">
        <f t="shared" si="27"/>
        <v>-677912.5</v>
      </c>
      <c r="M105" s="31">
        <f t="shared" si="27"/>
        <v>-597458.19999999995</v>
      </c>
      <c r="N105" s="1316">
        <f t="shared" si="27"/>
        <v>-1738352.4999999998</v>
      </c>
      <c r="O105" s="1315">
        <f t="shared" si="27"/>
        <v>-3147816.9039999996</v>
      </c>
      <c r="P105" s="1315">
        <f t="shared" si="27"/>
        <v>-2098080.0919999997</v>
      </c>
      <c r="Q105" s="1315">
        <f t="shared" si="27"/>
        <v>-1329138.6197599997</v>
      </c>
      <c r="R105" s="1315">
        <f t="shared" si="27"/>
        <v>-1503139.2988061837</v>
      </c>
      <c r="T105" s="41"/>
    </row>
    <row r="106" spans="1:20">
      <c r="A106" s="40" t="s">
        <v>989</v>
      </c>
      <c r="B106" s="31">
        <f t="shared" ref="B106:R106" si="28">-B87+B86</f>
        <v>185000</v>
      </c>
      <c r="C106" s="31">
        <f t="shared" si="28"/>
        <v>1</v>
      </c>
      <c r="D106" s="31">
        <f t="shared" si="28"/>
        <v>0</v>
      </c>
      <c r="E106" s="31">
        <f t="shared" si="28"/>
        <v>0</v>
      </c>
      <c r="F106" s="31">
        <f t="shared" si="28"/>
        <v>0</v>
      </c>
      <c r="G106" s="1317">
        <f t="shared" si="28"/>
        <v>46250</v>
      </c>
      <c r="H106" s="31">
        <f t="shared" si="28"/>
        <v>46250</v>
      </c>
      <c r="I106" s="31">
        <f t="shared" si="28"/>
        <v>46250</v>
      </c>
      <c r="J106" s="1316">
        <f t="shared" si="28"/>
        <v>46250</v>
      </c>
      <c r="K106" s="1317">
        <f t="shared" si="28"/>
        <v>46250</v>
      </c>
      <c r="L106" s="31">
        <f t="shared" si="28"/>
        <v>46250</v>
      </c>
      <c r="M106" s="31">
        <f t="shared" si="28"/>
        <v>46250</v>
      </c>
      <c r="N106" s="1316">
        <f t="shared" si="28"/>
        <v>46250</v>
      </c>
      <c r="O106" s="1315">
        <f t="shared" si="28"/>
        <v>185000</v>
      </c>
      <c r="P106" s="1315">
        <f t="shared" si="28"/>
        <v>185000</v>
      </c>
      <c r="Q106" s="1315">
        <f t="shared" si="28"/>
        <v>185000</v>
      </c>
      <c r="R106" s="1315">
        <f t="shared" si="28"/>
        <v>185000</v>
      </c>
      <c r="T106" s="41"/>
    </row>
    <row r="107" spans="1:20">
      <c r="A107" s="1186" t="s">
        <v>990</v>
      </c>
      <c r="B107" s="1198" t="e">
        <f t="shared" ref="B107:R107" si="29">+B100</f>
        <v>#REF!</v>
      </c>
      <c r="C107" s="1198" t="e">
        <f t="shared" si="29"/>
        <v>#REF!</v>
      </c>
      <c r="D107" s="1198" t="e">
        <f t="shared" si="29"/>
        <v>#REF!</v>
      </c>
      <c r="E107" s="1198" t="e">
        <f t="shared" si="29"/>
        <v>#REF!</v>
      </c>
      <c r="F107" s="1198">
        <f t="shared" si="29"/>
        <v>-160000</v>
      </c>
      <c r="G107" s="1314">
        <f t="shared" si="29"/>
        <v>-482465.99999999994</v>
      </c>
      <c r="H107" s="1198">
        <f t="shared" si="29"/>
        <v>-507183.33333333326</v>
      </c>
      <c r="I107" s="1198">
        <f t="shared" si="29"/>
        <v>-509514.66666666657</v>
      </c>
      <c r="J107" s="1313">
        <f t="shared" si="29"/>
        <v>-1946330.3333333333</v>
      </c>
      <c r="K107" s="1314">
        <f t="shared" si="29"/>
        <v>-1359464.7866666666</v>
      </c>
      <c r="L107" s="1198">
        <f t="shared" si="29"/>
        <v>-1552798.1199999999</v>
      </c>
      <c r="M107" s="1198">
        <f t="shared" si="29"/>
        <v>-952798.11999999988</v>
      </c>
      <c r="N107" s="1313">
        <f t="shared" si="29"/>
        <v>-1769003.1366666667</v>
      </c>
      <c r="O107" s="1312">
        <f t="shared" si="29"/>
        <v>-4172934.7866666666</v>
      </c>
      <c r="P107" s="1312">
        <f t="shared" si="29"/>
        <v>-4172934.7866666666</v>
      </c>
      <c r="Q107" s="1312">
        <f t="shared" si="29"/>
        <v>-3172935.7866666666</v>
      </c>
      <c r="R107" s="1312">
        <f t="shared" si="29"/>
        <v>-3092935.7866666666</v>
      </c>
      <c r="T107" s="41"/>
    </row>
    <row r="108" spans="1:20" ht="14.7" customHeight="1" thickBot="1">
      <c r="A108" s="1181" t="str">
        <f ca="1">+"Total LGH "&amp;A1&amp;" Profit/(Loss)"</f>
        <v>Total LGH c12_d&amp;s Profit/(Loss)</v>
      </c>
      <c r="B108" s="1179" t="e">
        <f t="shared" ref="B108:R108" si="30">+B104+B105+B107</f>
        <v>#REF!</v>
      </c>
      <c r="C108" s="1179" t="e">
        <f t="shared" si="30"/>
        <v>#REF!</v>
      </c>
      <c r="D108" s="1179" t="e">
        <f t="shared" si="30"/>
        <v>#REF!</v>
      </c>
      <c r="E108" s="1179" t="e">
        <f t="shared" si="30"/>
        <v>#REF!</v>
      </c>
      <c r="F108" s="1179">
        <f t="shared" si="30"/>
        <v>-160000</v>
      </c>
      <c r="G108" s="1311">
        <f t="shared" si="30"/>
        <v>-471410.74999999994</v>
      </c>
      <c r="H108" s="1179">
        <f t="shared" si="30"/>
        <v>-496128.08333333326</v>
      </c>
      <c r="I108" s="1179">
        <f t="shared" si="30"/>
        <v>-238459.41666666657</v>
      </c>
      <c r="J108" s="1310">
        <f t="shared" si="30"/>
        <v>-1525075.0833333333</v>
      </c>
      <c r="K108" s="1311">
        <f t="shared" si="30"/>
        <v>-303411.42933333339</v>
      </c>
      <c r="L108" s="1179">
        <f t="shared" si="30"/>
        <v>28997.713333333144</v>
      </c>
      <c r="M108" s="1179">
        <f t="shared" si="30"/>
        <v>441271.01333333342</v>
      </c>
      <c r="N108" s="1310">
        <f t="shared" si="30"/>
        <v>2287152.6966666663</v>
      </c>
      <c r="O108" s="1309">
        <f t="shared" si="30"/>
        <v>3171971.322666666</v>
      </c>
      <c r="P108" s="1309">
        <f t="shared" si="30"/>
        <v>722585.42799999984</v>
      </c>
      <c r="Q108" s="1309">
        <f t="shared" si="30"/>
        <v>-71612.34056000039</v>
      </c>
      <c r="R108" s="1309">
        <f t="shared" si="30"/>
        <v>414389.24388109567</v>
      </c>
      <c r="T108" s="41"/>
    </row>
    <row r="109" spans="1:20"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1"/>
      <c r="P109" s="1"/>
      <c r="Q109" s="1"/>
      <c r="R109" s="1"/>
      <c r="T109" s="41"/>
    </row>
    <row r="110" spans="1:20">
      <c r="A110" s="1170" t="s">
        <v>157</v>
      </c>
      <c r="B110" s="1129">
        <f t="shared" ref="B110:R110" si="31">+B28+B65</f>
        <v>0</v>
      </c>
      <c r="C110" s="1129">
        <f t="shared" si="31"/>
        <v>0</v>
      </c>
      <c r="D110" s="1129">
        <f t="shared" si="31"/>
        <v>0</v>
      </c>
      <c r="E110" s="1129">
        <f t="shared" si="31"/>
        <v>0</v>
      </c>
      <c r="F110" s="1129">
        <f t="shared" si="31"/>
        <v>0</v>
      </c>
      <c r="G110" s="1129">
        <f t="shared" si="31"/>
        <v>-302954.75</v>
      </c>
      <c r="H110" s="1129">
        <f t="shared" si="31"/>
        <v>-2855909.5</v>
      </c>
      <c r="I110" s="1129">
        <f t="shared" si="31"/>
        <v>-4033864.25</v>
      </c>
      <c r="J110" s="1129">
        <f t="shared" si="31"/>
        <v>-4801819</v>
      </c>
      <c r="K110" s="1129">
        <f t="shared" si="31"/>
        <v>-4957879.68</v>
      </c>
      <c r="L110" s="1129">
        <f t="shared" si="31"/>
        <v>-4470379.68</v>
      </c>
      <c r="M110" s="1129">
        <f t="shared" si="31"/>
        <v>-4201060.68</v>
      </c>
      <c r="N110" s="1129">
        <f t="shared" si="31"/>
        <v>-4928760.68</v>
      </c>
      <c r="O110" s="1129">
        <f t="shared" si="31"/>
        <v>-3750000</v>
      </c>
      <c r="P110" s="1129">
        <f t="shared" si="31"/>
        <v>-2650000</v>
      </c>
      <c r="Q110" s="1129">
        <f t="shared" si="31"/>
        <v>-6000000</v>
      </c>
      <c r="R110" s="1129">
        <f t="shared" si="31"/>
        <v>-8000000.333333334</v>
      </c>
      <c r="T110" s="41"/>
    </row>
    <row r="111" spans="1:20">
      <c r="A111" s="1170" t="s">
        <v>158</v>
      </c>
      <c r="B111" s="1129">
        <f t="shared" ref="B111:R111" si="32">+B91</f>
        <v>0</v>
      </c>
      <c r="C111" s="1129">
        <f t="shared" si="32"/>
        <v>0</v>
      </c>
      <c r="D111" s="1129">
        <f t="shared" si="32"/>
        <v>0</v>
      </c>
      <c r="E111" s="1129">
        <f t="shared" si="32"/>
        <v>0</v>
      </c>
      <c r="F111" s="1129">
        <f t="shared" si="32"/>
        <v>0</v>
      </c>
      <c r="G111" s="1129">
        <f t="shared" si="32"/>
        <v>-201025.125</v>
      </c>
      <c r="H111" s="1129">
        <f t="shared" si="32"/>
        <v>-1527050.25</v>
      </c>
      <c r="I111" s="1129">
        <f t="shared" si="32"/>
        <v>-2165575.375</v>
      </c>
      <c r="J111" s="1129">
        <f t="shared" si="32"/>
        <v>-2599100.5</v>
      </c>
      <c r="K111" s="1129">
        <f t="shared" si="32"/>
        <v>-1591497.8039999998</v>
      </c>
      <c r="L111" s="1129">
        <f t="shared" si="32"/>
        <v>-1486174.4039999999</v>
      </c>
      <c r="M111" s="1129">
        <f t="shared" si="32"/>
        <v>-1446305.304</v>
      </c>
      <c r="N111" s="1129">
        <f t="shared" si="32"/>
        <v>-1645541.9039999999</v>
      </c>
      <c r="O111" s="1129">
        <f t="shared" si="32"/>
        <v>-1293617.5919999999</v>
      </c>
      <c r="P111" s="1129">
        <f t="shared" si="32"/>
        <v>-968676.11975999991</v>
      </c>
      <c r="Q111" s="1129">
        <f t="shared" si="32"/>
        <v>-1978886.4033528001</v>
      </c>
      <c r="R111" s="1129">
        <f t="shared" si="32"/>
        <v>-2400000.1</v>
      </c>
      <c r="T111" s="41"/>
    </row>
    <row r="112" spans="1:20">
      <c r="A112" s="1308" t="s">
        <v>991</v>
      </c>
      <c r="B112" s="1202">
        <f t="shared" ref="B112:R112" si="33">+-B110+B111</f>
        <v>0</v>
      </c>
      <c r="C112" s="1202">
        <f t="shared" si="33"/>
        <v>0</v>
      </c>
      <c r="D112" s="1202">
        <f t="shared" si="33"/>
        <v>0</v>
      </c>
      <c r="E112" s="1202">
        <f t="shared" si="33"/>
        <v>0</v>
      </c>
      <c r="F112" s="1202">
        <f t="shared" si="33"/>
        <v>0</v>
      </c>
      <c r="G112" s="1202">
        <f t="shared" si="33"/>
        <v>101929.625</v>
      </c>
      <c r="H112" s="1202">
        <f t="shared" si="33"/>
        <v>1328859.25</v>
      </c>
      <c r="I112" s="1202">
        <f t="shared" si="33"/>
        <v>1868288.875</v>
      </c>
      <c r="J112" s="1202">
        <f t="shared" si="33"/>
        <v>2202718.5</v>
      </c>
      <c r="K112" s="1202">
        <f t="shared" si="33"/>
        <v>3366381.8760000002</v>
      </c>
      <c r="L112" s="1202">
        <f t="shared" si="33"/>
        <v>2984205.2759999996</v>
      </c>
      <c r="M112" s="1202">
        <f t="shared" si="33"/>
        <v>2754755.3759999997</v>
      </c>
      <c r="N112" s="1202">
        <f t="shared" si="33"/>
        <v>3283218.7759999996</v>
      </c>
      <c r="O112" s="1202">
        <f t="shared" si="33"/>
        <v>2456382.4079999998</v>
      </c>
      <c r="P112" s="1202">
        <f t="shared" si="33"/>
        <v>1681323.8802400001</v>
      </c>
      <c r="Q112" s="1202">
        <f t="shared" si="33"/>
        <v>4021113.5966472002</v>
      </c>
      <c r="R112" s="1202">
        <f t="shared" si="33"/>
        <v>5600000.2333333343</v>
      </c>
      <c r="T112" s="41"/>
    </row>
    <row r="113" spans="1:21">
      <c r="A113" s="1248" t="s">
        <v>992</v>
      </c>
      <c r="B113" s="1199">
        <f>+B112</f>
        <v>0</v>
      </c>
      <c r="C113" s="1199">
        <f>+C112</f>
        <v>0</v>
      </c>
      <c r="D113" s="1199">
        <f t="shared" ref="D113:R113" si="34">+D112+C113</f>
        <v>0</v>
      </c>
      <c r="E113" s="1199">
        <f t="shared" si="34"/>
        <v>0</v>
      </c>
      <c r="F113" s="1199">
        <f t="shared" si="34"/>
        <v>0</v>
      </c>
      <c r="G113" s="1199">
        <f t="shared" si="34"/>
        <v>101929.625</v>
      </c>
      <c r="H113" s="1199">
        <f t="shared" si="34"/>
        <v>1430788.875</v>
      </c>
      <c r="I113" s="1199">
        <f t="shared" si="34"/>
        <v>3299077.75</v>
      </c>
      <c r="J113" s="1199">
        <f t="shared" si="34"/>
        <v>5501796.25</v>
      </c>
      <c r="K113" s="1199">
        <f t="shared" si="34"/>
        <v>8868178.1260000002</v>
      </c>
      <c r="L113" s="1199">
        <f t="shared" si="34"/>
        <v>11852383.401999999</v>
      </c>
      <c r="M113" s="1199">
        <f t="shared" si="34"/>
        <v>14607138.777999999</v>
      </c>
      <c r="N113" s="1199">
        <f t="shared" si="34"/>
        <v>17890357.553999998</v>
      </c>
      <c r="O113" s="1199">
        <f t="shared" si="34"/>
        <v>20346739.961999997</v>
      </c>
      <c r="P113" s="1199">
        <f t="shared" si="34"/>
        <v>22028063.842239998</v>
      </c>
      <c r="Q113" s="1199">
        <f t="shared" si="34"/>
        <v>26049177.438887198</v>
      </c>
      <c r="R113" s="1199">
        <f t="shared" si="34"/>
        <v>31649177.672220532</v>
      </c>
      <c r="T113" s="41"/>
    </row>
    <row r="114" spans="1:21">
      <c r="T114" s="41"/>
    </row>
    <row r="115" spans="1:21">
      <c r="A115" s="1174"/>
      <c r="B115" s="1174"/>
      <c r="C115" s="1174"/>
      <c r="D115" s="1174"/>
      <c r="E115" s="1174"/>
      <c r="F115" s="1174"/>
      <c r="G115" s="1174"/>
      <c r="H115" s="1174"/>
      <c r="I115" s="1174"/>
      <c r="J115" s="1174"/>
      <c r="K115" s="1174"/>
      <c r="L115" s="1174"/>
      <c r="M115" s="1174"/>
      <c r="N115" s="1174"/>
      <c r="O115" s="1173"/>
      <c r="P115" s="1173"/>
      <c r="Q115" s="1173"/>
      <c r="R115" s="1173"/>
      <c r="T115" s="41"/>
    </row>
    <row r="116" spans="1:21">
      <c r="A116" s="1172" t="str">
        <f ca="1">+A1</f>
        <v>c12_d&amp;s</v>
      </c>
      <c r="T116" s="41"/>
    </row>
    <row r="117" spans="1:21">
      <c r="A117" s="1059" t="s">
        <v>993</v>
      </c>
      <c r="B117" s="103">
        <v>0</v>
      </c>
      <c r="C117" s="103">
        <v>0</v>
      </c>
      <c r="D117" s="103">
        <v>0</v>
      </c>
      <c r="E117" s="103">
        <v>0</v>
      </c>
      <c r="F117" s="103">
        <v>0</v>
      </c>
      <c r="G117" s="103">
        <v>0</v>
      </c>
      <c r="H117" s="103">
        <v>0</v>
      </c>
      <c r="I117" s="103">
        <v>0</v>
      </c>
      <c r="J117" s="103">
        <v>0</v>
      </c>
      <c r="K117" s="103">
        <v>0</v>
      </c>
      <c r="L117" s="103">
        <v>0</v>
      </c>
      <c r="M117" s="103">
        <v>0</v>
      </c>
      <c r="N117" s="103">
        <v>0</v>
      </c>
      <c r="O117" s="15">
        <v>0</v>
      </c>
      <c r="P117" s="15">
        <v>0</v>
      </c>
      <c r="Q117" s="15">
        <v>0</v>
      </c>
      <c r="R117" s="15">
        <v>0</v>
      </c>
      <c r="T117" s="41"/>
    </row>
    <row r="118" spans="1:21" ht="14.7" customHeight="1" thickBot="1">
      <c r="T118" s="41"/>
    </row>
    <row r="119" spans="1:21">
      <c r="A119" s="1307" t="str">
        <f t="array" aca="1" ref="A119" ca="1">_xlfn.TEXTAFTER(CELL("filename",A119),"]")</f>
        <v>c12_d&amp;s</v>
      </c>
      <c r="B119" s="1306" t="s">
        <v>930</v>
      </c>
      <c r="C119" s="1306" t="s">
        <v>818</v>
      </c>
      <c r="D119" s="1304">
        <v>44926</v>
      </c>
      <c r="E119" s="1304">
        <v>45291</v>
      </c>
      <c r="F119" s="1304">
        <v>45657</v>
      </c>
      <c r="G119" s="1305">
        <v>45747</v>
      </c>
      <c r="H119" s="1304">
        <v>45838</v>
      </c>
      <c r="I119" s="1304">
        <v>45930</v>
      </c>
      <c r="J119" s="1303">
        <v>46022</v>
      </c>
      <c r="K119" s="1305">
        <v>46112</v>
      </c>
      <c r="L119" s="1304">
        <v>46203</v>
      </c>
      <c r="M119" s="1304">
        <v>46295</v>
      </c>
      <c r="N119" s="1303">
        <v>46387</v>
      </c>
      <c r="O119" s="1302">
        <v>46752</v>
      </c>
      <c r="P119" s="1302">
        <v>47118</v>
      </c>
      <c r="Q119" s="1302">
        <v>47483</v>
      </c>
      <c r="R119" s="1302">
        <v>47848</v>
      </c>
      <c r="T119" s="41"/>
    </row>
    <row r="120" spans="1:21" ht="14.7" customHeight="1" thickBot="1">
      <c r="A120" s="1301" t="s">
        <v>844</v>
      </c>
      <c r="B120" s="1300"/>
      <c r="C120" s="1300"/>
      <c r="D120" s="1300"/>
      <c r="E120" s="1300"/>
      <c r="F120" s="1300"/>
      <c r="G120" s="1299" t="s">
        <v>3</v>
      </c>
      <c r="H120" s="1298" t="s">
        <v>4</v>
      </c>
      <c r="I120" s="1298" t="s">
        <v>5</v>
      </c>
      <c r="J120" s="1297" t="s">
        <v>2</v>
      </c>
      <c r="K120" s="1299" t="s">
        <v>3</v>
      </c>
      <c r="L120" s="1298" t="s">
        <v>4</v>
      </c>
      <c r="M120" s="1298" t="s">
        <v>5</v>
      </c>
      <c r="N120" s="1297" t="s">
        <v>2</v>
      </c>
      <c r="O120" s="1296"/>
      <c r="P120" s="1296"/>
      <c r="Q120" s="1296"/>
      <c r="R120" s="1296"/>
      <c r="T120" s="41"/>
    </row>
    <row r="121" spans="1:21">
      <c r="A121" s="1514" t="s">
        <v>994</v>
      </c>
      <c r="B121" s="1515">
        <v>350000</v>
      </c>
      <c r="C121" s="1161">
        <f t="shared" ref="C121:C129" si="35">+C160</f>
        <v>0</v>
      </c>
      <c r="D121" s="1295"/>
      <c r="E121" s="1295"/>
      <c r="F121" s="1294"/>
      <c r="G121" s="402">
        <f t="shared" ref="G121:G128" si="36">B121/4</f>
        <v>87500</v>
      </c>
      <c r="H121" s="1293">
        <f t="shared" ref="H121:J128" si="37">G121</f>
        <v>87500</v>
      </c>
      <c r="I121" s="1293">
        <f t="shared" si="37"/>
        <v>87500</v>
      </c>
      <c r="J121" s="403">
        <f t="shared" si="37"/>
        <v>87500</v>
      </c>
      <c r="K121" s="1505">
        <f>750000/4</f>
        <v>187500</v>
      </c>
      <c r="L121" s="1293">
        <f t="shared" ref="L121:M128" si="38">+K121</f>
        <v>187500</v>
      </c>
      <c r="M121" s="1293">
        <f t="shared" si="38"/>
        <v>187500</v>
      </c>
      <c r="N121" s="403">
        <f t="shared" ref="N121:N128" si="39">++M121</f>
        <v>187500</v>
      </c>
      <c r="O121" s="410">
        <f t="shared" ref="O121:O129" si="40">+N121*4*(1+O$117)</f>
        <v>750000</v>
      </c>
      <c r="P121" s="410">
        <f t="shared" ref="P121:R129" si="41">+O121*(1+P$117)</f>
        <v>750000</v>
      </c>
      <c r="Q121" s="410">
        <f t="shared" si="41"/>
        <v>750000</v>
      </c>
      <c r="R121" s="410">
        <f t="shared" si="41"/>
        <v>750000</v>
      </c>
      <c r="S121" s="166"/>
      <c r="T121" s="41"/>
    </row>
    <row r="122" spans="1:21">
      <c r="A122" s="1514" t="s">
        <v>995</v>
      </c>
      <c r="B122" s="1515">
        <v>185000</v>
      </c>
      <c r="C122" s="1166">
        <f t="shared" si="35"/>
        <v>1</v>
      </c>
      <c r="D122" s="105"/>
      <c r="E122" s="105"/>
      <c r="F122" s="1292"/>
      <c r="G122" s="402">
        <f t="shared" si="36"/>
        <v>46250</v>
      </c>
      <c r="H122" s="1293">
        <f t="shared" si="37"/>
        <v>46250</v>
      </c>
      <c r="I122" s="1293">
        <f t="shared" si="37"/>
        <v>46250</v>
      </c>
      <c r="J122" s="403">
        <f t="shared" si="37"/>
        <v>46250</v>
      </c>
      <c r="K122" s="1505">
        <f>185000/4</f>
        <v>46250</v>
      </c>
      <c r="L122" s="197">
        <f t="shared" si="38"/>
        <v>46250</v>
      </c>
      <c r="M122" s="197">
        <f t="shared" si="38"/>
        <v>46250</v>
      </c>
      <c r="N122" s="296">
        <f t="shared" si="39"/>
        <v>46250</v>
      </c>
      <c r="O122" s="409">
        <f t="shared" si="40"/>
        <v>185000</v>
      </c>
      <c r="P122" s="409">
        <f t="shared" si="41"/>
        <v>185000</v>
      </c>
      <c r="Q122" s="409">
        <f t="shared" si="41"/>
        <v>185000</v>
      </c>
      <c r="R122" s="409">
        <f t="shared" si="41"/>
        <v>185000</v>
      </c>
      <c r="T122" s="41"/>
    </row>
    <row r="123" spans="1:21">
      <c r="A123" s="1514" t="s">
        <v>996</v>
      </c>
      <c r="B123" s="1515">
        <v>110000</v>
      </c>
      <c r="C123" s="1166">
        <f t="shared" si="35"/>
        <v>0</v>
      </c>
      <c r="D123" s="105"/>
      <c r="E123" s="105"/>
      <c r="F123" s="1292"/>
      <c r="G123" s="402">
        <f t="shared" si="36"/>
        <v>27500</v>
      </c>
      <c r="H123" s="1293">
        <f t="shared" si="37"/>
        <v>27500</v>
      </c>
      <c r="I123" s="1293">
        <f t="shared" si="37"/>
        <v>27500</v>
      </c>
      <c r="J123" s="403">
        <f t="shared" si="37"/>
        <v>27500</v>
      </c>
      <c r="K123" s="1505">
        <f>112500/4</f>
        <v>28125</v>
      </c>
      <c r="L123" s="197">
        <f t="shared" si="38"/>
        <v>28125</v>
      </c>
      <c r="M123" s="197">
        <f t="shared" si="38"/>
        <v>28125</v>
      </c>
      <c r="N123" s="296">
        <f t="shared" si="39"/>
        <v>28125</v>
      </c>
      <c r="O123" s="409">
        <f t="shared" si="40"/>
        <v>112500</v>
      </c>
      <c r="P123" s="409">
        <f t="shared" si="41"/>
        <v>112500</v>
      </c>
      <c r="Q123" s="409">
        <f t="shared" si="41"/>
        <v>112500</v>
      </c>
      <c r="R123" s="409">
        <f t="shared" si="41"/>
        <v>112500</v>
      </c>
      <c r="T123" s="41"/>
      <c r="U123" s="5"/>
    </row>
    <row r="124" spans="1:21">
      <c r="A124" s="1514" t="s">
        <v>997</v>
      </c>
      <c r="B124" s="1515">
        <v>250000</v>
      </c>
      <c r="C124" s="1166">
        <f t="shared" si="35"/>
        <v>0</v>
      </c>
      <c r="D124" s="105"/>
      <c r="E124" s="105"/>
      <c r="F124" s="1292"/>
      <c r="G124" s="402">
        <f t="shared" si="36"/>
        <v>62500</v>
      </c>
      <c r="H124" s="1293">
        <f t="shared" si="37"/>
        <v>62500</v>
      </c>
      <c r="I124" s="1293">
        <f t="shared" si="37"/>
        <v>62500</v>
      </c>
      <c r="J124" s="403">
        <f t="shared" si="37"/>
        <v>62500</v>
      </c>
      <c r="K124" s="1505">
        <f>260000/4</f>
        <v>65000</v>
      </c>
      <c r="L124" s="197">
        <f t="shared" si="38"/>
        <v>65000</v>
      </c>
      <c r="M124" s="197">
        <f t="shared" si="38"/>
        <v>65000</v>
      </c>
      <c r="N124" s="296">
        <f t="shared" si="39"/>
        <v>65000</v>
      </c>
      <c r="O124" s="409">
        <f t="shared" si="40"/>
        <v>260000</v>
      </c>
      <c r="P124" s="409">
        <f t="shared" si="41"/>
        <v>260000</v>
      </c>
      <c r="Q124" s="409">
        <f t="shared" si="41"/>
        <v>260000</v>
      </c>
      <c r="R124" s="409">
        <f t="shared" si="41"/>
        <v>260000</v>
      </c>
      <c r="T124" s="41"/>
    </row>
    <row r="125" spans="1:21">
      <c r="A125" s="1514" t="s">
        <v>998</v>
      </c>
      <c r="B125" s="1515">
        <v>175000</v>
      </c>
      <c r="C125" s="1166">
        <f t="shared" si="35"/>
        <v>0</v>
      </c>
      <c r="D125" s="105"/>
      <c r="E125" s="105"/>
      <c r="F125" s="1292"/>
      <c r="G125" s="402">
        <f t="shared" si="36"/>
        <v>43750</v>
      </c>
      <c r="H125" s="1293">
        <f t="shared" si="37"/>
        <v>43750</v>
      </c>
      <c r="I125" s="1293">
        <f t="shared" si="37"/>
        <v>43750</v>
      </c>
      <c r="J125" s="403">
        <f t="shared" si="37"/>
        <v>43750</v>
      </c>
      <c r="K125" s="1505">
        <f>175000/4</f>
        <v>43750</v>
      </c>
      <c r="L125" s="197">
        <f t="shared" si="38"/>
        <v>43750</v>
      </c>
      <c r="M125" s="197">
        <f t="shared" si="38"/>
        <v>43750</v>
      </c>
      <c r="N125" s="296">
        <f t="shared" si="39"/>
        <v>43750</v>
      </c>
      <c r="O125" s="409">
        <f t="shared" si="40"/>
        <v>175000</v>
      </c>
      <c r="P125" s="409">
        <f t="shared" si="41"/>
        <v>175000</v>
      </c>
      <c r="Q125" s="409">
        <f t="shared" si="41"/>
        <v>175000</v>
      </c>
      <c r="R125" s="409">
        <f t="shared" si="41"/>
        <v>175000</v>
      </c>
      <c r="T125" s="41"/>
    </row>
    <row r="126" spans="1:21">
      <c r="A126" s="1514" t="s">
        <v>999</v>
      </c>
      <c r="B126" s="1515">
        <v>180000</v>
      </c>
      <c r="C126" s="1166">
        <f t="shared" si="35"/>
        <v>0</v>
      </c>
      <c r="D126" s="105"/>
      <c r="E126" s="105"/>
      <c r="F126" s="1292"/>
      <c r="G126" s="402">
        <f t="shared" si="36"/>
        <v>45000</v>
      </c>
      <c r="H126" s="1293">
        <f t="shared" si="37"/>
        <v>45000</v>
      </c>
      <c r="I126" s="1293">
        <f t="shared" si="37"/>
        <v>45000</v>
      </c>
      <c r="J126" s="403">
        <f t="shared" si="37"/>
        <v>45000</v>
      </c>
      <c r="K126" s="1505">
        <f>190000/4</f>
        <v>47500</v>
      </c>
      <c r="L126" s="197">
        <f t="shared" si="38"/>
        <v>47500</v>
      </c>
      <c r="M126" s="197">
        <f t="shared" si="38"/>
        <v>47500</v>
      </c>
      <c r="N126" s="296">
        <f t="shared" si="39"/>
        <v>47500</v>
      </c>
      <c r="O126" s="409">
        <f t="shared" si="40"/>
        <v>190000</v>
      </c>
      <c r="P126" s="409">
        <f t="shared" si="41"/>
        <v>190000</v>
      </c>
      <c r="Q126" s="409">
        <f t="shared" si="41"/>
        <v>190000</v>
      </c>
      <c r="R126" s="409">
        <f t="shared" si="41"/>
        <v>190000</v>
      </c>
      <c r="T126" s="41"/>
    </row>
    <row r="127" spans="1:21">
      <c r="A127" s="1514" t="s">
        <v>1000</v>
      </c>
      <c r="B127" s="1515">
        <v>130000</v>
      </c>
      <c r="C127" s="1166">
        <f t="shared" si="35"/>
        <v>0</v>
      </c>
      <c r="D127" s="105"/>
      <c r="E127" s="105"/>
      <c r="F127" s="1292"/>
      <c r="G127" s="402">
        <f t="shared" si="36"/>
        <v>32500</v>
      </c>
      <c r="H127" s="1293">
        <f t="shared" si="37"/>
        <v>32500</v>
      </c>
      <c r="I127" s="1293">
        <f t="shared" si="37"/>
        <v>32500</v>
      </c>
      <c r="J127" s="403">
        <f t="shared" si="37"/>
        <v>32500</v>
      </c>
      <c r="K127" s="1505">
        <f>137500/4</f>
        <v>34375</v>
      </c>
      <c r="L127" s="197">
        <f t="shared" si="38"/>
        <v>34375</v>
      </c>
      <c r="M127" s="197">
        <f t="shared" si="38"/>
        <v>34375</v>
      </c>
      <c r="N127" s="296">
        <f t="shared" si="39"/>
        <v>34375</v>
      </c>
      <c r="O127" s="409">
        <f t="shared" si="40"/>
        <v>137500</v>
      </c>
      <c r="P127" s="409">
        <f t="shared" si="41"/>
        <v>137500</v>
      </c>
      <c r="Q127" s="409">
        <f t="shared" si="41"/>
        <v>137500</v>
      </c>
      <c r="R127" s="409">
        <f t="shared" si="41"/>
        <v>137500</v>
      </c>
      <c r="T127" s="41"/>
    </row>
    <row r="128" spans="1:21">
      <c r="A128" s="1514" t="s">
        <v>1001</v>
      </c>
      <c r="B128" s="1515">
        <v>110000</v>
      </c>
      <c r="C128" s="1166">
        <f t="shared" si="35"/>
        <v>0</v>
      </c>
      <c r="D128" s="105"/>
      <c r="E128" s="105"/>
      <c r="F128" s="1292"/>
      <c r="G128" s="295">
        <f t="shared" si="36"/>
        <v>27500</v>
      </c>
      <c r="H128" s="197">
        <f t="shared" si="37"/>
        <v>27500</v>
      </c>
      <c r="I128" s="197">
        <f t="shared" si="37"/>
        <v>27500</v>
      </c>
      <c r="J128" s="296">
        <f t="shared" si="37"/>
        <v>27500</v>
      </c>
      <c r="K128" s="1505">
        <f>110000/4</f>
        <v>27500</v>
      </c>
      <c r="L128" s="1291">
        <f t="shared" si="38"/>
        <v>27500</v>
      </c>
      <c r="M128" s="1291">
        <f t="shared" si="38"/>
        <v>27500</v>
      </c>
      <c r="N128" s="1290">
        <f t="shared" si="39"/>
        <v>27500</v>
      </c>
      <c r="O128" s="1289">
        <f t="shared" si="40"/>
        <v>110000</v>
      </c>
      <c r="P128" s="1289">
        <f t="shared" si="41"/>
        <v>110000</v>
      </c>
      <c r="Q128" s="1289">
        <f t="shared" si="41"/>
        <v>110000</v>
      </c>
      <c r="R128" s="1289">
        <f t="shared" si="41"/>
        <v>110000</v>
      </c>
      <c r="T128" s="41"/>
    </row>
    <row r="129" spans="1:20">
      <c r="A129" s="1514" t="s">
        <v>1002</v>
      </c>
      <c r="B129" s="1515">
        <v>200000</v>
      </c>
      <c r="C129" s="1166">
        <f t="shared" si="35"/>
        <v>0</v>
      </c>
      <c r="D129" s="105"/>
      <c r="E129" s="105"/>
      <c r="F129" s="1292"/>
      <c r="G129" s="295"/>
      <c r="H129" s="197"/>
      <c r="I129" s="197"/>
      <c r="J129" s="296"/>
      <c r="K129" s="1505">
        <f>200000/4</f>
        <v>50000</v>
      </c>
      <c r="L129" s="1291">
        <f>200000/4</f>
        <v>50000</v>
      </c>
      <c r="M129" s="1291">
        <f>200000/4</f>
        <v>50000</v>
      </c>
      <c r="N129" s="1290">
        <f>200000/4</f>
        <v>50000</v>
      </c>
      <c r="O129" s="1289">
        <f t="shared" si="40"/>
        <v>200000</v>
      </c>
      <c r="P129" s="1289">
        <f t="shared" si="41"/>
        <v>200000</v>
      </c>
      <c r="Q129" s="1289">
        <f t="shared" si="41"/>
        <v>200000</v>
      </c>
      <c r="R129" s="1289">
        <f t="shared" si="41"/>
        <v>200000</v>
      </c>
      <c r="T129" s="41"/>
    </row>
    <row r="130" spans="1:20" ht="14.7" customHeight="1" thickBot="1">
      <c r="A130" s="1522" t="s">
        <v>1003</v>
      </c>
      <c r="B130" s="1523"/>
      <c r="C130" s="1288"/>
      <c r="D130" s="1288"/>
      <c r="E130" s="1288"/>
      <c r="F130" s="1287"/>
      <c r="G130" s="1281">
        <f>+$K130/4</f>
        <v>0</v>
      </c>
      <c r="H130" s="1140">
        <f>+$K130/4</f>
        <v>0</v>
      </c>
      <c r="I130" s="1140">
        <f>+$K130/4</f>
        <v>0</v>
      </c>
      <c r="J130" s="1286">
        <f>+$K130/4</f>
        <v>0</v>
      </c>
      <c r="K130" s="1521">
        <v>0</v>
      </c>
      <c r="L130" s="1138">
        <f>+K130</f>
        <v>0</v>
      </c>
      <c r="M130" s="1138">
        <v>0</v>
      </c>
      <c r="N130" s="1137">
        <v>0</v>
      </c>
      <c r="O130" s="1285"/>
      <c r="P130" s="1285"/>
      <c r="Q130" s="1285">
        <v>-999999</v>
      </c>
      <c r="R130" s="1285">
        <v>-999999</v>
      </c>
      <c r="T130" s="41"/>
    </row>
    <row r="131" spans="1:20" ht="14.7" customHeight="1" thickBot="1">
      <c r="A131" s="1108" t="s">
        <v>23</v>
      </c>
      <c r="B131" s="1133"/>
      <c r="C131" s="1133"/>
      <c r="D131" s="1133"/>
      <c r="E131" s="1133">
        <f t="shared" ref="E131:R131" si="42">SUM(E121:E130)</f>
        <v>0</v>
      </c>
      <c r="F131" s="1135">
        <f t="shared" si="42"/>
        <v>0</v>
      </c>
      <c r="G131" s="1134">
        <f t="shared" si="42"/>
        <v>372500</v>
      </c>
      <c r="H131" s="1133">
        <f t="shared" si="42"/>
        <v>372500</v>
      </c>
      <c r="I131" s="1133">
        <f t="shared" si="42"/>
        <v>372500</v>
      </c>
      <c r="J131" s="1132">
        <f t="shared" si="42"/>
        <v>372500</v>
      </c>
      <c r="K131" s="1134">
        <f t="shared" si="42"/>
        <v>530000</v>
      </c>
      <c r="L131" s="1133">
        <f t="shared" si="42"/>
        <v>530000</v>
      </c>
      <c r="M131" s="1133">
        <f t="shared" si="42"/>
        <v>530000</v>
      </c>
      <c r="N131" s="1132">
        <f t="shared" si="42"/>
        <v>530000</v>
      </c>
      <c r="O131" s="1131">
        <f t="shared" si="42"/>
        <v>2120000</v>
      </c>
      <c r="P131" s="1131">
        <f t="shared" si="42"/>
        <v>2120000</v>
      </c>
      <c r="Q131" s="1131">
        <f t="shared" si="42"/>
        <v>1120001</v>
      </c>
      <c r="R131" s="1131">
        <f t="shared" si="42"/>
        <v>1120001</v>
      </c>
      <c r="T131" s="41"/>
    </row>
    <row r="132" spans="1:20" ht="14.7" customHeight="1" thickBot="1">
      <c r="A132" s="1280" t="s">
        <v>845</v>
      </c>
      <c r="T132" s="41"/>
    </row>
    <row r="133" spans="1:20">
      <c r="A133" s="105" t="str">
        <f t="shared" ref="A133:A142" si="43">+A121</f>
        <v>HODS</v>
      </c>
      <c r="B133" s="263"/>
      <c r="C133" s="263"/>
      <c r="D133" s="263"/>
      <c r="E133" s="263"/>
      <c r="F133" s="1144"/>
      <c r="G133" s="1284"/>
      <c r="H133" s="1283"/>
      <c r="I133" s="1283"/>
      <c r="J133" s="1518">
        <v>685000</v>
      </c>
      <c r="K133" s="407">
        <v>0</v>
      </c>
      <c r="L133" s="1282">
        <v>0</v>
      </c>
      <c r="M133" s="1282">
        <v>0</v>
      </c>
      <c r="N133" s="1518">
        <v>500000</v>
      </c>
      <c r="O133" s="626">
        <f t="shared" ref="O133:R141" si="44">N133</f>
        <v>500000</v>
      </c>
      <c r="P133" s="626">
        <f t="shared" si="44"/>
        <v>500000</v>
      </c>
      <c r="Q133" s="626">
        <f t="shared" si="44"/>
        <v>500000</v>
      </c>
      <c r="R133" s="626">
        <f t="shared" si="44"/>
        <v>500000</v>
      </c>
      <c r="T133" s="41"/>
    </row>
    <row r="134" spans="1:20">
      <c r="A134" s="105" t="str">
        <f t="shared" si="43"/>
        <v>Project Executive</v>
      </c>
      <c r="B134" s="197"/>
      <c r="C134" s="197"/>
      <c r="D134" s="197"/>
      <c r="E134" s="197"/>
      <c r="F134" s="294"/>
      <c r="G134" s="295"/>
      <c r="H134" s="197"/>
      <c r="I134" s="197"/>
      <c r="J134" s="1509">
        <v>20000</v>
      </c>
      <c r="K134" s="405">
        <v>0</v>
      </c>
      <c r="L134" s="197">
        <v>0</v>
      </c>
      <c r="M134" s="197">
        <v>0</v>
      </c>
      <c r="N134" s="1509">
        <v>15000</v>
      </c>
      <c r="O134" s="409">
        <f t="shared" si="44"/>
        <v>15000</v>
      </c>
      <c r="P134" s="409">
        <f t="shared" si="44"/>
        <v>15000</v>
      </c>
      <c r="Q134" s="409">
        <f t="shared" si="44"/>
        <v>15000</v>
      </c>
      <c r="R134" s="409">
        <f t="shared" si="44"/>
        <v>15000</v>
      </c>
      <c r="T134" s="41"/>
    </row>
    <row r="135" spans="1:20">
      <c r="A135" s="105" t="str">
        <f t="shared" si="43"/>
        <v>Project Manager</v>
      </c>
      <c r="B135" s="197"/>
      <c r="C135" s="197"/>
      <c r="D135" s="197"/>
      <c r="E135" s="197"/>
      <c r="F135" s="294"/>
      <c r="G135" s="295"/>
      <c r="H135" s="197"/>
      <c r="I135" s="197"/>
      <c r="J135" s="1509">
        <v>17500</v>
      </c>
      <c r="K135" s="405">
        <v>0</v>
      </c>
      <c r="L135" s="197">
        <v>0</v>
      </c>
      <c r="M135" s="197">
        <v>0</v>
      </c>
      <c r="N135" s="1509">
        <v>15000</v>
      </c>
      <c r="O135" s="409">
        <f t="shared" si="44"/>
        <v>15000</v>
      </c>
      <c r="P135" s="409">
        <f t="shared" si="44"/>
        <v>15000</v>
      </c>
      <c r="Q135" s="409">
        <f t="shared" si="44"/>
        <v>15000</v>
      </c>
      <c r="R135" s="409">
        <f t="shared" si="44"/>
        <v>15000</v>
      </c>
      <c r="T135" s="41"/>
    </row>
    <row r="136" spans="1:20">
      <c r="A136" s="105" t="str">
        <f t="shared" si="43"/>
        <v>Counsel</v>
      </c>
      <c r="B136" s="197"/>
      <c r="C136" s="197"/>
      <c r="D136" s="197"/>
      <c r="E136" s="197"/>
      <c r="F136" s="294"/>
      <c r="G136" s="295"/>
      <c r="H136" s="197"/>
      <c r="I136" s="197"/>
      <c r="J136" s="1509">
        <v>230000</v>
      </c>
      <c r="K136" s="405">
        <v>0</v>
      </c>
      <c r="L136" s="197">
        <v>0</v>
      </c>
      <c r="M136" s="197">
        <v>0</v>
      </c>
      <c r="N136" s="1509">
        <v>125000</v>
      </c>
      <c r="O136" s="409">
        <f t="shared" si="44"/>
        <v>125000</v>
      </c>
      <c r="P136" s="409">
        <f t="shared" si="44"/>
        <v>125000</v>
      </c>
      <c r="Q136" s="409">
        <f t="shared" si="44"/>
        <v>125000</v>
      </c>
      <c r="R136" s="409">
        <f t="shared" si="44"/>
        <v>125000</v>
      </c>
      <c r="T136" s="41"/>
    </row>
    <row r="137" spans="1:20">
      <c r="A137" s="105" t="str">
        <f t="shared" si="43"/>
        <v>Development Manager</v>
      </c>
      <c r="B137" s="197"/>
      <c r="C137" s="197"/>
      <c r="D137" s="197"/>
      <c r="E137" s="197"/>
      <c r="F137" s="294"/>
      <c r="G137" s="295"/>
      <c r="H137" s="197"/>
      <c r="I137" s="197"/>
      <c r="J137" s="1509">
        <v>18500</v>
      </c>
      <c r="K137" s="405">
        <v>0</v>
      </c>
      <c r="L137" s="197">
        <v>0</v>
      </c>
      <c r="M137" s="197">
        <v>0</v>
      </c>
      <c r="N137" s="1509">
        <v>18500</v>
      </c>
      <c r="O137" s="409">
        <f t="shared" si="44"/>
        <v>18500</v>
      </c>
      <c r="P137" s="409">
        <f t="shared" si="44"/>
        <v>18500</v>
      </c>
      <c r="Q137" s="409">
        <f t="shared" si="44"/>
        <v>18500</v>
      </c>
      <c r="R137" s="409">
        <f t="shared" si="44"/>
        <v>18500</v>
      </c>
      <c r="T137" s="41"/>
    </row>
    <row r="138" spans="1:20">
      <c r="A138" s="105" t="str">
        <f t="shared" si="43"/>
        <v>Senior Design Manager</v>
      </c>
      <c r="B138" s="197"/>
      <c r="C138" s="197"/>
      <c r="D138" s="197"/>
      <c r="E138" s="197"/>
      <c r="F138" s="294"/>
      <c r="G138" s="295"/>
      <c r="H138" s="197"/>
      <c r="I138" s="197"/>
      <c r="J138" s="1509">
        <v>65000</v>
      </c>
      <c r="K138" s="405">
        <v>0</v>
      </c>
      <c r="L138" s="197">
        <v>0</v>
      </c>
      <c r="M138" s="197">
        <v>0</v>
      </c>
      <c r="N138" s="1509">
        <v>55000</v>
      </c>
      <c r="O138" s="409">
        <f t="shared" si="44"/>
        <v>55000</v>
      </c>
      <c r="P138" s="409">
        <f t="shared" si="44"/>
        <v>55000</v>
      </c>
      <c r="Q138" s="409">
        <f t="shared" si="44"/>
        <v>55000</v>
      </c>
      <c r="R138" s="409">
        <f t="shared" si="44"/>
        <v>55000</v>
      </c>
      <c r="T138" s="41"/>
    </row>
    <row r="139" spans="1:20">
      <c r="A139" s="105" t="str">
        <f t="shared" si="43"/>
        <v>Design Manager</v>
      </c>
      <c r="B139" s="197"/>
      <c r="C139" s="197"/>
      <c r="D139" s="197"/>
      <c r="E139" s="197"/>
      <c r="F139" s="294"/>
      <c r="G139" s="295">
        <v>0</v>
      </c>
      <c r="H139" s="197">
        <v>0</v>
      </c>
      <c r="I139" s="197">
        <v>0</v>
      </c>
      <c r="J139" s="1509">
        <v>25000</v>
      </c>
      <c r="K139" s="405">
        <v>0</v>
      </c>
      <c r="L139" s="197">
        <v>0</v>
      </c>
      <c r="M139" s="197">
        <v>0</v>
      </c>
      <c r="N139" s="1509">
        <v>22500</v>
      </c>
      <c r="O139" s="409">
        <f t="shared" si="44"/>
        <v>22500</v>
      </c>
      <c r="P139" s="409">
        <f t="shared" si="44"/>
        <v>22500</v>
      </c>
      <c r="Q139" s="409">
        <f t="shared" si="44"/>
        <v>22500</v>
      </c>
      <c r="R139" s="409">
        <f t="shared" si="44"/>
        <v>22500</v>
      </c>
      <c r="T139" s="41"/>
    </row>
    <row r="140" spans="1:20">
      <c r="A140" s="105" t="str">
        <f t="shared" si="43"/>
        <v>FF&amp;E</v>
      </c>
      <c r="B140" s="197"/>
      <c r="C140" s="197"/>
      <c r="D140" s="197"/>
      <c r="E140" s="197"/>
      <c r="F140" s="294"/>
      <c r="G140" s="295"/>
      <c r="H140" s="197"/>
      <c r="I140" s="197"/>
      <c r="J140" s="1509">
        <v>0</v>
      </c>
      <c r="K140" s="405">
        <v>0</v>
      </c>
      <c r="L140" s="197">
        <v>0</v>
      </c>
      <c r="M140" s="197">
        <v>0</v>
      </c>
      <c r="N140" s="1509">
        <v>15000</v>
      </c>
      <c r="O140" s="409">
        <f t="shared" si="44"/>
        <v>15000</v>
      </c>
      <c r="P140" s="409">
        <f t="shared" si="44"/>
        <v>15000</v>
      </c>
      <c r="Q140" s="409">
        <f t="shared" si="44"/>
        <v>15000</v>
      </c>
      <c r="R140" s="409">
        <f t="shared" si="44"/>
        <v>15000</v>
      </c>
      <c r="T140" s="41"/>
    </row>
    <row r="141" spans="1:20">
      <c r="A141" s="105" t="str">
        <f t="shared" si="43"/>
        <v>Senior Financial Analyst</v>
      </c>
      <c r="B141" s="197"/>
      <c r="C141" s="197"/>
      <c r="D141" s="197"/>
      <c r="E141" s="197"/>
      <c r="F141" s="294"/>
      <c r="G141" s="295"/>
      <c r="H141" s="197"/>
      <c r="I141" s="197"/>
      <c r="J141" s="1509">
        <v>50000</v>
      </c>
      <c r="K141" s="405"/>
      <c r="L141" s="197"/>
      <c r="M141" s="197"/>
      <c r="N141" s="1509">
        <v>50000</v>
      </c>
      <c r="O141" s="409">
        <f t="shared" si="44"/>
        <v>50000</v>
      </c>
      <c r="P141" s="409">
        <f t="shared" si="44"/>
        <v>50000</v>
      </c>
      <c r="Q141" s="409">
        <f t="shared" si="44"/>
        <v>50000</v>
      </c>
      <c r="R141" s="409">
        <f t="shared" si="44"/>
        <v>50000</v>
      </c>
      <c r="T141" s="41"/>
    </row>
    <row r="142" spans="1:20" ht="14.7" customHeight="1" thickBot="1">
      <c r="A142" s="1117" t="str">
        <f t="shared" si="43"/>
        <v>Runoff</v>
      </c>
      <c r="B142" s="1140"/>
      <c r="C142" s="1140"/>
      <c r="D142" s="1140"/>
      <c r="E142" s="1140"/>
      <c r="F142" s="1139"/>
      <c r="G142" s="1281">
        <f>+$K142/4</f>
        <v>0</v>
      </c>
      <c r="H142" s="1140">
        <f>+$K142/4</f>
        <v>0</v>
      </c>
      <c r="I142" s="1140">
        <f>+$K142/4</f>
        <v>0</v>
      </c>
      <c r="J142" s="1524">
        <v>0</v>
      </c>
      <c r="K142" s="1281">
        <v>0</v>
      </c>
      <c r="L142" s="1140">
        <v>0</v>
      </c>
      <c r="M142" s="1140">
        <v>0</v>
      </c>
      <c r="N142" s="1524"/>
      <c r="O142" s="1136">
        <f>M142*3</f>
        <v>0</v>
      </c>
      <c r="P142" s="1136">
        <f>N142*3</f>
        <v>0</v>
      </c>
      <c r="Q142" s="1136">
        <f>O142*3</f>
        <v>0</v>
      </c>
      <c r="R142" s="1136">
        <f>P142*3</f>
        <v>0</v>
      </c>
      <c r="T142" s="41"/>
    </row>
    <row r="143" spans="1:20" ht="14.7" customHeight="1" thickBot="1">
      <c r="A143" s="1108" t="s">
        <v>23</v>
      </c>
      <c r="B143" s="1133"/>
      <c r="C143" s="1133"/>
      <c r="D143" s="1133"/>
      <c r="E143" s="1133">
        <f t="shared" ref="E143:R143" si="45">SUM(E133:E142)</f>
        <v>0</v>
      </c>
      <c r="F143" s="1135">
        <f t="shared" si="45"/>
        <v>0</v>
      </c>
      <c r="G143" s="1134">
        <f t="shared" si="45"/>
        <v>0</v>
      </c>
      <c r="H143" s="1133">
        <f t="shared" si="45"/>
        <v>0</v>
      </c>
      <c r="I143" s="1133">
        <f t="shared" si="45"/>
        <v>0</v>
      </c>
      <c r="J143" s="1132">
        <f t="shared" si="45"/>
        <v>1111000</v>
      </c>
      <c r="K143" s="1134">
        <f t="shared" si="45"/>
        <v>0</v>
      </c>
      <c r="L143" s="1133">
        <f t="shared" si="45"/>
        <v>0</v>
      </c>
      <c r="M143" s="1133">
        <f t="shared" si="45"/>
        <v>0</v>
      </c>
      <c r="N143" s="1132">
        <f t="shared" si="45"/>
        <v>816000</v>
      </c>
      <c r="O143" s="1131">
        <f t="shared" si="45"/>
        <v>816000</v>
      </c>
      <c r="P143" s="1131">
        <f t="shared" si="45"/>
        <v>816000</v>
      </c>
      <c r="Q143" s="1131">
        <f t="shared" si="45"/>
        <v>816000</v>
      </c>
      <c r="R143" s="1131">
        <f t="shared" si="45"/>
        <v>816000</v>
      </c>
      <c r="T143" s="41"/>
    </row>
    <row r="144" spans="1:20" ht="14.7" customHeight="1" thickBot="1">
      <c r="A144" s="1280"/>
      <c r="T144" s="41"/>
    </row>
    <row r="145" spans="1:30">
      <c r="A145" s="105" t="str">
        <f t="shared" ref="A145:A154" si="46">+A121</f>
        <v>HODS</v>
      </c>
      <c r="B145" s="1123"/>
      <c r="C145" s="1123"/>
      <c r="D145" s="1123"/>
      <c r="E145" s="1123"/>
      <c r="F145" s="1122"/>
      <c r="G145" s="1127">
        <f t="shared" ref="G145:R145" si="47">+G121*(1+$M$159)+(G133*(1+$M$160))</f>
        <v>100799.99999999999</v>
      </c>
      <c r="H145" s="1126">
        <f t="shared" si="47"/>
        <v>100799.99999999999</v>
      </c>
      <c r="I145" s="1126">
        <f t="shared" si="47"/>
        <v>100799.99999999999</v>
      </c>
      <c r="J145" s="1125">
        <f t="shared" si="47"/>
        <v>812515</v>
      </c>
      <c r="K145" s="1127">
        <f t="shared" si="47"/>
        <v>215999.99999999997</v>
      </c>
      <c r="L145" s="1126">
        <f t="shared" si="47"/>
        <v>215999.99999999997</v>
      </c>
      <c r="M145" s="1126">
        <f t="shared" si="47"/>
        <v>215999.99999999997</v>
      </c>
      <c r="N145" s="1125">
        <f t="shared" si="47"/>
        <v>735499.99999999988</v>
      </c>
      <c r="O145" s="1124">
        <f t="shared" si="47"/>
        <v>1383499.9999999998</v>
      </c>
      <c r="P145" s="1124">
        <f t="shared" si="47"/>
        <v>1383499.9999999998</v>
      </c>
      <c r="Q145" s="1124">
        <f t="shared" si="47"/>
        <v>1383499.9999999998</v>
      </c>
      <c r="R145" s="1124">
        <f t="shared" si="47"/>
        <v>1383499.9999999998</v>
      </c>
      <c r="S145" s="1279">
        <f t="shared" ref="S145:S152" si="48">+P145-SUM(G145:J145)</f>
        <v>268584.99999999977</v>
      </c>
      <c r="T145" s="41"/>
    </row>
    <row r="146" spans="1:30">
      <c r="A146" s="105" t="str">
        <f t="shared" si="46"/>
        <v>Project Executive</v>
      </c>
      <c r="B146" s="1123"/>
      <c r="C146" s="1123"/>
      <c r="D146" s="1123"/>
      <c r="E146" s="1123"/>
      <c r="F146" s="1122"/>
      <c r="G146" s="1121">
        <f t="shared" ref="G146:R146" si="49">+G122*(1+$M$159)+(G134*(1+$M$160))</f>
        <v>53279.999999999993</v>
      </c>
      <c r="H146" s="1120">
        <f t="shared" si="49"/>
        <v>53279.999999999993</v>
      </c>
      <c r="I146" s="1120">
        <f t="shared" si="49"/>
        <v>53279.999999999993</v>
      </c>
      <c r="J146" s="1119">
        <f t="shared" si="49"/>
        <v>74060</v>
      </c>
      <c r="K146" s="1121">
        <f t="shared" si="49"/>
        <v>53279.999999999993</v>
      </c>
      <c r="L146" s="1120">
        <f t="shared" si="49"/>
        <v>53279.999999999993</v>
      </c>
      <c r="M146" s="1120">
        <f t="shared" si="49"/>
        <v>53279.999999999993</v>
      </c>
      <c r="N146" s="1119">
        <f t="shared" si="49"/>
        <v>68864.999999999985</v>
      </c>
      <c r="O146" s="1118">
        <f t="shared" si="49"/>
        <v>228704.99999999997</v>
      </c>
      <c r="P146" s="1118">
        <f t="shared" si="49"/>
        <v>228704.99999999997</v>
      </c>
      <c r="Q146" s="1118">
        <f t="shared" si="49"/>
        <v>228704.99999999997</v>
      </c>
      <c r="R146" s="1118">
        <f t="shared" si="49"/>
        <v>228704.99999999997</v>
      </c>
      <c r="S146" s="1279">
        <f t="shared" si="48"/>
        <v>-5195</v>
      </c>
      <c r="T146" s="41"/>
    </row>
    <row r="147" spans="1:30">
      <c r="A147" s="105" t="str">
        <f t="shared" si="46"/>
        <v>Project Manager</v>
      </c>
      <c r="B147" s="1123"/>
      <c r="C147" s="1123"/>
      <c r="D147" s="1123"/>
      <c r="E147" s="1123"/>
      <c r="F147" s="1122"/>
      <c r="G147" s="1121">
        <f t="shared" ref="G147:R147" si="50">+G123*(1+$M$159)+(G135*(1+$M$160))</f>
        <v>31679.999999999996</v>
      </c>
      <c r="H147" s="1120">
        <f t="shared" si="50"/>
        <v>31679.999999999996</v>
      </c>
      <c r="I147" s="1120">
        <f t="shared" si="50"/>
        <v>31679.999999999996</v>
      </c>
      <c r="J147" s="1119">
        <f t="shared" si="50"/>
        <v>49862.5</v>
      </c>
      <c r="K147" s="1121">
        <f t="shared" si="50"/>
        <v>32399.999999999996</v>
      </c>
      <c r="L147" s="1120">
        <f t="shared" si="50"/>
        <v>32399.999999999996</v>
      </c>
      <c r="M147" s="1120">
        <f t="shared" si="50"/>
        <v>32399.999999999996</v>
      </c>
      <c r="N147" s="1119">
        <f t="shared" si="50"/>
        <v>47984.999999999993</v>
      </c>
      <c r="O147" s="1118">
        <f t="shared" si="50"/>
        <v>145184.99999999997</v>
      </c>
      <c r="P147" s="1118">
        <f t="shared" si="50"/>
        <v>145184.99999999997</v>
      </c>
      <c r="Q147" s="1118">
        <f t="shared" si="50"/>
        <v>145184.99999999997</v>
      </c>
      <c r="R147" s="1118">
        <f t="shared" si="50"/>
        <v>145184.99999999997</v>
      </c>
      <c r="S147" s="1279">
        <f t="shared" si="48"/>
        <v>282.4999999999709</v>
      </c>
    </row>
    <row r="148" spans="1:30">
      <c r="A148" s="105" t="str">
        <f t="shared" si="46"/>
        <v>Counsel</v>
      </c>
      <c r="B148" s="1123"/>
      <c r="C148" s="1123"/>
      <c r="D148" s="1123"/>
      <c r="E148" s="1123"/>
      <c r="F148" s="1122"/>
      <c r="G148" s="1121">
        <f t="shared" ref="G148:R148" si="51">+G124*(1+$M$159)+(G136*(1+$M$160))</f>
        <v>72000</v>
      </c>
      <c r="H148" s="1120">
        <f t="shared" si="51"/>
        <v>72000</v>
      </c>
      <c r="I148" s="1120">
        <f t="shared" si="51"/>
        <v>72000</v>
      </c>
      <c r="J148" s="1119">
        <f t="shared" si="51"/>
        <v>310970</v>
      </c>
      <c r="K148" s="1121">
        <f t="shared" si="51"/>
        <v>74880</v>
      </c>
      <c r="L148" s="1120">
        <f t="shared" si="51"/>
        <v>74880</v>
      </c>
      <c r="M148" s="1120">
        <f t="shared" si="51"/>
        <v>74880</v>
      </c>
      <c r="N148" s="1119">
        <f t="shared" si="51"/>
        <v>204755</v>
      </c>
      <c r="O148" s="1118">
        <f t="shared" si="51"/>
        <v>429395</v>
      </c>
      <c r="P148" s="1118">
        <f t="shared" si="51"/>
        <v>429395</v>
      </c>
      <c r="Q148" s="1118">
        <f t="shared" si="51"/>
        <v>429395</v>
      </c>
      <c r="R148" s="1118">
        <f t="shared" si="51"/>
        <v>429395</v>
      </c>
      <c r="S148" s="1279">
        <f t="shared" si="48"/>
        <v>-97575</v>
      </c>
    </row>
    <row r="149" spans="1:30">
      <c r="A149" s="105" t="str">
        <f t="shared" si="46"/>
        <v>Development Manager</v>
      </c>
      <c r="B149" s="1123"/>
      <c r="C149" s="1123"/>
      <c r="D149" s="1123"/>
      <c r="E149" s="1123"/>
      <c r="F149" s="1122"/>
      <c r="G149" s="1121">
        <f t="shared" ref="G149:R149" si="52">+G125*(1+$M$159)+(G137*(1+$M$160))</f>
        <v>50399.999999999993</v>
      </c>
      <c r="H149" s="1120">
        <f t="shared" si="52"/>
        <v>50399.999999999993</v>
      </c>
      <c r="I149" s="1120">
        <f t="shared" si="52"/>
        <v>50399.999999999993</v>
      </c>
      <c r="J149" s="1119">
        <f t="shared" si="52"/>
        <v>69621.5</v>
      </c>
      <c r="K149" s="1121">
        <f t="shared" si="52"/>
        <v>50399.999999999993</v>
      </c>
      <c r="L149" s="1120">
        <f t="shared" si="52"/>
        <v>50399.999999999993</v>
      </c>
      <c r="M149" s="1120">
        <f t="shared" si="52"/>
        <v>50399.999999999993</v>
      </c>
      <c r="N149" s="1119">
        <f t="shared" si="52"/>
        <v>69621.5</v>
      </c>
      <c r="O149" s="1118">
        <f t="shared" si="52"/>
        <v>220821.49999999997</v>
      </c>
      <c r="P149" s="1118">
        <f t="shared" si="52"/>
        <v>220821.49999999997</v>
      </c>
      <c r="Q149" s="1118">
        <f t="shared" si="52"/>
        <v>220821.49999999997</v>
      </c>
      <c r="R149" s="1118">
        <f t="shared" si="52"/>
        <v>220821.49999999997</v>
      </c>
      <c r="S149" s="1279">
        <f t="shared" si="48"/>
        <v>0</v>
      </c>
      <c r="T149" s="41"/>
    </row>
    <row r="150" spans="1:30">
      <c r="A150" s="105" t="str">
        <f t="shared" si="46"/>
        <v>Senior Design Manager</v>
      </c>
      <c r="B150" s="1123"/>
      <c r="C150" s="1123"/>
      <c r="D150" s="1123"/>
      <c r="E150" s="1123"/>
      <c r="F150" s="1122"/>
      <c r="G150" s="1121">
        <f t="shared" ref="G150:R150" si="53">+G126*(1+$M$159)+(G138*(1+$M$160))</f>
        <v>51839.999999999993</v>
      </c>
      <c r="H150" s="1120">
        <f t="shared" si="53"/>
        <v>51839.999999999993</v>
      </c>
      <c r="I150" s="1120">
        <f t="shared" si="53"/>
        <v>51839.999999999993</v>
      </c>
      <c r="J150" s="1119">
        <f t="shared" si="53"/>
        <v>119375</v>
      </c>
      <c r="K150" s="1121">
        <f t="shared" si="53"/>
        <v>54719.999999999993</v>
      </c>
      <c r="L150" s="1120">
        <f t="shared" si="53"/>
        <v>54719.999999999993</v>
      </c>
      <c r="M150" s="1120">
        <f t="shared" si="53"/>
        <v>54719.999999999993</v>
      </c>
      <c r="N150" s="1119">
        <f t="shared" si="53"/>
        <v>111864.99999999999</v>
      </c>
      <c r="O150" s="1118">
        <f t="shared" si="53"/>
        <v>276024.99999999994</v>
      </c>
      <c r="P150" s="1118">
        <f t="shared" si="53"/>
        <v>276024.99999999994</v>
      </c>
      <c r="Q150" s="1118">
        <f t="shared" si="53"/>
        <v>276024.99999999994</v>
      </c>
      <c r="R150" s="1118">
        <f t="shared" si="53"/>
        <v>276024.99999999994</v>
      </c>
      <c r="S150" s="1279">
        <f t="shared" si="48"/>
        <v>1129.9999999999418</v>
      </c>
      <c r="T150" s="41"/>
    </row>
    <row r="151" spans="1:30">
      <c r="A151" s="105" t="str">
        <f t="shared" si="46"/>
        <v>Design Manager</v>
      </c>
      <c r="B151" s="1123"/>
      <c r="C151" s="1123"/>
      <c r="D151" s="1123"/>
      <c r="E151" s="1123"/>
      <c r="F151" s="1122"/>
      <c r="G151" s="1121">
        <f t="shared" ref="G151:R151" si="54">+G127*(1+$M$159)+(G139*(1+$M$160))</f>
        <v>37440</v>
      </c>
      <c r="H151" s="1120">
        <f t="shared" si="54"/>
        <v>37440</v>
      </c>
      <c r="I151" s="1120">
        <f t="shared" si="54"/>
        <v>37440</v>
      </c>
      <c r="J151" s="1119">
        <f t="shared" si="54"/>
        <v>63415</v>
      </c>
      <c r="K151" s="1121">
        <f t="shared" si="54"/>
        <v>39600</v>
      </c>
      <c r="L151" s="1120">
        <f t="shared" si="54"/>
        <v>39600</v>
      </c>
      <c r="M151" s="1120">
        <f t="shared" si="54"/>
        <v>39600</v>
      </c>
      <c r="N151" s="1119">
        <f t="shared" si="54"/>
        <v>62977.5</v>
      </c>
      <c r="O151" s="1118">
        <f t="shared" si="54"/>
        <v>181777.5</v>
      </c>
      <c r="P151" s="1118">
        <f t="shared" si="54"/>
        <v>181777.5</v>
      </c>
      <c r="Q151" s="1118">
        <f t="shared" si="54"/>
        <v>181777.5</v>
      </c>
      <c r="R151" s="1118">
        <f t="shared" si="54"/>
        <v>181777.5</v>
      </c>
      <c r="S151" s="1279">
        <f t="shared" si="48"/>
        <v>6042.5</v>
      </c>
      <c r="T151" s="41"/>
    </row>
    <row r="152" spans="1:30">
      <c r="A152" s="105" t="str">
        <f t="shared" si="46"/>
        <v>FF&amp;E</v>
      </c>
      <c r="B152" s="1123"/>
      <c r="C152" s="1123"/>
      <c r="D152" s="1123"/>
      <c r="E152" s="1123"/>
      <c r="F152" s="1122"/>
      <c r="G152" s="1121">
        <f t="shared" ref="G152:R152" si="55">+G128*(1+$M$159)+(G140*(1+$M$160))</f>
        <v>31679.999999999996</v>
      </c>
      <c r="H152" s="1120">
        <f t="shared" si="55"/>
        <v>31679.999999999996</v>
      </c>
      <c r="I152" s="1120">
        <f t="shared" si="55"/>
        <v>31679.999999999996</v>
      </c>
      <c r="J152" s="1119">
        <f t="shared" si="55"/>
        <v>31679.999999999996</v>
      </c>
      <c r="K152" s="1121">
        <f t="shared" si="55"/>
        <v>31679.999999999996</v>
      </c>
      <c r="L152" s="1120">
        <f t="shared" si="55"/>
        <v>31679.999999999996</v>
      </c>
      <c r="M152" s="1120">
        <f t="shared" si="55"/>
        <v>31679.999999999996</v>
      </c>
      <c r="N152" s="1119">
        <f t="shared" si="55"/>
        <v>47264.999999999993</v>
      </c>
      <c r="O152" s="1118">
        <f t="shared" si="55"/>
        <v>142304.99999999997</v>
      </c>
      <c r="P152" s="1118">
        <f t="shared" si="55"/>
        <v>142304.99999999997</v>
      </c>
      <c r="Q152" s="1118">
        <f t="shared" si="55"/>
        <v>142304.99999999997</v>
      </c>
      <c r="R152" s="1118">
        <f t="shared" si="55"/>
        <v>142304.99999999997</v>
      </c>
      <c r="S152" s="1279">
        <f t="shared" si="48"/>
        <v>15584.999999999985</v>
      </c>
      <c r="T152" s="41"/>
    </row>
    <row r="153" spans="1:30">
      <c r="A153" s="105" t="str">
        <f t="shared" si="46"/>
        <v>Senior Financial Analyst</v>
      </c>
      <c r="B153" s="1123"/>
      <c r="C153" s="1123"/>
      <c r="D153" s="1123"/>
      <c r="E153" s="1123"/>
      <c r="F153" s="1122"/>
      <c r="G153" s="1121">
        <f t="shared" ref="G153:R153" si="56">+G129*(1+$M$159)+(G141*(1+$M$160))</f>
        <v>0</v>
      </c>
      <c r="H153" s="1120">
        <f t="shared" si="56"/>
        <v>0</v>
      </c>
      <c r="I153" s="1120">
        <f t="shared" si="56"/>
        <v>0</v>
      </c>
      <c r="J153" s="1119">
        <f t="shared" si="56"/>
        <v>51949.999999999993</v>
      </c>
      <c r="K153" s="1121">
        <f t="shared" si="56"/>
        <v>57599.999999999993</v>
      </c>
      <c r="L153" s="1120">
        <f t="shared" si="56"/>
        <v>57599.999999999993</v>
      </c>
      <c r="M153" s="1120">
        <f t="shared" si="56"/>
        <v>57599.999999999993</v>
      </c>
      <c r="N153" s="1119">
        <f t="shared" si="56"/>
        <v>109549.99999999999</v>
      </c>
      <c r="O153" s="1118">
        <f t="shared" si="56"/>
        <v>282349.99999999994</v>
      </c>
      <c r="P153" s="1118">
        <f t="shared" si="56"/>
        <v>282349.99999999994</v>
      </c>
      <c r="Q153" s="1118">
        <f t="shared" si="56"/>
        <v>282349.99999999994</v>
      </c>
      <c r="R153" s="1118">
        <f t="shared" si="56"/>
        <v>282349.99999999994</v>
      </c>
      <c r="S153" s="1279">
        <f>SUM(S145:S152)</f>
        <v>188854.99999999971</v>
      </c>
      <c r="T153" s="41"/>
    </row>
    <row r="154" spans="1:30">
      <c r="A154" s="105" t="str">
        <f t="shared" si="46"/>
        <v>Runoff</v>
      </c>
      <c r="B154" s="1123"/>
      <c r="C154" s="1123"/>
      <c r="D154" s="1123"/>
      <c r="E154" s="1123"/>
      <c r="F154" s="1122"/>
      <c r="G154" s="1121">
        <f t="shared" ref="G154:R154" si="57">+G130</f>
        <v>0</v>
      </c>
      <c r="H154" s="1120">
        <f t="shared" si="57"/>
        <v>0</v>
      </c>
      <c r="I154" s="1120">
        <f t="shared" si="57"/>
        <v>0</v>
      </c>
      <c r="J154" s="1119">
        <f t="shared" si="57"/>
        <v>0</v>
      </c>
      <c r="K154" s="1121">
        <f t="shared" si="57"/>
        <v>0</v>
      </c>
      <c r="L154" s="1120">
        <f t="shared" si="57"/>
        <v>0</v>
      </c>
      <c r="M154" s="1120">
        <f t="shared" si="57"/>
        <v>0</v>
      </c>
      <c r="N154" s="1119">
        <f t="shared" si="57"/>
        <v>0</v>
      </c>
      <c r="O154" s="1118">
        <f t="shared" si="57"/>
        <v>0</v>
      </c>
      <c r="P154" s="1118">
        <f t="shared" si="57"/>
        <v>0</v>
      </c>
      <c r="Q154" s="1118">
        <f t="shared" si="57"/>
        <v>-999999</v>
      </c>
      <c r="R154" s="1118">
        <f t="shared" si="57"/>
        <v>-999999</v>
      </c>
      <c r="T154" s="41"/>
    </row>
    <row r="155" spans="1:30" ht="14.7" customHeight="1" thickBot="1">
      <c r="A155" s="1117" t="s">
        <v>944</v>
      </c>
      <c r="B155" s="1116"/>
      <c r="C155" s="1116"/>
      <c r="D155" s="1116"/>
      <c r="E155" s="1116">
        <f>E132*(1+$M$159)+E143</f>
        <v>0</v>
      </c>
      <c r="F155" s="1115">
        <f>F132*(1+$M$159)+F143</f>
        <v>0</v>
      </c>
      <c r="G155" s="1278">
        <f>G132*(1+$M$159)+G143</f>
        <v>0</v>
      </c>
      <c r="H155" s="1276">
        <f>H132*(1+$M$159)+H143</f>
        <v>0</v>
      </c>
      <c r="I155" s="1276">
        <f>I132*(1+$M$159)+I143</f>
        <v>0</v>
      </c>
      <c r="J155" s="1275"/>
      <c r="K155" s="1277">
        <f>-J155</f>
        <v>0</v>
      </c>
      <c r="L155" s="1276">
        <f>L132*(1+$M$159)+L143</f>
        <v>0</v>
      </c>
      <c r="M155" s="1276">
        <f>M132*(1+$M$159)+M143</f>
        <v>0</v>
      </c>
      <c r="N155" s="1275"/>
      <c r="O155" s="1110">
        <f>-N155</f>
        <v>0</v>
      </c>
      <c r="P155" s="1274">
        <v>0</v>
      </c>
      <c r="Q155" s="1274">
        <v>0</v>
      </c>
      <c r="R155" s="1274">
        <v>0</v>
      </c>
      <c r="S155" s="72"/>
      <c r="T155" s="41"/>
      <c r="AD155" s="4"/>
    </row>
    <row r="156" spans="1:30" ht="14.7" customHeight="1" thickBot="1">
      <c r="A156" s="1108" t="s">
        <v>857</v>
      </c>
      <c r="B156" s="1105"/>
      <c r="C156" s="1105"/>
      <c r="D156" s="1105"/>
      <c r="E156" s="1105">
        <f>SUM(E145:E154)*(1+E$117)</f>
        <v>0</v>
      </c>
      <c r="F156" s="1105">
        <f>SUM(F145:F154)*(1+F$117)</f>
        <v>0</v>
      </c>
      <c r="G156" s="1105">
        <f t="shared" ref="G156:R156" si="58">SUM(G145:G155)*(1+G$117)</f>
        <v>429119.99999999994</v>
      </c>
      <c r="H156" s="1105">
        <f t="shared" si="58"/>
        <v>429119.99999999994</v>
      </c>
      <c r="I156" s="1105">
        <f t="shared" si="58"/>
        <v>429119.99999999994</v>
      </c>
      <c r="J156" s="1105">
        <f t="shared" si="58"/>
        <v>1583449</v>
      </c>
      <c r="K156" s="1105">
        <f t="shared" si="58"/>
        <v>610559.99999999988</v>
      </c>
      <c r="L156" s="1105">
        <f t="shared" si="58"/>
        <v>610559.99999999988</v>
      </c>
      <c r="M156" s="1105">
        <f t="shared" si="58"/>
        <v>610559.99999999988</v>
      </c>
      <c r="N156" s="1105">
        <f t="shared" si="58"/>
        <v>1458384</v>
      </c>
      <c r="O156" s="1105">
        <f t="shared" si="58"/>
        <v>3290064</v>
      </c>
      <c r="P156" s="1105">
        <f t="shared" si="58"/>
        <v>3290064</v>
      </c>
      <c r="Q156" s="1105">
        <f t="shared" si="58"/>
        <v>2290065</v>
      </c>
      <c r="R156" s="1104">
        <f t="shared" si="58"/>
        <v>2290065</v>
      </c>
      <c r="T156" s="41"/>
    </row>
    <row r="157" spans="1:30">
      <c r="T157" s="41"/>
    </row>
    <row r="158" spans="1:30" ht="14.7" customHeight="1" thickBot="1">
      <c r="A158" s="1273" t="s">
        <v>1004</v>
      </c>
      <c r="B158" s="4"/>
      <c r="C158" s="21"/>
      <c r="D158" s="21"/>
      <c r="E158" s="21"/>
      <c r="F158" s="21"/>
      <c r="G158" s="21"/>
      <c r="H158" s="21"/>
      <c r="T158" s="41"/>
    </row>
    <row r="159" spans="1:30" ht="14.7" customHeight="1" thickBot="1">
      <c r="A159" s="1272"/>
      <c r="B159" s="78" t="s">
        <v>866</v>
      </c>
      <c r="C159" s="78" t="s">
        <v>867</v>
      </c>
      <c r="D159" s="76" t="s">
        <v>868</v>
      </c>
      <c r="E159" s="76" t="s">
        <v>869</v>
      </c>
      <c r="F159" s="76" t="s">
        <v>229</v>
      </c>
      <c r="G159" s="76" t="s">
        <v>870</v>
      </c>
      <c r="H159" s="76" t="s">
        <v>871</v>
      </c>
      <c r="I159" s="76" t="s">
        <v>872</v>
      </c>
      <c r="J159" s="76" t="s">
        <v>1005</v>
      </c>
      <c r="L159" s="18" t="s">
        <v>805</v>
      </c>
      <c r="M159" s="1271">
        <v>0.152</v>
      </c>
      <c r="T159" s="41"/>
    </row>
    <row r="160" spans="1:30" ht="14.7" customHeight="1" thickBot="1">
      <c r="A160" s="86" t="str">
        <f t="shared" ref="A160:A169" si="59">+A121</f>
        <v>HODS</v>
      </c>
      <c r="B160" s="1270">
        <f t="shared" ref="B160:B169" si="60">1-C160</f>
        <v>1</v>
      </c>
      <c r="C160" s="70">
        <f t="shared" ref="C160:C169" si="61">+SUM(D160:J160)</f>
        <v>0</v>
      </c>
      <c r="D160" s="1519">
        <v>0</v>
      </c>
      <c r="E160" s="1519">
        <v>0</v>
      </c>
      <c r="F160" s="1519">
        <v>0</v>
      </c>
      <c r="G160" s="1519">
        <v>0</v>
      </c>
      <c r="H160" s="1519">
        <v>0</v>
      </c>
      <c r="I160" s="1520">
        <v>0</v>
      </c>
      <c r="J160" s="1520">
        <v>0</v>
      </c>
      <c r="L160" s="18" t="s">
        <v>806</v>
      </c>
      <c r="M160" s="1271">
        <v>3.9E-2</v>
      </c>
      <c r="T160" s="41"/>
    </row>
    <row r="161" spans="1:20">
      <c r="A161" s="86" t="str">
        <f t="shared" si="59"/>
        <v>Project Executive</v>
      </c>
      <c r="B161" s="1270">
        <f t="shared" si="60"/>
        <v>0</v>
      </c>
      <c r="C161" s="70">
        <f t="shared" si="61"/>
        <v>1</v>
      </c>
      <c r="D161" s="1519">
        <v>0</v>
      </c>
      <c r="E161" s="1519">
        <v>0</v>
      </c>
      <c r="F161" s="1519">
        <v>0.5</v>
      </c>
      <c r="G161" s="1519">
        <v>0.5</v>
      </c>
      <c r="H161" s="1519">
        <v>0</v>
      </c>
      <c r="I161" s="1520">
        <v>0</v>
      </c>
      <c r="J161" s="1520">
        <v>0</v>
      </c>
      <c r="T161" s="41"/>
    </row>
    <row r="162" spans="1:20">
      <c r="A162" s="86" t="str">
        <f t="shared" si="59"/>
        <v>Project Manager</v>
      </c>
      <c r="B162" s="1270">
        <f t="shared" si="60"/>
        <v>1</v>
      </c>
      <c r="C162" s="70">
        <f t="shared" si="61"/>
        <v>0</v>
      </c>
      <c r="D162" s="1519">
        <v>0</v>
      </c>
      <c r="E162" s="1519">
        <v>0</v>
      </c>
      <c r="F162" s="1519">
        <v>0</v>
      </c>
      <c r="G162" s="1519">
        <v>0</v>
      </c>
      <c r="H162" s="1519">
        <v>0</v>
      </c>
      <c r="I162" s="1520">
        <v>0</v>
      </c>
      <c r="J162" s="1520">
        <v>0</v>
      </c>
      <c r="T162" s="41"/>
    </row>
    <row r="163" spans="1:20">
      <c r="A163" s="86" t="str">
        <f t="shared" si="59"/>
        <v>Counsel</v>
      </c>
      <c r="B163" s="1270">
        <f t="shared" si="60"/>
        <v>1</v>
      </c>
      <c r="C163" s="70">
        <f t="shared" si="61"/>
        <v>0</v>
      </c>
      <c r="D163" s="1519">
        <v>0</v>
      </c>
      <c r="E163" s="1519">
        <v>0</v>
      </c>
      <c r="F163" s="1519">
        <v>0</v>
      </c>
      <c r="G163" s="1519">
        <v>0</v>
      </c>
      <c r="H163" s="1519">
        <v>0</v>
      </c>
      <c r="I163" s="1520">
        <v>0</v>
      </c>
      <c r="J163" s="1520">
        <v>0</v>
      </c>
      <c r="T163" s="41"/>
    </row>
    <row r="164" spans="1:20">
      <c r="A164" s="86" t="str">
        <f t="shared" si="59"/>
        <v>Development Manager</v>
      </c>
      <c r="B164" s="1270">
        <f t="shared" si="60"/>
        <v>1</v>
      </c>
      <c r="C164" s="70">
        <f t="shared" si="61"/>
        <v>0</v>
      </c>
      <c r="D164" s="1519">
        <v>0</v>
      </c>
      <c r="E164" s="1519">
        <v>0</v>
      </c>
      <c r="F164" s="1519">
        <v>0</v>
      </c>
      <c r="G164" s="1519">
        <v>0</v>
      </c>
      <c r="H164" s="1519">
        <v>0</v>
      </c>
      <c r="I164" s="1520">
        <v>0</v>
      </c>
      <c r="J164" s="1520">
        <v>0</v>
      </c>
      <c r="T164" s="41"/>
    </row>
    <row r="165" spans="1:20">
      <c r="A165" s="86" t="str">
        <f t="shared" si="59"/>
        <v>Senior Design Manager</v>
      </c>
      <c r="B165" s="1270">
        <f t="shared" si="60"/>
        <v>1</v>
      </c>
      <c r="C165" s="70">
        <f t="shared" si="61"/>
        <v>0</v>
      </c>
      <c r="D165" s="1519">
        <v>0</v>
      </c>
      <c r="E165" s="1519">
        <v>0</v>
      </c>
      <c r="F165" s="1519">
        <v>0</v>
      </c>
      <c r="G165" s="1519">
        <v>0</v>
      </c>
      <c r="H165" s="1519">
        <v>0</v>
      </c>
      <c r="I165" s="1520">
        <v>0</v>
      </c>
      <c r="J165" s="1520">
        <v>0</v>
      </c>
      <c r="T165" s="41"/>
    </row>
    <row r="166" spans="1:20">
      <c r="A166" s="86" t="str">
        <f t="shared" si="59"/>
        <v>Design Manager</v>
      </c>
      <c r="B166" s="1270">
        <f t="shared" si="60"/>
        <v>1</v>
      </c>
      <c r="C166" s="70">
        <f t="shared" si="61"/>
        <v>0</v>
      </c>
      <c r="D166" s="1519">
        <v>0</v>
      </c>
      <c r="E166" s="1519">
        <v>0</v>
      </c>
      <c r="F166" s="1519">
        <v>0</v>
      </c>
      <c r="G166" s="1519">
        <v>0</v>
      </c>
      <c r="H166" s="1519">
        <v>0</v>
      </c>
      <c r="I166" s="1520">
        <v>0</v>
      </c>
      <c r="J166" s="1520">
        <v>0</v>
      </c>
      <c r="T166" s="41"/>
    </row>
    <row r="167" spans="1:20">
      <c r="A167" s="86" t="str">
        <f t="shared" si="59"/>
        <v>FF&amp;E</v>
      </c>
      <c r="B167" s="1270">
        <f t="shared" si="60"/>
        <v>1</v>
      </c>
      <c r="C167" s="70">
        <f t="shared" si="61"/>
        <v>0</v>
      </c>
      <c r="D167" s="1519">
        <v>0</v>
      </c>
      <c r="E167" s="1519">
        <v>0</v>
      </c>
      <c r="F167" s="1519">
        <v>0</v>
      </c>
      <c r="G167" s="1519">
        <v>0</v>
      </c>
      <c r="H167" s="1519">
        <v>0</v>
      </c>
      <c r="I167" s="1520">
        <v>0</v>
      </c>
      <c r="J167" s="1520">
        <v>0</v>
      </c>
      <c r="T167" s="41"/>
    </row>
    <row r="168" spans="1:20">
      <c r="A168" s="86" t="str">
        <f t="shared" si="59"/>
        <v>Senior Financial Analyst</v>
      </c>
      <c r="B168" s="1270">
        <f t="shared" si="60"/>
        <v>1</v>
      </c>
      <c r="C168" s="70">
        <f t="shared" si="61"/>
        <v>0</v>
      </c>
      <c r="D168" s="1519">
        <v>0</v>
      </c>
      <c r="E168" s="1519">
        <v>0</v>
      </c>
      <c r="F168" s="1519">
        <v>0</v>
      </c>
      <c r="G168" s="1519">
        <v>0</v>
      </c>
      <c r="H168" s="1519">
        <v>0</v>
      </c>
      <c r="I168" s="1520">
        <v>0</v>
      </c>
      <c r="J168" s="1520">
        <v>0</v>
      </c>
      <c r="T168" s="41"/>
    </row>
    <row r="169" spans="1:20">
      <c r="A169" s="86" t="str">
        <f t="shared" si="59"/>
        <v>Runoff</v>
      </c>
      <c r="B169" s="1270">
        <f t="shared" si="60"/>
        <v>1</v>
      </c>
      <c r="C169" s="70">
        <f t="shared" si="61"/>
        <v>0</v>
      </c>
      <c r="D169" s="1519">
        <v>0</v>
      </c>
      <c r="E169" s="1519">
        <v>0</v>
      </c>
      <c r="F169" s="1519">
        <v>0</v>
      </c>
      <c r="G169" s="1519">
        <v>0</v>
      </c>
      <c r="H169" s="1519">
        <v>0</v>
      </c>
      <c r="I169" s="1520">
        <v>0</v>
      </c>
      <c r="J169" s="1520">
        <v>0</v>
      </c>
      <c r="T169" s="41"/>
    </row>
    <row r="170" spans="1:20">
      <c r="A170" s="1269" t="s">
        <v>23</v>
      </c>
      <c r="B170" s="75">
        <f t="shared" ref="B170:J170" si="62">+SUMPRODUCT($K$145:$K$154,B160:B169)</f>
        <v>557280</v>
      </c>
      <c r="C170" s="75">
        <f t="shared" si="62"/>
        <v>53279.999999999993</v>
      </c>
      <c r="D170" s="75">
        <f t="shared" si="62"/>
        <v>0</v>
      </c>
      <c r="E170" s="75">
        <f t="shared" si="62"/>
        <v>0</v>
      </c>
      <c r="F170" s="75">
        <f t="shared" si="62"/>
        <v>26639.999999999996</v>
      </c>
      <c r="G170" s="75">
        <f t="shared" si="62"/>
        <v>26639.999999999996</v>
      </c>
      <c r="H170" s="75">
        <f t="shared" si="62"/>
        <v>0</v>
      </c>
      <c r="I170" s="75">
        <f t="shared" si="62"/>
        <v>0</v>
      </c>
      <c r="J170" s="75">
        <f t="shared" si="62"/>
        <v>0</v>
      </c>
      <c r="T170" s="41"/>
    </row>
    <row r="172" spans="1:20">
      <c r="T172" s="41"/>
    </row>
    <row r="173" spans="1:20">
      <c r="C173" s="1164"/>
      <c r="D173" s="1163"/>
      <c r="E173" s="73"/>
      <c r="F173" s="73"/>
      <c r="T173" s="41"/>
    </row>
    <row r="174" spans="1:20">
      <c r="C174" s="5"/>
      <c r="D174" s="83"/>
      <c r="E174" s="5"/>
      <c r="F174" s="5"/>
      <c r="T174" s="41"/>
    </row>
    <row r="175" spans="1:20">
      <c r="C175" s="1146"/>
      <c r="D175" s="108"/>
      <c r="E175" s="108"/>
      <c r="F175" s="108"/>
      <c r="T175" s="41"/>
    </row>
    <row r="176" spans="1:20">
      <c r="C176" s="1146"/>
      <c r="D176" s="108"/>
      <c r="E176" s="108"/>
      <c r="F176" s="108"/>
      <c r="T176" s="41"/>
    </row>
    <row r="177" spans="3:20">
      <c r="C177" s="1146"/>
      <c r="D177" s="108"/>
      <c r="E177" s="108"/>
      <c r="F177" s="108"/>
      <c r="T177" s="41"/>
    </row>
    <row r="178" spans="3:20">
      <c r="C178" s="1146"/>
      <c r="D178" s="108"/>
      <c r="E178" s="108"/>
      <c r="F178" s="108"/>
      <c r="T178" s="41"/>
    </row>
    <row r="179" spans="3:20">
      <c r="C179" s="1146"/>
      <c r="D179" s="108"/>
      <c r="E179" s="108"/>
      <c r="F179" s="108"/>
      <c r="T179" s="41"/>
    </row>
    <row r="180" spans="3:20">
      <c r="C180" s="1250"/>
      <c r="D180" s="108"/>
      <c r="E180" s="108"/>
      <c r="F180" s="108"/>
      <c r="T180" s="41"/>
    </row>
    <row r="181" spans="3:20">
      <c r="C181" s="1146"/>
      <c r="D181" s="108"/>
      <c r="E181" s="108"/>
      <c r="F181" s="108"/>
      <c r="T181" s="41"/>
    </row>
    <row r="182" spans="3:20">
      <c r="C182" s="1145"/>
      <c r="D182" s="112"/>
      <c r="E182" s="112"/>
      <c r="F182" s="112"/>
      <c r="T182" s="41"/>
    </row>
    <row r="183" spans="3:20">
      <c r="C183" s="5"/>
      <c r="D183" s="83"/>
      <c r="E183" s="112"/>
      <c r="F183" s="112"/>
      <c r="T183" s="41"/>
    </row>
    <row r="184" spans="3:20">
      <c r="D184" s="83"/>
      <c r="F184" s="83"/>
      <c r="T184" s="41"/>
    </row>
    <row r="185" spans="3:20">
      <c r="D185" s="108"/>
      <c r="E185" s="9"/>
      <c r="F185" s="108"/>
      <c r="T185" s="41"/>
    </row>
    <row r="186" spans="3:20">
      <c r="D186" s="108"/>
      <c r="E186" s="9"/>
      <c r="F186" s="108"/>
      <c r="T186" s="41"/>
    </row>
    <row r="187" spans="3:20">
      <c r="D187" s="108"/>
      <c r="E187" s="9"/>
      <c r="F187" s="108"/>
      <c r="T187" s="41"/>
    </row>
    <row r="188" spans="3:20">
      <c r="C188" s="23"/>
      <c r="D188" s="112"/>
      <c r="E188" s="9"/>
      <c r="F188" s="112"/>
      <c r="T188" s="41"/>
    </row>
    <row r="189" spans="3:20">
      <c r="C189" s="5"/>
      <c r="D189" s="112"/>
      <c r="E189" s="22"/>
      <c r="F189" s="112"/>
      <c r="T189" s="41"/>
    </row>
    <row r="190" spans="3:20">
      <c r="D190" s="108"/>
      <c r="E190" s="9"/>
      <c r="F190" s="108"/>
      <c r="T190" s="41"/>
    </row>
    <row r="191" spans="3:20">
      <c r="C191" s="5"/>
      <c r="D191" s="112"/>
      <c r="E191" s="9"/>
      <c r="F191" s="112"/>
    </row>
  </sheetData>
  <mergeCells count="4">
    <mergeCell ref="AQ43:AW43"/>
    <mergeCell ref="AJ43:AO43"/>
    <mergeCell ref="AJ63:AO63"/>
    <mergeCell ref="AQ63:AW63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F4B084"/>
    <pageSetUpPr autoPageBreaks="0"/>
  </sheetPr>
  <dimension ref="A1:AR107"/>
  <sheetViews>
    <sheetView showGridLines="0" zoomScale="85" zoomScaleNormal="85" workbookViewId="0">
      <pane xSplit="5" ySplit="3" topLeftCell="G4" activePane="bottomRight" state="frozen"/>
      <selection activeCell="E16" sqref="E16"/>
      <selection pane="topRight" activeCell="E16" sqref="E16"/>
      <selection pane="bottomLeft" activeCell="E16" sqref="E16"/>
      <selection pane="bottomRight" activeCell="A21" sqref="A21"/>
    </sheetView>
  </sheetViews>
  <sheetFormatPr defaultColWidth="9.26171875" defaultRowHeight="14.4" outlineLevelCol="1"/>
  <cols>
    <col min="1" max="1" width="42.68359375" style="29" bestFit="1" customWidth="1"/>
    <col min="2" max="2" width="32" style="29" customWidth="1" outlineLevel="1"/>
    <col min="3" max="3" width="23.68359375" style="29" customWidth="1" outlineLevel="1"/>
    <col min="4" max="4" width="18.26171875" style="29" customWidth="1" outlineLevel="1"/>
    <col min="5" max="5" width="12.68359375" style="29" customWidth="1" outlineLevel="1"/>
    <col min="6" max="7" width="13.68359375" style="29" bestFit="1" customWidth="1"/>
    <col min="8" max="8" width="14.26171875" style="29" bestFit="1" customWidth="1"/>
    <col min="9" max="9" width="13.68359375" style="29" bestFit="1" customWidth="1"/>
    <col min="10" max="10" width="15.68359375" style="29" bestFit="1" customWidth="1"/>
    <col min="11" max="14" width="14.26171875" style="29" bestFit="1" customWidth="1"/>
    <col min="15" max="15" width="16.578125" style="29" bestFit="1" customWidth="1"/>
    <col min="16" max="16" width="15.68359375" style="29" bestFit="1" customWidth="1"/>
    <col min="17" max="18" width="16.578125" style="29" bestFit="1" customWidth="1"/>
    <col min="19" max="19" width="9.26171875" style="29" customWidth="1"/>
    <col min="20" max="20" width="28.41796875" style="29" bestFit="1" customWidth="1"/>
    <col min="21" max="21" width="28.68359375" style="29" bestFit="1" customWidth="1"/>
    <col min="22" max="22" width="21" style="29" bestFit="1" customWidth="1"/>
    <col min="23" max="23" width="11.68359375" style="29" bestFit="1" customWidth="1"/>
    <col min="24" max="24" width="14.26171875" style="29" bestFit="1" customWidth="1"/>
    <col min="25" max="25" width="9.26171875" style="29" bestFit="1" customWidth="1"/>
    <col min="26" max="26" width="9.578125" style="29" bestFit="1" customWidth="1"/>
    <col min="27" max="29" width="9.26171875" style="29" customWidth="1"/>
    <col min="30" max="30" width="9.68359375" style="29" bestFit="1" customWidth="1"/>
    <col min="31" max="31" width="9.26171875" style="29" customWidth="1"/>
    <col min="32" max="16384" width="9.26171875" style="29"/>
  </cols>
  <sheetData>
    <row r="1" spans="1:21" s="1236" customFormat="1" ht="18.600000000000001" customHeight="1" thickBot="1">
      <c r="A1" s="1268" t="str">
        <f t="array" aca="1" ref="A1" ca="1">_xlfn.TEXTAFTER(CELL("filename",A1),"]")</f>
        <v>c12_bi&amp;f</v>
      </c>
      <c r="B1" s="1267"/>
      <c r="C1" s="1267"/>
      <c r="D1" s="1267"/>
      <c r="E1" s="1267"/>
      <c r="F1" s="1267"/>
      <c r="G1" s="1267"/>
      <c r="H1" s="1267"/>
      <c r="I1" s="1267"/>
      <c r="J1" s="1267"/>
      <c r="K1" s="1267"/>
      <c r="L1" s="1267"/>
      <c r="M1" s="1267"/>
      <c r="N1" s="1267"/>
      <c r="O1" s="1267"/>
      <c r="P1" s="1267"/>
      <c r="Q1" s="1267"/>
      <c r="R1" s="1267"/>
      <c r="T1" s="1448"/>
    </row>
    <row r="2" spans="1:21">
      <c r="A2" s="1223" t="s">
        <v>120</v>
      </c>
      <c r="B2" s="1171">
        <v>44196</v>
      </c>
      <c r="C2" s="1171">
        <v>44561</v>
      </c>
      <c r="D2" s="1171">
        <v>44926</v>
      </c>
      <c r="E2" s="1171">
        <v>45291</v>
      </c>
      <c r="F2" s="1171">
        <v>45657</v>
      </c>
      <c r="G2" s="1447">
        <v>45747</v>
      </c>
      <c r="H2" s="1446">
        <v>45838</v>
      </c>
      <c r="I2" s="1446">
        <v>45930</v>
      </c>
      <c r="J2" s="1445">
        <v>46022</v>
      </c>
      <c r="K2" s="1447">
        <v>46112</v>
      </c>
      <c r="L2" s="1446">
        <v>46203</v>
      </c>
      <c r="M2" s="1446">
        <v>46295</v>
      </c>
      <c r="N2" s="1445">
        <v>46387</v>
      </c>
      <c r="O2" s="1444">
        <v>46752</v>
      </c>
      <c r="P2" s="1444">
        <v>47118</v>
      </c>
      <c r="Q2" s="1444">
        <v>47483</v>
      </c>
      <c r="R2" s="1444">
        <v>47848</v>
      </c>
    </row>
    <row r="3" spans="1:21">
      <c r="A3" s="1186" t="s">
        <v>222</v>
      </c>
      <c r="B3" s="1266" t="s">
        <v>2</v>
      </c>
      <c r="C3" s="1266" t="s">
        <v>2</v>
      </c>
      <c r="D3" s="1266" t="s">
        <v>2</v>
      </c>
      <c r="E3" s="1266" t="s">
        <v>2</v>
      </c>
      <c r="F3" s="1266" t="s">
        <v>2</v>
      </c>
      <c r="G3" s="1443" t="s">
        <v>3</v>
      </c>
      <c r="H3" s="1266" t="s">
        <v>4</v>
      </c>
      <c r="I3" s="1266" t="s">
        <v>5</v>
      </c>
      <c r="J3" s="1442" t="s">
        <v>2</v>
      </c>
      <c r="K3" s="1443" t="s">
        <v>3</v>
      </c>
      <c r="L3" s="1266" t="s">
        <v>4</v>
      </c>
      <c r="M3" s="1266" t="s">
        <v>5</v>
      </c>
      <c r="N3" s="1442" t="s">
        <v>2</v>
      </c>
      <c r="O3" s="1441" t="s">
        <v>2</v>
      </c>
      <c r="P3" s="1441" t="s">
        <v>2</v>
      </c>
      <c r="Q3" s="1441" t="s">
        <v>2</v>
      </c>
      <c r="R3" s="1441" t="s">
        <v>2</v>
      </c>
    </row>
    <row r="4" spans="1:21">
      <c r="A4" s="1211" t="s">
        <v>888</v>
      </c>
      <c r="B4" s="1170"/>
      <c r="C4" s="1170"/>
      <c r="D4" s="1170"/>
      <c r="E4" s="1170"/>
      <c r="F4" s="1170"/>
      <c r="G4" s="1223"/>
      <c r="H4" s="1170"/>
      <c r="I4" s="1170"/>
      <c r="J4" s="1263"/>
      <c r="K4" s="1223"/>
      <c r="L4" s="1170"/>
      <c r="M4" s="1170"/>
      <c r="N4" s="1263"/>
      <c r="O4" s="1440"/>
      <c r="P4" s="1440"/>
      <c r="Q4" s="1440"/>
      <c r="R4" s="1440"/>
    </row>
    <row r="5" spans="1:21">
      <c r="A5" s="1210" t="s">
        <v>1006</v>
      </c>
      <c r="B5" s="1241"/>
      <c r="C5" s="1241"/>
      <c r="D5" s="1241"/>
      <c r="E5" s="1241"/>
      <c r="F5" s="1238"/>
      <c r="G5" s="1244"/>
      <c r="H5" s="1241"/>
      <c r="I5" s="1241"/>
      <c r="J5" s="1436"/>
      <c r="K5" s="1437"/>
      <c r="L5" s="1238"/>
      <c r="M5" s="1238"/>
      <c r="N5" s="1436"/>
      <c r="O5" s="1435"/>
      <c r="P5" s="1435"/>
      <c r="Q5" s="1435"/>
      <c r="R5" s="1435"/>
      <c r="T5" s="4"/>
      <c r="U5" s="1434"/>
    </row>
    <row r="6" spans="1:21">
      <c r="A6" s="1210" t="s">
        <v>227</v>
      </c>
      <c r="B6" s="1241"/>
      <c r="C6" s="1241"/>
      <c r="D6" s="1241"/>
      <c r="E6" s="1241"/>
      <c r="F6" s="1241"/>
      <c r="G6" s="1244"/>
      <c r="H6" s="1241"/>
      <c r="I6" s="1241"/>
      <c r="J6" s="1436"/>
      <c r="K6" s="1437"/>
      <c r="L6" s="1238"/>
      <c r="M6" s="1238"/>
      <c r="N6" s="1436"/>
      <c r="O6" s="1435"/>
      <c r="P6" s="1435"/>
      <c r="Q6" s="1435"/>
      <c r="R6" s="1435"/>
      <c r="U6" s="1434"/>
    </row>
    <row r="7" spans="1:21">
      <c r="A7" s="1210" t="s">
        <v>229</v>
      </c>
      <c r="B7" s="1241"/>
      <c r="C7" s="1241"/>
      <c r="D7" s="1241"/>
      <c r="E7" s="1241"/>
      <c r="F7" s="1241"/>
      <c r="G7" s="1244"/>
      <c r="H7" s="1241"/>
      <c r="I7" s="1241"/>
      <c r="J7" s="1436"/>
      <c r="K7" s="1437"/>
      <c r="L7" s="1238"/>
      <c r="M7" s="1238"/>
      <c r="N7" s="1436"/>
      <c r="O7" s="1435"/>
      <c r="P7" s="1435"/>
      <c r="Q7" s="1435"/>
      <c r="R7" s="1435"/>
      <c r="U7" s="1439"/>
    </row>
    <row r="8" spans="1:21">
      <c r="A8" s="1210" t="s">
        <v>320</v>
      </c>
      <c r="B8" s="1241"/>
      <c r="C8" s="1241"/>
      <c r="D8" s="1241"/>
      <c r="E8" s="1241"/>
      <c r="F8" s="1241"/>
      <c r="G8" s="1244"/>
      <c r="H8" s="1241"/>
      <c r="I8" s="1241"/>
      <c r="J8" s="1436"/>
      <c r="K8" s="1437"/>
      <c r="L8" s="1238"/>
      <c r="M8" s="1238"/>
      <c r="N8" s="1436"/>
      <c r="O8" s="1435"/>
      <c r="P8" s="1435"/>
      <c r="Q8" s="1435"/>
      <c r="R8" s="1435"/>
      <c r="U8" s="1438"/>
    </row>
    <row r="9" spans="1:21">
      <c r="A9" s="1210" t="s">
        <v>1007</v>
      </c>
      <c r="B9" s="1241"/>
      <c r="C9" s="1241"/>
      <c r="D9" s="1241"/>
      <c r="E9" s="1241"/>
      <c r="F9" s="1241"/>
      <c r="G9" s="1244"/>
      <c r="H9" s="1241"/>
      <c r="I9" s="1241"/>
      <c r="J9" s="1436"/>
      <c r="K9" s="1437"/>
      <c r="L9" s="1238"/>
      <c r="M9" s="1238"/>
      <c r="N9" s="1436"/>
      <c r="O9" s="1435"/>
      <c r="P9" s="1435"/>
      <c r="Q9" s="1435"/>
      <c r="R9" s="1435"/>
      <c r="U9" s="1356"/>
    </row>
    <row r="10" spans="1:21">
      <c r="A10" s="1210" t="s">
        <v>1008</v>
      </c>
      <c r="B10" s="1423"/>
      <c r="C10" s="1423"/>
      <c r="D10" s="1423"/>
      <c r="E10" s="1423"/>
      <c r="F10" s="1423"/>
      <c r="G10" s="1424"/>
      <c r="H10" s="1423"/>
      <c r="I10" s="1423"/>
      <c r="J10" s="1431"/>
      <c r="K10" s="1433"/>
      <c r="L10" s="1432"/>
      <c r="M10" s="1432"/>
      <c r="N10" s="1431"/>
      <c r="O10" s="1430"/>
      <c r="P10" s="1430"/>
      <c r="Q10" s="1430"/>
      <c r="R10" s="1430"/>
      <c r="U10" s="1434"/>
    </row>
    <row r="11" spans="1:21">
      <c r="A11" s="1210" t="s">
        <v>1009</v>
      </c>
      <c r="B11" s="1423"/>
      <c r="C11" s="1423"/>
      <c r="D11" s="1423"/>
      <c r="E11" s="1423"/>
      <c r="F11" s="1423"/>
      <c r="G11" s="1424"/>
      <c r="H11" s="1423"/>
      <c r="I11" s="1423"/>
      <c r="J11" s="1431"/>
      <c r="K11" s="1433">
        <v>0</v>
      </c>
      <c r="L11" s="1432"/>
      <c r="M11" s="1432"/>
      <c r="N11" s="1431"/>
      <c r="O11" s="1430"/>
      <c r="P11" s="1430"/>
      <c r="Q11" s="1430"/>
      <c r="R11" s="1430"/>
      <c r="U11" s="1434"/>
    </row>
    <row r="12" spans="1:21">
      <c r="A12" s="1210" t="s">
        <v>1010</v>
      </c>
      <c r="B12" s="1423"/>
      <c r="C12" s="1423"/>
      <c r="D12" s="1423"/>
      <c r="E12" s="1423"/>
      <c r="F12" s="1423"/>
      <c r="G12" s="1424"/>
      <c r="H12" s="1423"/>
      <c r="I12" s="1423"/>
      <c r="J12" s="1431"/>
      <c r="K12" s="1433"/>
      <c r="L12" s="1432"/>
      <c r="M12" s="1432"/>
      <c r="N12" s="1431"/>
      <c r="O12" s="1430"/>
      <c r="P12" s="1430"/>
      <c r="Q12" s="1430"/>
      <c r="R12" s="1430"/>
      <c r="T12" s="41"/>
    </row>
    <row r="13" spans="1:21">
      <c r="A13" s="1429" t="s">
        <v>811</v>
      </c>
      <c r="B13" s="1219">
        <f t="shared" ref="B13:R13" si="0">SUM(B5:B12)</f>
        <v>0</v>
      </c>
      <c r="C13" s="1219">
        <f t="shared" si="0"/>
        <v>0</v>
      </c>
      <c r="D13" s="1219">
        <f t="shared" si="0"/>
        <v>0</v>
      </c>
      <c r="E13" s="1219">
        <f t="shared" si="0"/>
        <v>0</v>
      </c>
      <c r="F13" s="1202">
        <f t="shared" si="0"/>
        <v>0</v>
      </c>
      <c r="G13" s="1202">
        <f t="shared" si="0"/>
        <v>0</v>
      </c>
      <c r="H13" s="1202">
        <f t="shared" si="0"/>
        <v>0</v>
      </c>
      <c r="I13" s="1202">
        <f t="shared" si="0"/>
        <v>0</v>
      </c>
      <c r="J13" s="1428">
        <f t="shared" si="0"/>
        <v>0</v>
      </c>
      <c r="K13" s="1428">
        <f t="shared" si="0"/>
        <v>0</v>
      </c>
      <c r="L13" s="1428">
        <f t="shared" si="0"/>
        <v>0</v>
      </c>
      <c r="M13" s="1428">
        <f t="shared" si="0"/>
        <v>0</v>
      </c>
      <c r="N13" s="1428">
        <f t="shared" si="0"/>
        <v>0</v>
      </c>
      <c r="O13" s="1428">
        <f t="shared" si="0"/>
        <v>0</v>
      </c>
      <c r="P13" s="1428">
        <f t="shared" si="0"/>
        <v>0</v>
      </c>
      <c r="Q13" s="1428">
        <f t="shared" si="0"/>
        <v>0</v>
      </c>
      <c r="R13" s="1428">
        <f t="shared" si="0"/>
        <v>0</v>
      </c>
      <c r="T13" s="41"/>
    </row>
    <row r="14" spans="1:21">
      <c r="A14" s="1223" t="s">
        <v>1011</v>
      </c>
      <c r="B14" s="1258"/>
      <c r="C14" s="1241"/>
      <c r="D14" s="1241"/>
      <c r="E14" s="1241"/>
      <c r="F14" s="1257"/>
      <c r="G14" s="1258"/>
      <c r="H14" s="1241"/>
      <c r="I14" s="1241"/>
      <c r="J14" s="1257"/>
      <c r="K14" s="1258"/>
      <c r="L14" s="1241"/>
      <c r="M14" s="1241"/>
      <c r="N14" s="1257"/>
      <c r="O14" s="1256"/>
      <c r="P14" s="1256"/>
      <c r="Q14" s="1256"/>
      <c r="R14" s="1256"/>
      <c r="T14" s="41"/>
    </row>
    <row r="15" spans="1:21">
      <c r="A15" s="1223" t="s">
        <v>897</v>
      </c>
      <c r="B15" s="1328"/>
      <c r="C15" s="1129"/>
      <c r="D15" s="1129"/>
      <c r="E15" s="1129"/>
      <c r="F15" s="1327"/>
      <c r="G15" s="1328">
        <f t="shared" ref="G15:R15" si="1">+G14+F15+G16</f>
        <v>0</v>
      </c>
      <c r="H15" s="1129">
        <f t="shared" si="1"/>
        <v>0</v>
      </c>
      <c r="I15" s="1129">
        <f t="shared" si="1"/>
        <v>0</v>
      </c>
      <c r="J15" s="1327">
        <f t="shared" si="1"/>
        <v>0</v>
      </c>
      <c r="K15" s="1328">
        <f t="shared" si="1"/>
        <v>0</v>
      </c>
      <c r="L15" s="1129">
        <f t="shared" si="1"/>
        <v>0</v>
      </c>
      <c r="M15" s="1129">
        <f t="shared" si="1"/>
        <v>0</v>
      </c>
      <c r="N15" s="1327">
        <f t="shared" si="1"/>
        <v>0</v>
      </c>
      <c r="O15" s="1326">
        <f t="shared" si="1"/>
        <v>0</v>
      </c>
      <c r="P15" s="1326">
        <f t="shared" si="1"/>
        <v>0</v>
      </c>
      <c r="Q15" s="1326">
        <f t="shared" si="1"/>
        <v>0</v>
      </c>
      <c r="R15" s="1326">
        <f t="shared" si="1"/>
        <v>0</v>
      </c>
      <c r="T15" s="41"/>
    </row>
    <row r="16" spans="1:21">
      <c r="A16" s="12" t="s">
        <v>1012</v>
      </c>
      <c r="B16" s="1258"/>
      <c r="C16" s="1241"/>
      <c r="D16" s="1241"/>
      <c r="E16" s="1241"/>
      <c r="F16" s="1257"/>
      <c r="G16" s="1258"/>
      <c r="H16" s="1241"/>
      <c r="I16" s="1241"/>
      <c r="J16" s="1257"/>
      <c r="K16" s="1258"/>
      <c r="L16" s="1241"/>
      <c r="M16" s="1241"/>
      <c r="N16" s="1257"/>
      <c r="O16" s="1256"/>
      <c r="P16" s="1256"/>
      <c r="Q16" s="1256"/>
      <c r="R16" s="1256"/>
      <c r="S16" s="15"/>
      <c r="T16" s="41"/>
    </row>
    <row r="17" spans="1:22">
      <c r="A17" s="12"/>
      <c r="B17" s="1225"/>
      <c r="C17" s="1225"/>
      <c r="D17" s="1225"/>
      <c r="E17" s="1225"/>
      <c r="F17" s="1225"/>
      <c r="G17" s="1225"/>
      <c r="H17" s="1225"/>
      <c r="I17" s="1225"/>
      <c r="J17" s="1225"/>
      <c r="K17" s="1225"/>
      <c r="L17" s="1225"/>
      <c r="M17" s="1225"/>
      <c r="N17" s="1225"/>
      <c r="O17" s="1225"/>
      <c r="P17" s="1225"/>
      <c r="Q17" s="1225"/>
      <c r="R17" s="1225"/>
      <c r="S17" s="15"/>
      <c r="T17" s="41"/>
    </row>
    <row r="18" spans="1:22">
      <c r="A18" s="1242" t="s">
        <v>908</v>
      </c>
      <c r="B18" s="1129"/>
      <c r="C18" s="1129"/>
      <c r="D18" s="1129"/>
      <c r="E18" s="1129"/>
      <c r="F18" s="1198"/>
      <c r="G18" s="1129"/>
      <c r="H18" s="1129"/>
      <c r="J18" s="1427"/>
      <c r="K18" s="1129"/>
      <c r="L18" s="1129"/>
      <c r="M18" s="1129"/>
      <c r="N18" s="1198"/>
      <c r="O18" s="1198"/>
      <c r="P18" s="1198"/>
      <c r="Q18" s="1198"/>
      <c r="R18" s="1198"/>
      <c r="T18" s="41"/>
    </row>
    <row r="19" spans="1:22">
      <c r="A19" s="1222" t="s">
        <v>317</v>
      </c>
      <c r="B19" s="1342">
        <v>0</v>
      </c>
      <c r="C19" s="1219">
        <v>0</v>
      </c>
      <c r="D19" s="1219">
        <v>0</v>
      </c>
      <c r="E19" s="1219">
        <v>0</v>
      </c>
      <c r="F19" s="1219">
        <v>0</v>
      </c>
      <c r="G19" s="1220">
        <v>0</v>
      </c>
      <c r="H19" s="1219">
        <v>0</v>
      </c>
      <c r="I19" s="1219">
        <v>0</v>
      </c>
      <c r="J19" s="1218">
        <v>0</v>
      </c>
      <c r="K19" s="1220">
        <f t="shared" ref="K19:N20" si="2">60000/4</f>
        <v>15000</v>
      </c>
      <c r="L19" s="1219">
        <f t="shared" si="2"/>
        <v>15000</v>
      </c>
      <c r="M19" s="1219">
        <f t="shared" si="2"/>
        <v>15000</v>
      </c>
      <c r="N19" s="1218">
        <f t="shared" si="2"/>
        <v>15000</v>
      </c>
      <c r="O19" s="1217">
        <v>60000</v>
      </c>
      <c r="P19" s="1217">
        <v>60000</v>
      </c>
      <c r="Q19" s="1217">
        <v>60000</v>
      </c>
      <c r="R19" s="1217">
        <v>60000</v>
      </c>
      <c r="T19" s="41"/>
    </row>
    <row r="20" spans="1:22">
      <c r="A20" s="1222" t="s">
        <v>1013</v>
      </c>
      <c r="B20" s="1328">
        <v>0</v>
      </c>
      <c r="C20" s="1129">
        <v>0</v>
      </c>
      <c r="D20" s="1129">
        <v>0</v>
      </c>
      <c r="E20" s="1129">
        <v>0</v>
      </c>
      <c r="F20" s="1129">
        <v>0</v>
      </c>
      <c r="G20" s="1207">
        <v>0</v>
      </c>
      <c r="H20" s="1129">
        <v>0</v>
      </c>
      <c r="I20" s="1129">
        <v>0</v>
      </c>
      <c r="J20" s="1206">
        <v>0</v>
      </c>
      <c r="K20" s="1207">
        <f t="shared" si="2"/>
        <v>15000</v>
      </c>
      <c r="L20" s="1129">
        <f t="shared" si="2"/>
        <v>15000</v>
      </c>
      <c r="M20" s="1129">
        <f t="shared" si="2"/>
        <v>15000</v>
      </c>
      <c r="N20" s="1206">
        <f t="shared" si="2"/>
        <v>15000</v>
      </c>
      <c r="O20" s="1205">
        <v>60000</v>
      </c>
      <c r="P20" s="1205">
        <v>60000</v>
      </c>
      <c r="Q20" s="1205">
        <v>60000</v>
      </c>
      <c r="R20" s="1205">
        <v>60000</v>
      </c>
      <c r="T20" s="41"/>
    </row>
    <row r="21" spans="1:22">
      <c r="A21" s="1222" t="s">
        <v>229</v>
      </c>
      <c r="B21" s="1328">
        <v>0</v>
      </c>
      <c r="C21" s="1129">
        <v>0</v>
      </c>
      <c r="D21" s="1129">
        <v>0</v>
      </c>
      <c r="E21" s="1129">
        <v>0</v>
      </c>
      <c r="F21" s="1129">
        <v>0</v>
      </c>
      <c r="G21" s="1207">
        <v>0</v>
      </c>
      <c r="H21" s="1129">
        <v>0</v>
      </c>
      <c r="I21" s="1129">
        <v>0</v>
      </c>
      <c r="J21" s="1206">
        <v>0</v>
      </c>
      <c r="K21" s="1207">
        <v>0</v>
      </c>
      <c r="L21" s="1129">
        <v>0</v>
      </c>
      <c r="M21" s="1129">
        <v>0</v>
      </c>
      <c r="N21" s="1206">
        <v>0</v>
      </c>
      <c r="O21" s="1205">
        <f>15000*2</f>
        <v>30000</v>
      </c>
      <c r="P21" s="1205">
        <v>60000</v>
      </c>
      <c r="Q21" s="1205">
        <v>60000</v>
      </c>
      <c r="R21" s="1205">
        <v>60000</v>
      </c>
      <c r="T21" s="41"/>
    </row>
    <row r="22" spans="1:22">
      <c r="A22" s="1222" t="s">
        <v>230</v>
      </c>
      <c r="B22" s="1328">
        <v>0</v>
      </c>
      <c r="C22" s="1129">
        <v>0</v>
      </c>
      <c r="D22" s="1129">
        <v>0</v>
      </c>
      <c r="E22" s="1129">
        <v>0</v>
      </c>
      <c r="F22" s="1129">
        <v>0</v>
      </c>
      <c r="G22" s="1207">
        <v>0</v>
      </c>
      <c r="H22" s="1129">
        <v>0</v>
      </c>
      <c r="I22" s="1129">
        <v>0</v>
      </c>
      <c r="J22" s="1206">
        <v>0</v>
      </c>
      <c r="K22" s="1207">
        <v>0</v>
      </c>
      <c r="L22" s="1129">
        <v>0</v>
      </c>
      <c r="M22" s="1129">
        <v>0</v>
      </c>
      <c r="N22" s="1206">
        <v>0</v>
      </c>
      <c r="O22" s="1205">
        <v>0</v>
      </c>
      <c r="P22" s="1205">
        <v>60000</v>
      </c>
      <c r="Q22" s="1205">
        <v>60000</v>
      </c>
      <c r="R22" s="1205">
        <v>60000</v>
      </c>
      <c r="T22" s="41"/>
    </row>
    <row r="23" spans="1:22">
      <c r="A23" s="1222" t="s">
        <v>871</v>
      </c>
      <c r="B23" s="1314">
        <v>0</v>
      </c>
      <c r="C23" s="1198">
        <v>0</v>
      </c>
      <c r="D23" s="1198">
        <v>0</v>
      </c>
      <c r="E23" s="1198">
        <v>0</v>
      </c>
      <c r="F23" s="1198">
        <v>0</v>
      </c>
      <c r="G23" s="1185">
        <v>0</v>
      </c>
      <c r="H23" s="1198">
        <v>0</v>
      </c>
      <c r="I23" s="1198">
        <v>0</v>
      </c>
      <c r="J23" s="1197">
        <v>0</v>
      </c>
      <c r="K23" s="1185">
        <v>0</v>
      </c>
      <c r="L23" s="1198">
        <f t="shared" ref="L23:R23" si="3">+K23</f>
        <v>0</v>
      </c>
      <c r="M23" s="1198">
        <f t="shared" si="3"/>
        <v>0</v>
      </c>
      <c r="N23" s="1197">
        <f t="shared" si="3"/>
        <v>0</v>
      </c>
      <c r="O23" s="1182">
        <f t="shared" si="3"/>
        <v>0</v>
      </c>
      <c r="P23" s="1182">
        <f t="shared" si="3"/>
        <v>0</v>
      </c>
      <c r="Q23" s="1182">
        <f t="shared" si="3"/>
        <v>0</v>
      </c>
      <c r="R23" s="1182">
        <f t="shared" si="3"/>
        <v>0</v>
      </c>
      <c r="T23" s="41"/>
      <c r="V23" s="1425"/>
    </row>
    <row r="24" spans="1:22">
      <c r="A24" s="1426" t="s">
        <v>909</v>
      </c>
      <c r="B24" s="1202">
        <f t="shared" ref="B24:R24" si="4">SUM(B19:B23)</f>
        <v>0</v>
      </c>
      <c r="C24" s="1202">
        <f t="shared" si="4"/>
        <v>0</v>
      </c>
      <c r="D24" s="1202">
        <f t="shared" si="4"/>
        <v>0</v>
      </c>
      <c r="E24" s="1202">
        <f t="shared" si="4"/>
        <v>0</v>
      </c>
      <c r="F24" s="1202">
        <f t="shared" si="4"/>
        <v>0</v>
      </c>
      <c r="G24" s="1203">
        <f t="shared" si="4"/>
        <v>0</v>
      </c>
      <c r="H24" s="1202">
        <f t="shared" si="4"/>
        <v>0</v>
      </c>
      <c r="I24" s="1202">
        <f t="shared" si="4"/>
        <v>0</v>
      </c>
      <c r="J24" s="1201">
        <f t="shared" si="4"/>
        <v>0</v>
      </c>
      <c r="K24" s="1203">
        <f t="shared" si="4"/>
        <v>30000</v>
      </c>
      <c r="L24" s="1202">
        <f t="shared" si="4"/>
        <v>30000</v>
      </c>
      <c r="M24" s="1202">
        <f t="shared" si="4"/>
        <v>30000</v>
      </c>
      <c r="N24" s="1201">
        <f t="shared" si="4"/>
        <v>30000</v>
      </c>
      <c r="O24" s="1200">
        <f t="shared" si="4"/>
        <v>150000</v>
      </c>
      <c r="P24" s="1200">
        <f t="shared" si="4"/>
        <v>240000</v>
      </c>
      <c r="Q24" s="1200">
        <f t="shared" si="4"/>
        <v>240000</v>
      </c>
      <c r="R24" s="1200">
        <f t="shared" si="4"/>
        <v>240000</v>
      </c>
      <c r="T24" s="41"/>
      <c r="V24" s="1425"/>
    </row>
    <row r="25" spans="1:22">
      <c r="A25" s="1231" t="s">
        <v>1014</v>
      </c>
      <c r="B25" s="1423">
        <f t="shared" ref="B25:J25" si="5">SUM(B19:B23)</f>
        <v>0</v>
      </c>
      <c r="C25" s="1423">
        <f t="shared" si="5"/>
        <v>0</v>
      </c>
      <c r="D25" s="1423">
        <f t="shared" si="5"/>
        <v>0</v>
      </c>
      <c r="E25" s="1423">
        <f t="shared" si="5"/>
        <v>0</v>
      </c>
      <c r="F25" s="1423">
        <f t="shared" si="5"/>
        <v>0</v>
      </c>
      <c r="G25" s="1424">
        <f t="shared" si="5"/>
        <v>0</v>
      </c>
      <c r="H25" s="1423">
        <f t="shared" si="5"/>
        <v>0</v>
      </c>
      <c r="I25" s="1423">
        <f t="shared" si="5"/>
        <v>0</v>
      </c>
      <c r="J25" s="1422">
        <f t="shared" si="5"/>
        <v>0</v>
      </c>
      <c r="K25" s="1424">
        <f>-SUM(K19:K23)+30000</f>
        <v>0</v>
      </c>
      <c r="L25" s="1423">
        <f>-SUM(L19:L23)+30000</f>
        <v>0</v>
      </c>
      <c r="M25" s="1423">
        <f>-SUM(M19:M23)+30000</f>
        <v>0</v>
      </c>
      <c r="N25" s="1422">
        <f>-SUM(N19:N23)+30000</f>
        <v>0</v>
      </c>
      <c r="O25" s="1421">
        <f>-SUM(O19:O23)+150000</f>
        <v>0</v>
      </c>
      <c r="P25" s="1421">
        <f>-SUM(P19:P23)+240000</f>
        <v>0</v>
      </c>
      <c r="Q25" s="1421">
        <f>-SUM(Q19:Q23)+240000</f>
        <v>0</v>
      </c>
      <c r="R25" s="1421">
        <f>-SUM(R19:R23)+240000</f>
        <v>0</v>
      </c>
      <c r="T25" s="41"/>
    </row>
    <row r="26" spans="1:22">
      <c r="A26" s="1223" t="s">
        <v>897</v>
      </c>
      <c r="B26" s="1328"/>
      <c r="C26" s="1129"/>
      <c r="D26" s="1129"/>
      <c r="E26" s="1129"/>
      <c r="F26" s="1327"/>
      <c r="G26" s="1328">
        <f t="shared" ref="G26:R26" si="6">+G25+F26+G27</f>
        <v>0</v>
      </c>
      <c r="H26" s="1129">
        <f t="shared" si="6"/>
        <v>0</v>
      </c>
      <c r="I26" s="1129">
        <f t="shared" si="6"/>
        <v>0</v>
      </c>
      <c r="J26" s="1327">
        <f t="shared" si="6"/>
        <v>0</v>
      </c>
      <c r="K26" s="1328">
        <f t="shared" si="6"/>
        <v>0</v>
      </c>
      <c r="L26" s="1129">
        <f t="shared" si="6"/>
        <v>0</v>
      </c>
      <c r="M26" s="1129">
        <f t="shared" si="6"/>
        <v>0</v>
      </c>
      <c r="N26" s="1327">
        <f t="shared" si="6"/>
        <v>0</v>
      </c>
      <c r="O26" s="1326">
        <f t="shared" si="6"/>
        <v>0</v>
      </c>
      <c r="P26" s="1326">
        <f t="shared" si="6"/>
        <v>0</v>
      </c>
      <c r="Q26" s="1326">
        <f t="shared" si="6"/>
        <v>0</v>
      </c>
      <c r="R26" s="1326">
        <f t="shared" si="6"/>
        <v>0</v>
      </c>
      <c r="T26" s="41"/>
    </row>
    <row r="27" spans="1:22">
      <c r="A27" s="12" t="s">
        <v>971</v>
      </c>
      <c r="B27" s="1258"/>
      <c r="C27" s="1241"/>
      <c r="D27" s="1241"/>
      <c r="E27" s="1241"/>
      <c r="F27" s="1257"/>
      <c r="G27" s="1258"/>
      <c r="H27" s="1241"/>
      <c r="I27" s="1241"/>
      <c r="J27" s="1257"/>
      <c r="K27" s="1258"/>
      <c r="L27" s="1241"/>
      <c r="M27" s="1241"/>
      <c r="N27" s="1257"/>
      <c r="O27" s="1256"/>
      <c r="P27" s="1256"/>
      <c r="Q27" s="1256"/>
      <c r="R27" s="1256"/>
      <c r="S27" s="15"/>
      <c r="T27" s="41"/>
    </row>
    <row r="28" spans="1:22">
      <c r="A28" s="1420" t="s">
        <v>899</v>
      </c>
      <c r="B28" s="1198">
        <f t="shared" ref="B28:R28" si="7">+B24+B25</f>
        <v>0</v>
      </c>
      <c r="C28" s="1198">
        <f t="shared" si="7"/>
        <v>0</v>
      </c>
      <c r="D28" s="1198">
        <f t="shared" si="7"/>
        <v>0</v>
      </c>
      <c r="E28" s="1198">
        <f t="shared" si="7"/>
        <v>0</v>
      </c>
      <c r="F28" s="1198">
        <f t="shared" si="7"/>
        <v>0</v>
      </c>
      <c r="G28" s="1185">
        <f t="shared" si="7"/>
        <v>0</v>
      </c>
      <c r="H28" s="1198">
        <f t="shared" si="7"/>
        <v>0</v>
      </c>
      <c r="I28" s="1198">
        <f t="shared" si="7"/>
        <v>0</v>
      </c>
      <c r="J28" s="1197">
        <f t="shared" si="7"/>
        <v>0</v>
      </c>
      <c r="K28" s="1185">
        <f t="shared" si="7"/>
        <v>30000</v>
      </c>
      <c r="L28" s="1198">
        <f t="shared" si="7"/>
        <v>30000</v>
      </c>
      <c r="M28" s="1198">
        <f t="shared" si="7"/>
        <v>30000</v>
      </c>
      <c r="N28" s="1197">
        <f t="shared" si="7"/>
        <v>30000</v>
      </c>
      <c r="O28" s="1182">
        <f t="shared" si="7"/>
        <v>150000</v>
      </c>
      <c r="P28" s="1182">
        <f t="shared" si="7"/>
        <v>240000</v>
      </c>
      <c r="Q28" s="1182">
        <f t="shared" si="7"/>
        <v>240000</v>
      </c>
      <c r="R28" s="1182">
        <f t="shared" si="7"/>
        <v>240000</v>
      </c>
      <c r="T28" s="41"/>
    </row>
    <row r="29" spans="1:22">
      <c r="A29" s="1344" t="s">
        <v>1015</v>
      </c>
      <c r="B29" s="1199">
        <f t="shared" ref="B29:R29" si="8">+B27+B28</f>
        <v>0</v>
      </c>
      <c r="C29" s="1199">
        <f t="shared" si="8"/>
        <v>0</v>
      </c>
      <c r="D29" s="1199">
        <f t="shared" si="8"/>
        <v>0</v>
      </c>
      <c r="E29" s="1199">
        <f t="shared" si="8"/>
        <v>0</v>
      </c>
      <c r="F29" s="1199">
        <f t="shared" si="8"/>
        <v>0</v>
      </c>
      <c r="G29" s="1229">
        <f t="shared" si="8"/>
        <v>0</v>
      </c>
      <c r="H29" s="1199">
        <f t="shared" si="8"/>
        <v>0</v>
      </c>
      <c r="I29" s="1199">
        <f t="shared" si="8"/>
        <v>0</v>
      </c>
      <c r="J29" s="1228">
        <f t="shared" si="8"/>
        <v>0</v>
      </c>
      <c r="K29" s="1229">
        <f t="shared" si="8"/>
        <v>30000</v>
      </c>
      <c r="L29" s="1199">
        <f t="shared" si="8"/>
        <v>30000</v>
      </c>
      <c r="M29" s="1199">
        <f t="shared" si="8"/>
        <v>30000</v>
      </c>
      <c r="N29" s="1228">
        <f t="shared" si="8"/>
        <v>30000</v>
      </c>
      <c r="O29" s="1227">
        <f t="shared" si="8"/>
        <v>150000</v>
      </c>
      <c r="P29" s="1227">
        <f t="shared" si="8"/>
        <v>240000</v>
      </c>
      <c r="Q29" s="1227">
        <f t="shared" si="8"/>
        <v>240000</v>
      </c>
      <c r="R29" s="1227">
        <f t="shared" si="8"/>
        <v>240000</v>
      </c>
      <c r="T29" s="41"/>
    </row>
    <row r="30" spans="1:22" s="40" customFormat="1">
      <c r="A30" s="1248"/>
      <c r="B30" s="1199"/>
      <c r="C30" s="1199"/>
      <c r="D30" s="1199"/>
      <c r="E30" s="1199"/>
      <c r="F30" s="1199"/>
      <c r="G30" s="1229"/>
      <c r="H30" s="1199"/>
      <c r="I30" s="1199"/>
      <c r="J30" s="1228"/>
      <c r="K30" s="1229"/>
      <c r="L30" s="1199"/>
      <c r="M30" s="1199"/>
      <c r="N30" s="1228"/>
      <c r="O30" s="1227"/>
      <c r="P30" s="1227"/>
      <c r="Q30" s="1227"/>
      <c r="R30" s="1227"/>
      <c r="S30" s="29"/>
      <c r="T30" s="41"/>
    </row>
    <row r="31" spans="1:22">
      <c r="A31" s="1146" t="s">
        <v>915</v>
      </c>
      <c r="B31" s="1502">
        <v>1</v>
      </c>
      <c r="C31" s="1502">
        <v>1</v>
      </c>
      <c r="D31" s="1502">
        <v>1</v>
      </c>
      <c r="E31" s="1502">
        <v>1</v>
      </c>
      <c r="F31" s="1502">
        <v>1</v>
      </c>
      <c r="G31" s="1503">
        <v>1</v>
      </c>
      <c r="H31" s="1502">
        <v>1</v>
      </c>
      <c r="I31" s="1502">
        <v>1</v>
      </c>
      <c r="J31" s="1504">
        <v>1</v>
      </c>
      <c r="K31" s="1481">
        <f>+lgh_inputs!$D$4</f>
        <v>0.3</v>
      </c>
      <c r="L31" s="1482">
        <f>+lgh_inputs!$D$4</f>
        <v>0.3</v>
      </c>
      <c r="M31" s="1482">
        <f>+lgh_inputs!$D$4</f>
        <v>0.3</v>
      </c>
      <c r="N31" s="1483">
        <f>+lgh_inputs!$D$4</f>
        <v>0.3</v>
      </c>
      <c r="O31" s="1484">
        <f>+lgh_inputs!$D$4</f>
        <v>0.3</v>
      </c>
      <c r="P31" s="1484">
        <f>+lgh_inputs!$D$4</f>
        <v>0.3</v>
      </c>
      <c r="Q31" s="1484">
        <f>+lgh_inputs!$D$4</f>
        <v>0.3</v>
      </c>
      <c r="R31" s="1484">
        <f>+lgh_inputs!$D$4</f>
        <v>0.3</v>
      </c>
      <c r="S31" s="1419"/>
      <c r="T31" s="41"/>
    </row>
    <row r="32" spans="1:22">
      <c r="A32" s="1146" t="s">
        <v>1016</v>
      </c>
      <c r="B32" s="1225">
        <f t="shared" ref="B32:R32" si="9">SUM(B13,B16)*B31</f>
        <v>0</v>
      </c>
      <c r="C32" s="1225">
        <f t="shared" si="9"/>
        <v>0</v>
      </c>
      <c r="D32" s="1225">
        <f t="shared" si="9"/>
        <v>0</v>
      </c>
      <c r="E32" s="1225">
        <f t="shared" si="9"/>
        <v>0</v>
      </c>
      <c r="F32" s="1225">
        <f t="shared" si="9"/>
        <v>0</v>
      </c>
      <c r="G32" s="1207">
        <f t="shared" si="9"/>
        <v>0</v>
      </c>
      <c r="H32" s="1129">
        <f t="shared" si="9"/>
        <v>0</v>
      </c>
      <c r="I32" s="1129">
        <f t="shared" si="9"/>
        <v>0</v>
      </c>
      <c r="J32" s="1206">
        <f t="shared" si="9"/>
        <v>0</v>
      </c>
      <c r="K32" s="1207">
        <f t="shared" si="9"/>
        <v>0</v>
      </c>
      <c r="L32" s="1129">
        <f t="shared" si="9"/>
        <v>0</v>
      </c>
      <c r="M32" s="1129">
        <f t="shared" si="9"/>
        <v>0</v>
      </c>
      <c r="N32" s="1206">
        <f t="shared" si="9"/>
        <v>0</v>
      </c>
      <c r="O32" s="1205">
        <f t="shared" si="9"/>
        <v>0</v>
      </c>
      <c r="P32" s="1205">
        <f t="shared" si="9"/>
        <v>0</v>
      </c>
      <c r="Q32" s="1205">
        <f t="shared" si="9"/>
        <v>0</v>
      </c>
      <c r="R32" s="1205">
        <f t="shared" si="9"/>
        <v>0</v>
      </c>
      <c r="T32" s="41"/>
    </row>
    <row r="33" spans="1:44">
      <c r="A33" s="1146" t="s">
        <v>1017</v>
      </c>
      <c r="B33" s="1225">
        <f t="shared" ref="B33:R33" si="10">SUM(B24,B27)*B31</f>
        <v>0</v>
      </c>
      <c r="C33" s="1225">
        <f t="shared" si="10"/>
        <v>0</v>
      </c>
      <c r="D33" s="1225">
        <f t="shared" si="10"/>
        <v>0</v>
      </c>
      <c r="E33" s="1225">
        <f t="shared" si="10"/>
        <v>0</v>
      </c>
      <c r="F33" s="1225">
        <f t="shared" si="10"/>
        <v>0</v>
      </c>
      <c r="G33" s="1207">
        <f t="shared" si="10"/>
        <v>0</v>
      </c>
      <c r="H33" s="1129">
        <f t="shared" si="10"/>
        <v>0</v>
      </c>
      <c r="I33" s="1129">
        <f t="shared" si="10"/>
        <v>0</v>
      </c>
      <c r="J33" s="1206">
        <f t="shared" si="10"/>
        <v>0</v>
      </c>
      <c r="K33" s="1207">
        <f t="shared" si="10"/>
        <v>9000</v>
      </c>
      <c r="L33" s="1129">
        <f t="shared" si="10"/>
        <v>9000</v>
      </c>
      <c r="M33" s="1129">
        <f t="shared" si="10"/>
        <v>9000</v>
      </c>
      <c r="N33" s="1206">
        <f t="shared" si="10"/>
        <v>9000</v>
      </c>
      <c r="O33" s="1205">
        <f t="shared" si="10"/>
        <v>45000</v>
      </c>
      <c r="P33" s="1205">
        <f t="shared" si="10"/>
        <v>72000</v>
      </c>
      <c r="Q33" s="1205">
        <f t="shared" si="10"/>
        <v>72000</v>
      </c>
      <c r="R33" s="1205">
        <f t="shared" si="10"/>
        <v>72000</v>
      </c>
      <c r="T33" s="41"/>
    </row>
    <row r="34" spans="1:44">
      <c r="A34" s="1418" t="s">
        <v>310</v>
      </c>
      <c r="B34" s="1219">
        <f t="shared" ref="B34:R34" si="11">SUM(B32:B33)</f>
        <v>0</v>
      </c>
      <c r="C34" s="1219">
        <f t="shared" si="11"/>
        <v>0</v>
      </c>
      <c r="D34" s="1219">
        <f t="shared" si="11"/>
        <v>0</v>
      </c>
      <c r="E34" s="1219">
        <f t="shared" si="11"/>
        <v>0</v>
      </c>
      <c r="F34" s="1219">
        <f t="shared" si="11"/>
        <v>0</v>
      </c>
      <c r="G34" s="1220">
        <f t="shared" si="11"/>
        <v>0</v>
      </c>
      <c r="H34" s="1219">
        <f t="shared" si="11"/>
        <v>0</v>
      </c>
      <c r="I34" s="1219">
        <f t="shared" si="11"/>
        <v>0</v>
      </c>
      <c r="J34" s="1218">
        <f t="shared" si="11"/>
        <v>0</v>
      </c>
      <c r="K34" s="1220">
        <f t="shared" si="11"/>
        <v>9000</v>
      </c>
      <c r="L34" s="1219">
        <f t="shared" si="11"/>
        <v>9000</v>
      </c>
      <c r="M34" s="1219">
        <f t="shared" si="11"/>
        <v>9000</v>
      </c>
      <c r="N34" s="1218">
        <f t="shared" si="11"/>
        <v>9000</v>
      </c>
      <c r="O34" s="1217">
        <f t="shared" si="11"/>
        <v>45000</v>
      </c>
      <c r="P34" s="1217">
        <f t="shared" si="11"/>
        <v>72000</v>
      </c>
      <c r="Q34" s="1217">
        <f t="shared" si="11"/>
        <v>72000</v>
      </c>
      <c r="R34" s="1217">
        <f t="shared" si="11"/>
        <v>72000</v>
      </c>
      <c r="T34" s="41"/>
      <c r="U34" s="40"/>
    </row>
    <row r="35" spans="1:44">
      <c r="A35" s="1344" t="s">
        <v>673</v>
      </c>
      <c r="B35" s="1129"/>
      <c r="C35" s="1129"/>
      <c r="D35" s="1129"/>
      <c r="E35" s="1129"/>
      <c r="F35" s="1129"/>
      <c r="G35" s="1207"/>
      <c r="H35" s="1129"/>
      <c r="I35" s="1129"/>
      <c r="J35" s="1206"/>
      <c r="K35" s="1215">
        <f t="shared" ref="K35:R35" si="12">+K34/K29</f>
        <v>0.3</v>
      </c>
      <c r="L35" s="1214">
        <f t="shared" si="12"/>
        <v>0.3</v>
      </c>
      <c r="M35" s="1214">
        <f t="shared" si="12"/>
        <v>0.3</v>
      </c>
      <c r="N35" s="1213">
        <f t="shared" si="12"/>
        <v>0.3</v>
      </c>
      <c r="O35" s="1212">
        <f t="shared" si="12"/>
        <v>0.3</v>
      </c>
      <c r="P35" s="1212">
        <f t="shared" si="12"/>
        <v>0.3</v>
      </c>
      <c r="Q35" s="1212">
        <f t="shared" si="12"/>
        <v>0.3</v>
      </c>
      <c r="R35" s="1212">
        <f t="shared" si="12"/>
        <v>0.3</v>
      </c>
      <c r="T35" s="41"/>
      <c r="U35" s="40"/>
    </row>
    <row r="36" spans="1:44">
      <c r="A36" s="1223"/>
      <c r="B36" s="1129"/>
      <c r="C36" s="1129"/>
      <c r="D36" s="1129"/>
      <c r="E36" s="1129"/>
      <c r="F36" s="1129"/>
      <c r="G36" s="1207"/>
      <c r="H36" s="1129"/>
      <c r="I36" s="1129"/>
      <c r="J36" s="1206"/>
      <c r="K36" s="1207"/>
      <c r="L36" s="1129"/>
      <c r="M36" s="1129"/>
      <c r="N36" s="1206"/>
      <c r="O36" s="1205"/>
      <c r="P36" s="1205"/>
      <c r="Q36" s="1205"/>
      <c r="R36" s="1205"/>
      <c r="T36" s="41"/>
    </row>
    <row r="37" spans="1:44">
      <c r="A37" s="1222" t="s">
        <v>1018</v>
      </c>
      <c r="B37" s="1129">
        <f t="shared" ref="B37:R37" si="13">B14*$U$6</f>
        <v>0</v>
      </c>
      <c r="C37" s="1129">
        <f t="shared" si="13"/>
        <v>0</v>
      </c>
      <c r="D37" s="1129">
        <f t="shared" si="13"/>
        <v>0</v>
      </c>
      <c r="E37" s="1129">
        <f t="shared" si="13"/>
        <v>0</v>
      </c>
      <c r="F37" s="1129">
        <f t="shared" si="13"/>
        <v>0</v>
      </c>
      <c r="G37" s="1207">
        <f t="shared" si="13"/>
        <v>0</v>
      </c>
      <c r="H37" s="1129">
        <f t="shared" si="13"/>
        <v>0</v>
      </c>
      <c r="I37" s="1129">
        <f t="shared" si="13"/>
        <v>0</v>
      </c>
      <c r="J37" s="1206">
        <f t="shared" si="13"/>
        <v>0</v>
      </c>
      <c r="K37" s="1207">
        <f t="shared" si="13"/>
        <v>0</v>
      </c>
      <c r="L37" s="1129">
        <f t="shared" si="13"/>
        <v>0</v>
      </c>
      <c r="M37" s="1129">
        <f t="shared" si="13"/>
        <v>0</v>
      </c>
      <c r="N37" s="1206">
        <f t="shared" si="13"/>
        <v>0</v>
      </c>
      <c r="O37" s="1205">
        <f t="shared" si="13"/>
        <v>0</v>
      </c>
      <c r="P37" s="1205">
        <f t="shared" si="13"/>
        <v>0</v>
      </c>
      <c r="Q37" s="1205">
        <f t="shared" si="13"/>
        <v>0</v>
      </c>
      <c r="R37" s="1205">
        <f t="shared" si="13"/>
        <v>0</v>
      </c>
      <c r="T37" s="41"/>
    </row>
    <row r="38" spans="1:44">
      <c r="A38" s="1222" t="s">
        <v>1019</v>
      </c>
      <c r="B38" s="1129">
        <f t="shared" ref="B38:R38" si="14">B25*$U$11</f>
        <v>0</v>
      </c>
      <c r="C38" s="1129">
        <f t="shared" si="14"/>
        <v>0</v>
      </c>
      <c r="D38" s="1129">
        <f t="shared" si="14"/>
        <v>0</v>
      </c>
      <c r="E38" s="1129">
        <f t="shared" si="14"/>
        <v>0</v>
      </c>
      <c r="F38" s="1129">
        <f t="shared" si="14"/>
        <v>0</v>
      </c>
      <c r="G38" s="1207">
        <f t="shared" si="14"/>
        <v>0</v>
      </c>
      <c r="H38" s="1129">
        <f t="shared" si="14"/>
        <v>0</v>
      </c>
      <c r="I38" s="1129">
        <f t="shared" si="14"/>
        <v>0</v>
      </c>
      <c r="J38" s="1206">
        <f t="shared" si="14"/>
        <v>0</v>
      </c>
      <c r="K38" s="1207">
        <f t="shared" si="14"/>
        <v>0</v>
      </c>
      <c r="L38" s="1129">
        <f t="shared" si="14"/>
        <v>0</v>
      </c>
      <c r="M38" s="1129">
        <f t="shared" si="14"/>
        <v>0</v>
      </c>
      <c r="N38" s="1206">
        <f t="shared" si="14"/>
        <v>0</v>
      </c>
      <c r="O38" s="1205">
        <f t="shared" si="14"/>
        <v>0</v>
      </c>
      <c r="P38" s="1205">
        <f t="shared" si="14"/>
        <v>0</v>
      </c>
      <c r="Q38" s="1205">
        <f t="shared" si="14"/>
        <v>0</v>
      </c>
      <c r="R38" s="1205">
        <f t="shared" si="14"/>
        <v>0</v>
      </c>
      <c r="T38" s="41"/>
      <c r="AD38" s="1163"/>
      <c r="AE38" s="1163"/>
      <c r="AF38" s="1163"/>
    </row>
    <row r="39" spans="1:44">
      <c r="A39" s="1222"/>
      <c r="B39" s="1129"/>
      <c r="C39" s="1129"/>
      <c r="D39" s="1129"/>
      <c r="E39" s="1129"/>
      <c r="F39" s="1129"/>
      <c r="G39" s="1207"/>
      <c r="H39" s="1129"/>
      <c r="I39" s="1129"/>
      <c r="J39" s="1206"/>
      <c r="K39" s="1207"/>
      <c r="L39" s="1129"/>
      <c r="M39" s="1129"/>
      <c r="N39" s="1206"/>
      <c r="O39" s="1205"/>
      <c r="P39" s="1205"/>
      <c r="Q39" s="1205"/>
      <c r="R39" s="1205"/>
      <c r="T39" s="41"/>
      <c r="AD39" s="1"/>
      <c r="AE39" s="1"/>
      <c r="AF39" s="1"/>
      <c r="AG39" s="1"/>
      <c r="AH39" s="1"/>
      <c r="AI39" s="1"/>
      <c r="AJ39" s="1"/>
      <c r="AL39" s="1"/>
      <c r="AM39" s="1"/>
      <c r="AN39" s="1"/>
      <c r="AO39" s="1"/>
      <c r="AP39" s="1"/>
      <c r="AQ39" s="1"/>
      <c r="AR39" s="1"/>
    </row>
    <row r="40" spans="1:44">
      <c r="A40" s="1211" t="s">
        <v>922</v>
      </c>
      <c r="B40" s="1129"/>
      <c r="C40" s="1129"/>
      <c r="D40" s="1129"/>
      <c r="E40" s="1129"/>
      <c r="F40" s="1129"/>
      <c r="G40" s="1207"/>
      <c r="H40" s="1129"/>
      <c r="I40" s="1129"/>
      <c r="J40" s="1206"/>
      <c r="K40" s="1207"/>
      <c r="L40" s="1129"/>
      <c r="M40" s="1129"/>
      <c r="N40" s="1206"/>
      <c r="O40" s="1205"/>
      <c r="P40" s="1205"/>
      <c r="Q40" s="1205"/>
      <c r="R40" s="1205"/>
      <c r="T40" s="41"/>
      <c r="AD40" s="1"/>
      <c r="AE40" s="1"/>
      <c r="AF40" s="1"/>
      <c r="AG40" s="1"/>
      <c r="AH40" s="1"/>
      <c r="AI40" s="1"/>
      <c r="AJ40" s="1"/>
      <c r="AL40" s="1"/>
      <c r="AM40" s="1"/>
      <c r="AN40" s="1"/>
      <c r="AO40" s="1"/>
      <c r="AP40" s="1"/>
      <c r="AQ40" s="1"/>
      <c r="AR40" s="1"/>
    </row>
    <row r="41" spans="1:44">
      <c r="A41" s="1330" t="s">
        <v>824</v>
      </c>
      <c r="B41" s="1129" t="e">
        <f>+'c12_oc'!#REF!/'c12_inputs'!$C$3</f>
        <v>#REF!</v>
      </c>
      <c r="C41" s="1129" t="e">
        <f>+'c12_oc'!#REF!/'c12_inputs'!$C$3</f>
        <v>#REF!</v>
      </c>
      <c r="D41" s="1129" t="e">
        <f>+'c12_oc'!#REF!/'c12_inputs'!$C$3</f>
        <v>#REF!</v>
      </c>
      <c r="E41" s="1129" t="e">
        <f>+'c12_oc'!#REF!/'c12_inputs'!$C$3</f>
        <v>#REF!</v>
      </c>
      <c r="F41" s="1129">
        <f>+'c12_oc'!B$29/'c12_inputs'!$C$3</f>
        <v>0</v>
      </c>
      <c r="G41" s="1207">
        <f>+'c12_oc'!C$29/'c12_inputs'!$C$3</f>
        <v>-15828.333333333334</v>
      </c>
      <c r="H41" s="1129">
        <f>+'c12_oc'!D$29/'c12_inputs'!$C$3</f>
        <v>-15828.333333333334</v>
      </c>
      <c r="I41" s="1129">
        <f>+'c12_oc'!E$29/'c12_inputs'!$C$3</f>
        <v>-15828.333333333334</v>
      </c>
      <c r="J41" s="1206">
        <f>+'c12_oc'!F$29/'c12_inputs'!$C$3</f>
        <v>-15828.333333333334</v>
      </c>
      <c r="K41" s="1207">
        <f>+'c12_oc'!G$29/'c12_inputs'!$C$3</f>
        <v>-45000</v>
      </c>
      <c r="L41" s="1129">
        <f>+'c12_oc'!H$29/'c12_inputs'!$C$3</f>
        <v>-45000</v>
      </c>
      <c r="M41" s="1129">
        <f>+'c12_oc'!I$29/'c12_inputs'!$C$3</f>
        <v>-45000</v>
      </c>
      <c r="N41" s="1206">
        <f>+'c12_oc'!J$29/'c12_inputs'!$C$3</f>
        <v>-45000</v>
      </c>
      <c r="O41" s="1205">
        <f>+'c12_oc'!K$29/'c12_inputs'!$C$3</f>
        <v>-180000</v>
      </c>
      <c r="P41" s="1205">
        <f>+'c12_oc'!L$29/'c12_inputs'!$C$3</f>
        <v>-180000</v>
      </c>
      <c r="Q41" s="1205">
        <f>+'c12_oc'!M$29/'c12_inputs'!$C$3</f>
        <v>-180000</v>
      </c>
      <c r="R41" s="1205">
        <f>+'c12_oc'!N$29/'c12_inputs'!$C$3</f>
        <v>-100000</v>
      </c>
      <c r="T41" s="41"/>
      <c r="AD41" s="1"/>
      <c r="AE41" s="1"/>
      <c r="AF41" s="1"/>
      <c r="AG41" s="1"/>
      <c r="AH41" s="1"/>
      <c r="AI41" s="1"/>
      <c r="AJ41" s="1"/>
      <c r="AL41" s="1"/>
      <c r="AM41" s="1"/>
      <c r="AN41" s="1"/>
      <c r="AO41" s="1"/>
      <c r="AP41" s="1"/>
      <c r="AQ41" s="1"/>
      <c r="AR41" s="1"/>
    </row>
    <row r="42" spans="1:44">
      <c r="A42" s="1146" t="s">
        <v>988</v>
      </c>
      <c r="B42" s="1129">
        <f t="shared" ref="B42:R42" si="15">-B95</f>
        <v>0</v>
      </c>
      <c r="C42" s="1129">
        <f t="shared" si="15"/>
        <v>0</v>
      </c>
      <c r="D42" s="1129">
        <f t="shared" si="15"/>
        <v>0</v>
      </c>
      <c r="E42" s="1129">
        <f t="shared" si="15"/>
        <v>0</v>
      </c>
      <c r="F42" s="1129">
        <f t="shared" si="15"/>
        <v>0</v>
      </c>
      <c r="G42" s="1207">
        <f t="shared" si="15"/>
        <v>-204479.99999999997</v>
      </c>
      <c r="H42" s="1129">
        <f t="shared" si="15"/>
        <v>-204479.99999999997</v>
      </c>
      <c r="I42" s="1129">
        <f t="shared" si="15"/>
        <v>-228959.99999999997</v>
      </c>
      <c r="J42" s="1206">
        <f t="shared" si="15"/>
        <v>-444552.49999999994</v>
      </c>
      <c r="K42" s="1207">
        <f t="shared" si="15"/>
        <v>-231839.99999999997</v>
      </c>
      <c r="L42" s="1129">
        <f t="shared" si="15"/>
        <v>-375840</v>
      </c>
      <c r="M42" s="1129">
        <f t="shared" si="15"/>
        <v>-375840</v>
      </c>
      <c r="N42" s="1206">
        <f t="shared" si="15"/>
        <v>-721307.5</v>
      </c>
      <c r="O42" s="1205">
        <f t="shared" si="15"/>
        <v>-1942337.5</v>
      </c>
      <c r="P42" s="1205">
        <f t="shared" si="15"/>
        <v>-1942337.5</v>
      </c>
      <c r="Q42" s="1205">
        <f t="shared" si="15"/>
        <v>-1942337.5</v>
      </c>
      <c r="R42" s="1205">
        <f t="shared" si="15"/>
        <v>-1942337.5</v>
      </c>
      <c r="T42" s="41"/>
      <c r="AD42" s="1"/>
      <c r="AE42" s="1"/>
      <c r="AF42" s="1"/>
      <c r="AG42" s="1"/>
      <c r="AH42" s="1"/>
      <c r="AI42" s="1"/>
      <c r="AJ42" s="1"/>
      <c r="AL42" s="1"/>
      <c r="AM42" s="1"/>
      <c r="AN42" s="1"/>
      <c r="AO42" s="1"/>
      <c r="AP42" s="1"/>
      <c r="AQ42" s="1"/>
      <c r="AR42" s="1"/>
    </row>
    <row r="43" spans="1:44">
      <c r="A43" s="1330" t="s">
        <v>826</v>
      </c>
      <c r="B43" s="30" t="e">
        <f>+'c12_oc'!#REF!/'c12_inputs'!$C$3</f>
        <v>#REF!</v>
      </c>
      <c r="C43" s="30" t="e">
        <f>+'c12_oc'!#REF!/'c12_inputs'!$C$3</f>
        <v>#REF!</v>
      </c>
      <c r="D43" s="30" t="e">
        <f>+'c12_oc'!#REF!/'c12_inputs'!$C$3</f>
        <v>#REF!</v>
      </c>
      <c r="E43" s="30" t="e">
        <f>+'c12_oc'!#REF!/'c12_inputs'!$C$3</f>
        <v>#REF!</v>
      </c>
      <c r="F43" s="30">
        <f>+'c12_oc'!B$33/'c12_inputs'!$C$3</f>
        <v>0</v>
      </c>
      <c r="G43" s="1417">
        <f>+'c12_oc'!C$33/'c12_inputs'!$C$3</f>
        <v>0</v>
      </c>
      <c r="H43" s="30">
        <f>+'c12_oc'!D$33/'c12_inputs'!$C$3</f>
        <v>0</v>
      </c>
      <c r="I43" s="30">
        <f>+'c12_oc'!E$33/'c12_inputs'!$C$3</f>
        <v>0</v>
      </c>
      <c r="J43" s="1416">
        <f>+'c12_oc'!F$33/'c12_inputs'!$C$3</f>
        <v>-63999.999999999993</v>
      </c>
      <c r="K43" s="1417">
        <f>+'c12_oc'!G$33/'c12_inputs'!$C$3</f>
        <v>-105789.12</v>
      </c>
      <c r="L43" s="30">
        <f>+'c12_oc'!H$33/'c12_inputs'!$C$3</f>
        <v>-105789.12</v>
      </c>
      <c r="M43" s="30">
        <f>+'c12_oc'!I$33/'c12_inputs'!$C$3</f>
        <v>-105789.12</v>
      </c>
      <c r="N43" s="1416">
        <f>+'c12_oc'!J$33/'c12_inputs'!$C$3</f>
        <v>-107503.46999999999</v>
      </c>
      <c r="O43" s="319">
        <f>+'c12_oc'!K$33/'c12_inputs'!$C$3</f>
        <v>-470408.12000000005</v>
      </c>
      <c r="P43" s="319">
        <f>+'c12_oc'!L$33/'c12_inputs'!$C$3</f>
        <v>-470408.12000000005</v>
      </c>
      <c r="Q43" s="319">
        <f>+'c12_oc'!M$33/'c12_inputs'!$C$3</f>
        <v>-470408.12000000005</v>
      </c>
      <c r="R43" s="319">
        <f>+'c12_oc'!N$33/'c12_inputs'!$C$3</f>
        <v>-470408.12000000005</v>
      </c>
      <c r="T43" s="41"/>
      <c r="AD43" s="1"/>
      <c r="AE43" s="1"/>
      <c r="AF43" s="1"/>
      <c r="AG43" s="1"/>
      <c r="AH43" s="1"/>
      <c r="AI43" s="1"/>
      <c r="AJ43" s="1"/>
      <c r="AL43" s="1"/>
      <c r="AM43" s="1"/>
      <c r="AN43" s="1"/>
      <c r="AO43" s="1"/>
      <c r="AP43" s="1"/>
      <c r="AQ43" s="1"/>
      <c r="AR43" s="1"/>
    </row>
    <row r="44" spans="1:44">
      <c r="A44" s="1333" t="s">
        <v>145</v>
      </c>
      <c r="B44" s="30" t="e">
        <f>+'c12_oc'!#REF!/'c12_inputs'!$C$3</f>
        <v>#REF!</v>
      </c>
      <c r="C44" s="30" t="e">
        <f>+'c12_oc'!#REF!/'c12_inputs'!$C$3</f>
        <v>#REF!</v>
      </c>
      <c r="D44" s="30" t="e">
        <f>+'c12_oc'!#REF!/'c12_inputs'!$C$3</f>
        <v>#REF!</v>
      </c>
      <c r="E44" s="30" t="e">
        <f>+'c12_oc'!#REF!/'c12_inputs'!$C$3</f>
        <v>#REF!</v>
      </c>
      <c r="F44" s="30">
        <f>+'c12_oc'!B$30/'c12_inputs'!$C$3</f>
        <v>-160000</v>
      </c>
      <c r="G44" s="1417">
        <f>+'c12_oc'!C$30/'c12_inputs'!$C$3</f>
        <v>-37517.666666666664</v>
      </c>
      <c r="H44" s="30">
        <f>+'c12_oc'!D$30/'c12_inputs'!$C$3</f>
        <v>-62235</v>
      </c>
      <c r="I44" s="30">
        <f>+'c12_oc'!E$30/'c12_inputs'!$C$3</f>
        <v>-49566.333333333336</v>
      </c>
      <c r="J44" s="1416">
        <f>+'c12_oc'!F$30/'c12_inputs'!$C$3</f>
        <v>-83143.666666666672</v>
      </c>
      <c r="K44" s="1417">
        <f>+'c12_oc'!G$30/'c12_inputs'!$C$3</f>
        <v>-58115.666666666664</v>
      </c>
      <c r="L44" s="30">
        <f>+'c12_oc'!H$30/'c12_inputs'!$C$3</f>
        <v>-58115.666666666664</v>
      </c>
      <c r="M44" s="30">
        <f>+'c12_oc'!I$30/'c12_inputs'!$C$3</f>
        <v>-58115.666666666664</v>
      </c>
      <c r="N44" s="1416">
        <f>+'c12_oc'!J$30/'c12_inputs'!$C$3</f>
        <v>-58115.666666666664</v>
      </c>
      <c r="O44" s="319">
        <f>+'c12_oc'!K$30/'c12_inputs'!$C$3</f>
        <v>-232462.66666666666</v>
      </c>
      <c r="P44" s="319">
        <f>+'c12_oc'!L$30/'c12_inputs'!$C$3</f>
        <v>-232462.66666666666</v>
      </c>
      <c r="Q44" s="319">
        <f>+'c12_oc'!M$30/'c12_inputs'!$C$3</f>
        <v>-232462.66666666666</v>
      </c>
      <c r="R44" s="319">
        <f>+'c12_oc'!N$30/'c12_inputs'!$C$3</f>
        <v>-232462.66666666666</v>
      </c>
      <c r="T44" s="41"/>
      <c r="AD44" s="1"/>
      <c r="AE44" s="1"/>
      <c r="AF44" s="1"/>
      <c r="AG44" s="1"/>
      <c r="AH44" s="1"/>
      <c r="AI44" s="1"/>
      <c r="AJ44" s="1"/>
      <c r="AL44" s="1"/>
      <c r="AM44" s="1"/>
      <c r="AN44" s="1"/>
      <c r="AO44" s="1"/>
      <c r="AP44" s="1"/>
      <c r="AQ44" s="1"/>
      <c r="AR44" s="1"/>
    </row>
    <row r="45" spans="1:44">
      <c r="A45" s="1330" t="s">
        <v>146</v>
      </c>
      <c r="B45" s="30" t="e">
        <f>+'c12_oc'!#REF!/'c12_inputs'!$C$3</f>
        <v>#REF!</v>
      </c>
      <c r="C45" s="30" t="e">
        <f>+'c12_oc'!#REF!/'c12_inputs'!$C$3</f>
        <v>#REF!</v>
      </c>
      <c r="D45" s="30" t="e">
        <f>+'c12_oc'!#REF!/'c12_inputs'!$C$3</f>
        <v>#REF!</v>
      </c>
      <c r="E45" s="30" t="e">
        <f>+'c12_oc'!#REF!/'c12_inputs'!$C$3</f>
        <v>#REF!</v>
      </c>
      <c r="F45" s="30">
        <f>+'c12_oc'!B$31/'c12_inputs'!$C$3</f>
        <v>0</v>
      </c>
      <c r="G45" s="1417">
        <f>+'c12_oc'!C$31/'c12_inputs'!$C$3</f>
        <v>0</v>
      </c>
      <c r="H45" s="30">
        <f>+'c12_oc'!D$31/'c12_inputs'!$C$3</f>
        <v>0</v>
      </c>
      <c r="I45" s="30">
        <f>+'c12_oc'!E$31/'c12_inputs'!$C$3</f>
        <v>0</v>
      </c>
      <c r="J45" s="1416">
        <f>+'c12_oc'!F$31/'c12_inputs'!$C$3</f>
        <v>0</v>
      </c>
      <c r="K45" s="1417">
        <f>+'c12_oc'!G$31/'c12_inputs'!$C$3</f>
        <v>0</v>
      </c>
      <c r="L45" s="30">
        <f>+'c12_oc'!H$31/'c12_inputs'!$C$3</f>
        <v>-33333.333333333336</v>
      </c>
      <c r="M45" s="30">
        <f>+'c12_oc'!I$31/'c12_inputs'!$C$3</f>
        <v>-33333.333333333336</v>
      </c>
      <c r="N45" s="1416">
        <f>+'c12_oc'!J$31/'c12_inputs'!$C$3</f>
        <v>0</v>
      </c>
      <c r="O45" s="319">
        <f>+'c12_oc'!K$31/'c12_inputs'!$C$3</f>
        <v>0</v>
      </c>
      <c r="P45" s="319">
        <f>+'c12_oc'!L$31/'c12_inputs'!$C$3</f>
        <v>0</v>
      </c>
      <c r="Q45" s="319">
        <f>+'c12_oc'!M$31/'c12_inputs'!$C$3</f>
        <v>0</v>
      </c>
      <c r="R45" s="319">
        <f>+'c12_oc'!N$31/'c12_inputs'!$C$3</f>
        <v>0</v>
      </c>
      <c r="T45" s="41"/>
      <c r="AD45" s="1"/>
      <c r="AE45" s="1"/>
      <c r="AF45" s="1"/>
      <c r="AG45" s="1"/>
      <c r="AH45" s="1"/>
      <c r="AI45" s="1"/>
      <c r="AJ45" s="1"/>
      <c r="AL45" s="1"/>
      <c r="AM45" s="1"/>
      <c r="AN45" s="1"/>
      <c r="AO45" s="1"/>
      <c r="AP45" s="1"/>
      <c r="AQ45" s="1"/>
      <c r="AR45" s="1"/>
    </row>
    <row r="46" spans="1:44">
      <c r="A46" s="1330" t="s">
        <v>827</v>
      </c>
      <c r="B46" s="30" t="e">
        <f>+'c12_oc'!#REF!/'c12_inputs'!$C$3</f>
        <v>#REF!</v>
      </c>
      <c r="C46" s="30" t="e">
        <f>+'c12_oc'!#REF!/'c12_inputs'!$C$3</f>
        <v>#REF!</v>
      </c>
      <c r="D46" s="30" t="e">
        <f>+'c12_oc'!#REF!/'c12_inputs'!$C$3</f>
        <v>#REF!</v>
      </c>
      <c r="E46" s="30" t="e">
        <f>+'c12_oc'!#REF!/'c12_inputs'!$C$3</f>
        <v>#REF!</v>
      </c>
      <c r="F46" s="30">
        <f>+'c12_oc'!B$34/'c12_inputs'!$C$3</f>
        <v>0</v>
      </c>
      <c r="G46" s="1207">
        <f>+'c12_oc'!C$34/'c12_inputs'!$C$3</f>
        <v>0</v>
      </c>
      <c r="H46" s="1129">
        <f>+'c12_oc'!D$34/'c12_inputs'!$C$3</f>
        <v>0</v>
      </c>
      <c r="I46" s="1129">
        <f>+'c12_oc'!E$34/'c12_inputs'!$C$3</f>
        <v>-15000</v>
      </c>
      <c r="J46" s="1206">
        <f>+'c12_oc'!F$34/'c12_inputs'!$C$3</f>
        <v>-199909.33333333334</v>
      </c>
      <c r="K46" s="1207">
        <f>+'c12_oc'!G$34/'c12_inputs'!$C$3</f>
        <v>-540000</v>
      </c>
      <c r="L46" s="1129">
        <f>+'c12_oc'!H$34/'c12_inputs'!$C$3</f>
        <v>-700000</v>
      </c>
      <c r="M46" s="1129">
        <f>+'c12_oc'!I$34/'c12_inputs'!$C$3</f>
        <v>-100000</v>
      </c>
      <c r="N46" s="1206">
        <f>+'c12_oc'!J$34/'c12_inputs'!$C$3</f>
        <v>-100000</v>
      </c>
      <c r="O46" s="1205">
        <f>+'c12_oc'!K$34/'c12_inputs'!$C$3</f>
        <v>0</v>
      </c>
      <c r="P46" s="1205">
        <f>+'c12_oc'!L$34/'c12_inputs'!$C$3</f>
        <v>0</v>
      </c>
      <c r="Q46" s="1205">
        <f>+'c12_oc'!M$34/'c12_inputs'!$C$3</f>
        <v>0</v>
      </c>
      <c r="R46" s="1205">
        <f>+'c12_oc'!N$34/'c12_inputs'!$C$3</f>
        <v>0</v>
      </c>
      <c r="T46" s="41"/>
      <c r="AD46" s="1"/>
      <c r="AE46" s="1"/>
      <c r="AF46" s="1"/>
      <c r="AG46" s="1"/>
      <c r="AH46" s="1"/>
      <c r="AI46" s="1"/>
      <c r="AJ46" s="1"/>
      <c r="AL46" s="1"/>
      <c r="AM46" s="1"/>
      <c r="AN46" s="1"/>
      <c r="AO46" s="1"/>
      <c r="AP46" s="1"/>
      <c r="AQ46" s="1"/>
      <c r="AR46" s="1"/>
    </row>
    <row r="47" spans="1:44">
      <c r="A47" s="1204" t="s">
        <v>1020</v>
      </c>
      <c r="B47" s="1202" t="e">
        <f t="shared" ref="B47:R47" si="16">SUM(B41:B46)</f>
        <v>#REF!</v>
      </c>
      <c r="C47" s="1202" t="e">
        <f t="shared" si="16"/>
        <v>#REF!</v>
      </c>
      <c r="D47" s="1202" t="e">
        <f t="shared" si="16"/>
        <v>#REF!</v>
      </c>
      <c r="E47" s="1202" t="e">
        <f t="shared" si="16"/>
        <v>#REF!</v>
      </c>
      <c r="F47" s="1202">
        <f t="shared" si="16"/>
        <v>-160000</v>
      </c>
      <c r="G47" s="1203">
        <f t="shared" si="16"/>
        <v>-257825.99999999997</v>
      </c>
      <c r="H47" s="1202">
        <f t="shared" si="16"/>
        <v>-282543.33333333331</v>
      </c>
      <c r="I47" s="1202">
        <f t="shared" si="16"/>
        <v>-309354.66666666663</v>
      </c>
      <c r="J47" s="1201">
        <f t="shared" si="16"/>
        <v>-807433.83333333326</v>
      </c>
      <c r="K47" s="1203">
        <f t="shared" si="16"/>
        <v>-980744.78666666662</v>
      </c>
      <c r="L47" s="1202">
        <f t="shared" si="16"/>
        <v>-1318078.1200000001</v>
      </c>
      <c r="M47" s="1202">
        <f t="shared" si="16"/>
        <v>-718078.12</v>
      </c>
      <c r="N47" s="1201">
        <f t="shared" si="16"/>
        <v>-1031926.6366666666</v>
      </c>
      <c r="O47" s="1200">
        <f t="shared" si="16"/>
        <v>-2825208.2866666666</v>
      </c>
      <c r="P47" s="1200">
        <f t="shared" si="16"/>
        <v>-2825208.2866666666</v>
      </c>
      <c r="Q47" s="1200">
        <f t="shared" si="16"/>
        <v>-2825208.2866666666</v>
      </c>
      <c r="R47" s="1200">
        <f t="shared" si="16"/>
        <v>-2745208.2866666666</v>
      </c>
      <c r="T47" s="41"/>
      <c r="AD47" s="1"/>
      <c r="AE47" s="1"/>
      <c r="AF47" s="1"/>
      <c r="AG47" s="1"/>
      <c r="AH47" s="1"/>
      <c r="AI47" s="1"/>
      <c r="AJ47" s="1"/>
      <c r="AL47" s="1"/>
      <c r="AM47" s="1"/>
      <c r="AN47" s="1"/>
      <c r="AO47" s="1"/>
      <c r="AP47" s="1"/>
      <c r="AQ47" s="1"/>
      <c r="AR47" s="1"/>
    </row>
    <row r="48" spans="1:44">
      <c r="A48" s="1186"/>
      <c r="B48" s="1198"/>
      <c r="C48" s="1198"/>
      <c r="D48" s="1198"/>
      <c r="E48" s="1198"/>
      <c r="F48" s="1198"/>
      <c r="G48" s="1185"/>
      <c r="H48" s="1198"/>
      <c r="I48" s="1198"/>
      <c r="J48" s="1197"/>
      <c r="K48" s="1185"/>
      <c r="L48" s="1198"/>
      <c r="M48" s="1198"/>
      <c r="N48" s="1197"/>
      <c r="O48" s="1182"/>
      <c r="P48" s="1182"/>
      <c r="Q48" s="1182"/>
      <c r="R48" s="1182"/>
      <c r="T48" s="41"/>
      <c r="AD48" s="1"/>
      <c r="AE48" s="1"/>
      <c r="AF48" s="1"/>
      <c r="AG48" s="1"/>
      <c r="AH48" s="1"/>
      <c r="AI48" s="1"/>
      <c r="AJ48" s="1"/>
      <c r="AL48" s="1"/>
      <c r="AM48" s="1"/>
      <c r="AN48" s="1"/>
      <c r="AO48" s="1"/>
      <c r="AP48" s="1"/>
      <c r="AQ48" s="1"/>
      <c r="AR48" s="1"/>
    </row>
    <row r="49" spans="1:44">
      <c r="A49" s="1196" t="str">
        <f ca="1">A1&amp;" Profit"</f>
        <v>c12_bi&amp;f Profit</v>
      </c>
      <c r="B49" s="1194" t="e">
        <f t="shared" ref="B49:R49" si="17">+B34+B53-B47</f>
        <v>#REF!</v>
      </c>
      <c r="C49" s="1194" t="e">
        <f t="shared" si="17"/>
        <v>#REF!</v>
      </c>
      <c r="D49" s="1194" t="e">
        <f t="shared" si="17"/>
        <v>#REF!</v>
      </c>
      <c r="E49" s="1194" t="e">
        <f t="shared" si="17"/>
        <v>#REF!</v>
      </c>
      <c r="F49" s="1194">
        <f t="shared" si="17"/>
        <v>0</v>
      </c>
      <c r="G49" s="1195">
        <f t="shared" si="17"/>
        <v>0</v>
      </c>
      <c r="H49" s="1194">
        <f t="shared" si="17"/>
        <v>0</v>
      </c>
      <c r="I49" s="1194">
        <f t="shared" si="17"/>
        <v>0</v>
      </c>
      <c r="J49" s="1193">
        <f t="shared" si="17"/>
        <v>0</v>
      </c>
      <c r="K49" s="1195">
        <f t="shared" si="17"/>
        <v>9000</v>
      </c>
      <c r="L49" s="1194">
        <f t="shared" si="17"/>
        <v>9000</v>
      </c>
      <c r="M49" s="1194">
        <f t="shared" si="17"/>
        <v>9000</v>
      </c>
      <c r="N49" s="1193">
        <f t="shared" si="17"/>
        <v>9000</v>
      </c>
      <c r="O49" s="1192">
        <f t="shared" si="17"/>
        <v>45000</v>
      </c>
      <c r="P49" s="1192">
        <f t="shared" si="17"/>
        <v>72000</v>
      </c>
      <c r="Q49" s="1192">
        <f t="shared" si="17"/>
        <v>72000</v>
      </c>
      <c r="R49" s="1192">
        <f t="shared" si="17"/>
        <v>72000</v>
      </c>
      <c r="T49" s="41"/>
      <c r="AD49" s="1"/>
      <c r="AE49" s="1"/>
      <c r="AF49" s="1"/>
      <c r="AG49" s="1"/>
      <c r="AH49" s="1"/>
      <c r="AI49" s="1"/>
      <c r="AJ49" s="1"/>
      <c r="AL49" s="1"/>
      <c r="AM49" s="1"/>
      <c r="AN49" s="1"/>
      <c r="AO49" s="1"/>
      <c r="AP49" s="1"/>
      <c r="AQ49" s="1"/>
      <c r="AR49" s="1"/>
    </row>
    <row r="50" spans="1:44">
      <c r="A50" s="40"/>
      <c r="G50" s="1191"/>
      <c r="J50" s="1190"/>
      <c r="K50" s="1191"/>
      <c r="N50" s="1190"/>
      <c r="O50" s="396"/>
      <c r="P50" s="396"/>
      <c r="Q50" s="396"/>
      <c r="R50" s="396"/>
      <c r="T50" s="41"/>
      <c r="AD50" s="1"/>
      <c r="AE50" s="1"/>
      <c r="AF50" s="1"/>
      <c r="AG50" s="1"/>
      <c r="AH50" s="1"/>
      <c r="AI50" s="1"/>
      <c r="AJ50" s="1"/>
      <c r="AL50" s="1"/>
      <c r="AM50" s="1"/>
      <c r="AN50" s="1"/>
      <c r="AO50" s="1"/>
      <c r="AP50" s="1"/>
      <c r="AQ50" s="1"/>
      <c r="AR50" s="1"/>
    </row>
    <row r="51" spans="1:44">
      <c r="A51" s="40" t="s">
        <v>925</v>
      </c>
      <c r="B51" s="31">
        <f t="shared" ref="B51:R51" si="18">+B29</f>
        <v>0</v>
      </c>
      <c r="C51" s="31">
        <f t="shared" si="18"/>
        <v>0</v>
      </c>
      <c r="D51" s="31">
        <f t="shared" si="18"/>
        <v>0</v>
      </c>
      <c r="E51" s="31">
        <f t="shared" si="18"/>
        <v>0</v>
      </c>
      <c r="F51" s="31">
        <f t="shared" si="18"/>
        <v>0</v>
      </c>
      <c r="G51" s="1189">
        <f t="shared" si="18"/>
        <v>0</v>
      </c>
      <c r="H51" s="31">
        <f t="shared" si="18"/>
        <v>0</v>
      </c>
      <c r="I51" s="31">
        <f t="shared" si="18"/>
        <v>0</v>
      </c>
      <c r="J51" s="1188">
        <f t="shared" si="18"/>
        <v>0</v>
      </c>
      <c r="K51" s="1189">
        <f t="shared" si="18"/>
        <v>30000</v>
      </c>
      <c r="L51" s="31">
        <f t="shared" si="18"/>
        <v>30000</v>
      </c>
      <c r="M51" s="31">
        <f t="shared" si="18"/>
        <v>30000</v>
      </c>
      <c r="N51" s="1188">
        <f t="shared" si="18"/>
        <v>30000</v>
      </c>
      <c r="O51" s="1187">
        <f t="shared" si="18"/>
        <v>150000</v>
      </c>
      <c r="P51" s="1187">
        <f t="shared" si="18"/>
        <v>240000</v>
      </c>
      <c r="Q51" s="1187">
        <f t="shared" si="18"/>
        <v>240000</v>
      </c>
      <c r="R51" s="1187">
        <f t="shared" si="18"/>
        <v>240000</v>
      </c>
      <c r="T51" s="41"/>
      <c r="AD51" s="1"/>
      <c r="AE51" s="1"/>
      <c r="AF51" s="1"/>
      <c r="AG51" s="1"/>
      <c r="AH51" s="1"/>
      <c r="AI51" s="1"/>
      <c r="AJ51" s="1"/>
      <c r="AL51" s="1"/>
      <c r="AM51" s="1"/>
      <c r="AN51" s="1"/>
      <c r="AO51" s="1"/>
      <c r="AP51" s="1"/>
      <c r="AQ51" s="1"/>
      <c r="AR51" s="1"/>
    </row>
    <row r="52" spans="1:44">
      <c r="A52" s="29" t="s">
        <v>926</v>
      </c>
      <c r="B52" s="31">
        <f t="shared" ref="B52:R52" si="19">+-B34</f>
        <v>0</v>
      </c>
      <c r="C52" s="31">
        <f t="shared" si="19"/>
        <v>0</v>
      </c>
      <c r="D52" s="31">
        <f t="shared" si="19"/>
        <v>0</v>
      </c>
      <c r="E52" s="31">
        <f t="shared" si="19"/>
        <v>0</v>
      </c>
      <c r="F52" s="31">
        <f t="shared" si="19"/>
        <v>0</v>
      </c>
      <c r="G52" s="1189">
        <f t="shared" si="19"/>
        <v>0</v>
      </c>
      <c r="H52" s="31">
        <f t="shared" si="19"/>
        <v>0</v>
      </c>
      <c r="I52" s="31">
        <f t="shared" si="19"/>
        <v>0</v>
      </c>
      <c r="J52" s="1188">
        <f t="shared" si="19"/>
        <v>0</v>
      </c>
      <c r="K52" s="1189">
        <f t="shared" si="19"/>
        <v>-9000</v>
      </c>
      <c r="L52" s="31">
        <f t="shared" si="19"/>
        <v>-9000</v>
      </c>
      <c r="M52" s="31">
        <f t="shared" si="19"/>
        <v>-9000</v>
      </c>
      <c r="N52" s="1188">
        <f t="shared" si="19"/>
        <v>-9000</v>
      </c>
      <c r="O52" s="1187">
        <f t="shared" si="19"/>
        <v>-45000</v>
      </c>
      <c r="P52" s="1187">
        <f t="shared" si="19"/>
        <v>-72000</v>
      </c>
      <c r="Q52" s="1187">
        <f t="shared" si="19"/>
        <v>-72000</v>
      </c>
      <c r="R52" s="1187">
        <f t="shared" si="19"/>
        <v>-72000</v>
      </c>
      <c r="T52" s="41"/>
      <c r="AD52" s="1"/>
      <c r="AE52" s="1"/>
      <c r="AF52" s="1"/>
      <c r="AG52" s="1"/>
      <c r="AH52" s="1"/>
      <c r="AI52" s="1"/>
      <c r="AJ52" s="1"/>
      <c r="AL52" s="1"/>
      <c r="AM52" s="1"/>
      <c r="AN52" s="1"/>
      <c r="AO52" s="1"/>
      <c r="AP52" s="1"/>
      <c r="AQ52" s="1"/>
      <c r="AR52" s="1"/>
    </row>
    <row r="53" spans="1:44">
      <c r="A53" s="1186" t="s">
        <v>1021</v>
      </c>
      <c r="B53" s="1198"/>
      <c r="C53" s="1198"/>
      <c r="D53" s="1198"/>
      <c r="E53" s="1198" t="e">
        <f t="shared" ref="E53:R53" si="20">+E47</f>
        <v>#REF!</v>
      </c>
      <c r="F53" s="1198">
        <f t="shared" si="20"/>
        <v>-160000</v>
      </c>
      <c r="G53" s="1185">
        <f t="shared" si="20"/>
        <v>-257825.99999999997</v>
      </c>
      <c r="H53" s="1198">
        <f t="shared" si="20"/>
        <v>-282543.33333333331</v>
      </c>
      <c r="I53" s="1198">
        <f t="shared" si="20"/>
        <v>-309354.66666666663</v>
      </c>
      <c r="J53" s="1197">
        <f t="shared" si="20"/>
        <v>-807433.83333333326</v>
      </c>
      <c r="K53" s="1185">
        <f t="shared" si="20"/>
        <v>-980744.78666666662</v>
      </c>
      <c r="L53" s="1198">
        <f t="shared" si="20"/>
        <v>-1318078.1200000001</v>
      </c>
      <c r="M53" s="1198">
        <f t="shared" si="20"/>
        <v>-718078.12</v>
      </c>
      <c r="N53" s="1197">
        <f t="shared" si="20"/>
        <v>-1031926.6366666666</v>
      </c>
      <c r="O53" s="1182">
        <f t="shared" si="20"/>
        <v>-2825208.2866666666</v>
      </c>
      <c r="P53" s="1182">
        <f t="shared" si="20"/>
        <v>-2825208.2866666666</v>
      </c>
      <c r="Q53" s="1182">
        <f t="shared" si="20"/>
        <v>-2825208.2866666666</v>
      </c>
      <c r="R53" s="1182">
        <f t="shared" si="20"/>
        <v>-2745208.2866666666</v>
      </c>
      <c r="T53" s="41"/>
      <c r="AD53" s="1"/>
      <c r="AE53" s="1"/>
      <c r="AF53" s="1"/>
      <c r="AG53" s="1"/>
      <c r="AH53" s="1"/>
      <c r="AI53" s="1"/>
      <c r="AJ53" s="1"/>
      <c r="AK53" s="2"/>
      <c r="AL53" s="1"/>
      <c r="AM53" s="1"/>
      <c r="AN53" s="1"/>
      <c r="AO53" s="1"/>
      <c r="AP53" s="1"/>
      <c r="AQ53" s="1"/>
      <c r="AR53" s="1"/>
    </row>
    <row r="54" spans="1:44" ht="14.7" customHeight="1" thickBot="1">
      <c r="A54" s="1181" t="str">
        <f ca="1">"Total LGH "&amp;A1&amp;" Profit/(Loss)"</f>
        <v>Total LGH c12_bi&amp;f Profit/(Loss)</v>
      </c>
      <c r="B54" s="1179">
        <f t="shared" ref="B54:R54" si="21">B51+B52+B53</f>
        <v>0</v>
      </c>
      <c r="C54" s="1179">
        <f t="shared" si="21"/>
        <v>0</v>
      </c>
      <c r="D54" s="1179">
        <f t="shared" si="21"/>
        <v>0</v>
      </c>
      <c r="E54" s="1179" t="e">
        <f t="shared" si="21"/>
        <v>#REF!</v>
      </c>
      <c r="F54" s="1179">
        <f t="shared" si="21"/>
        <v>-160000</v>
      </c>
      <c r="G54" s="1180">
        <f t="shared" si="21"/>
        <v>-257825.99999999997</v>
      </c>
      <c r="H54" s="1179">
        <f t="shared" si="21"/>
        <v>-282543.33333333331</v>
      </c>
      <c r="I54" s="1179">
        <f t="shared" si="21"/>
        <v>-309354.66666666663</v>
      </c>
      <c r="J54" s="1178">
        <f t="shared" si="21"/>
        <v>-807433.83333333326</v>
      </c>
      <c r="K54" s="1180">
        <f t="shared" si="21"/>
        <v>-959744.78666666662</v>
      </c>
      <c r="L54" s="1179">
        <f t="shared" si="21"/>
        <v>-1297078.1200000001</v>
      </c>
      <c r="M54" s="1179">
        <f t="shared" si="21"/>
        <v>-697078.12</v>
      </c>
      <c r="N54" s="1178">
        <f t="shared" si="21"/>
        <v>-1010926.6366666666</v>
      </c>
      <c r="O54" s="1177">
        <f t="shared" si="21"/>
        <v>-2720208.2866666666</v>
      </c>
      <c r="P54" s="1177">
        <f t="shared" si="21"/>
        <v>-2657208.2866666666</v>
      </c>
      <c r="Q54" s="1177">
        <f t="shared" si="21"/>
        <v>-2657208.2866666666</v>
      </c>
      <c r="R54" s="1177">
        <f t="shared" si="21"/>
        <v>-2577208.2866666666</v>
      </c>
      <c r="T54" s="41"/>
    </row>
    <row r="55" spans="1:44">
      <c r="B55" s="30"/>
      <c r="C55" s="30"/>
      <c r="D55" s="30"/>
      <c r="E55" s="30"/>
      <c r="F55" s="1415"/>
      <c r="G55" s="30"/>
      <c r="H55" s="30"/>
      <c r="I55" s="30"/>
      <c r="J55" s="1415"/>
      <c r="K55" s="30"/>
      <c r="L55" s="30"/>
      <c r="M55" s="30"/>
      <c r="N55" s="30"/>
      <c r="O55" s="30"/>
      <c r="P55" s="30"/>
      <c r="Q55" s="30"/>
      <c r="R55" s="30"/>
      <c r="T55" s="41"/>
    </row>
    <row r="56" spans="1:44">
      <c r="A56" s="1170" t="s">
        <v>157</v>
      </c>
      <c r="B56" s="1129">
        <f t="shared" ref="B56:R56" si="22">+B14+B25</f>
        <v>0</v>
      </c>
      <c r="C56" s="1129">
        <f t="shared" si="22"/>
        <v>0</v>
      </c>
      <c r="D56" s="1129">
        <f t="shared" si="22"/>
        <v>0</v>
      </c>
      <c r="E56" s="1129">
        <f t="shared" si="22"/>
        <v>0</v>
      </c>
      <c r="F56" s="1129">
        <f t="shared" si="22"/>
        <v>0</v>
      </c>
      <c r="G56" s="1129">
        <f t="shared" si="22"/>
        <v>0</v>
      </c>
      <c r="H56" s="1129">
        <f t="shared" si="22"/>
        <v>0</v>
      </c>
      <c r="I56" s="1129">
        <f t="shared" si="22"/>
        <v>0</v>
      </c>
      <c r="J56" s="1129">
        <f t="shared" si="22"/>
        <v>0</v>
      </c>
      <c r="K56" s="1129">
        <f t="shared" si="22"/>
        <v>0</v>
      </c>
      <c r="L56" s="1129">
        <f t="shared" si="22"/>
        <v>0</v>
      </c>
      <c r="M56" s="1129">
        <f t="shared" si="22"/>
        <v>0</v>
      </c>
      <c r="N56" s="1129">
        <f t="shared" si="22"/>
        <v>0</v>
      </c>
      <c r="O56" s="1129">
        <f t="shared" si="22"/>
        <v>0</v>
      </c>
      <c r="P56" s="1129">
        <f t="shared" si="22"/>
        <v>0</v>
      </c>
      <c r="Q56" s="1129">
        <f t="shared" si="22"/>
        <v>0</v>
      </c>
      <c r="R56" s="1129">
        <f t="shared" si="22"/>
        <v>0</v>
      </c>
      <c r="T56" s="41"/>
    </row>
    <row r="57" spans="1:44">
      <c r="A57" s="1170" t="s">
        <v>158</v>
      </c>
      <c r="B57" s="1129">
        <f t="shared" ref="B57:R57" si="23">+B37+B38</f>
        <v>0</v>
      </c>
      <c r="C57" s="1129">
        <f t="shared" si="23"/>
        <v>0</v>
      </c>
      <c r="D57" s="1129">
        <f t="shared" si="23"/>
        <v>0</v>
      </c>
      <c r="E57" s="1129">
        <f t="shared" si="23"/>
        <v>0</v>
      </c>
      <c r="F57" s="1129">
        <f t="shared" si="23"/>
        <v>0</v>
      </c>
      <c r="G57" s="1129">
        <f t="shared" si="23"/>
        <v>0</v>
      </c>
      <c r="H57" s="1129">
        <f t="shared" si="23"/>
        <v>0</v>
      </c>
      <c r="I57" s="1129">
        <f t="shared" si="23"/>
        <v>0</v>
      </c>
      <c r="J57" s="1129">
        <f t="shared" si="23"/>
        <v>0</v>
      </c>
      <c r="K57" s="1129">
        <f t="shared" si="23"/>
        <v>0</v>
      </c>
      <c r="L57" s="1129">
        <f t="shared" si="23"/>
        <v>0</v>
      </c>
      <c r="M57" s="1129">
        <f t="shared" si="23"/>
        <v>0</v>
      </c>
      <c r="N57" s="1129">
        <f t="shared" si="23"/>
        <v>0</v>
      </c>
      <c r="O57" s="1129">
        <f t="shared" si="23"/>
        <v>0</v>
      </c>
      <c r="P57" s="1129">
        <f t="shared" si="23"/>
        <v>0</v>
      </c>
      <c r="Q57" s="1129">
        <f t="shared" si="23"/>
        <v>0</v>
      </c>
      <c r="R57" s="1129">
        <f t="shared" si="23"/>
        <v>0</v>
      </c>
      <c r="T57" s="41"/>
    </row>
    <row r="58" spans="1:44">
      <c r="A58" s="1308" t="s">
        <v>991</v>
      </c>
      <c r="B58" s="1202">
        <f t="shared" ref="B58:R58" si="24">+-B56+B57</f>
        <v>0</v>
      </c>
      <c r="C58" s="1202">
        <f t="shared" si="24"/>
        <v>0</v>
      </c>
      <c r="D58" s="1202">
        <f t="shared" si="24"/>
        <v>0</v>
      </c>
      <c r="E58" s="1202">
        <f t="shared" si="24"/>
        <v>0</v>
      </c>
      <c r="F58" s="1202">
        <f t="shared" si="24"/>
        <v>0</v>
      </c>
      <c r="G58" s="1202">
        <f t="shared" si="24"/>
        <v>0</v>
      </c>
      <c r="H58" s="1202">
        <f t="shared" si="24"/>
        <v>0</v>
      </c>
      <c r="I58" s="1202">
        <f t="shared" si="24"/>
        <v>0</v>
      </c>
      <c r="J58" s="1202">
        <f t="shared" si="24"/>
        <v>0</v>
      </c>
      <c r="K58" s="1202">
        <f t="shared" si="24"/>
        <v>0</v>
      </c>
      <c r="L58" s="1202">
        <f t="shared" si="24"/>
        <v>0</v>
      </c>
      <c r="M58" s="1202">
        <f t="shared" si="24"/>
        <v>0</v>
      </c>
      <c r="N58" s="1202">
        <f t="shared" si="24"/>
        <v>0</v>
      </c>
      <c r="O58" s="1202">
        <f t="shared" si="24"/>
        <v>0</v>
      </c>
      <c r="P58" s="1202">
        <f t="shared" si="24"/>
        <v>0</v>
      </c>
      <c r="Q58" s="1202">
        <f t="shared" si="24"/>
        <v>0</v>
      </c>
      <c r="R58" s="1202">
        <f t="shared" si="24"/>
        <v>0</v>
      </c>
      <c r="T58" s="41"/>
    </row>
    <row r="59" spans="1:44">
      <c r="A59" s="1248" t="s">
        <v>992</v>
      </c>
      <c r="B59" s="1199">
        <f>+B58</f>
        <v>0</v>
      </c>
      <c r="C59" s="1199">
        <f>+C58</f>
        <v>0</v>
      </c>
      <c r="D59" s="1199">
        <f t="shared" ref="D59:R59" si="25">+D58+C59</f>
        <v>0</v>
      </c>
      <c r="E59" s="1199">
        <f t="shared" si="25"/>
        <v>0</v>
      </c>
      <c r="F59" s="1199">
        <f t="shared" si="25"/>
        <v>0</v>
      </c>
      <c r="G59" s="1199">
        <f t="shared" si="25"/>
        <v>0</v>
      </c>
      <c r="H59" s="1199">
        <f t="shared" si="25"/>
        <v>0</v>
      </c>
      <c r="I59" s="1199">
        <f t="shared" si="25"/>
        <v>0</v>
      </c>
      <c r="J59" s="1199">
        <f t="shared" si="25"/>
        <v>0</v>
      </c>
      <c r="K59" s="1199">
        <f t="shared" si="25"/>
        <v>0</v>
      </c>
      <c r="L59" s="1199">
        <f t="shared" si="25"/>
        <v>0</v>
      </c>
      <c r="M59" s="1199">
        <f t="shared" si="25"/>
        <v>0</v>
      </c>
      <c r="N59" s="1199">
        <f t="shared" si="25"/>
        <v>0</v>
      </c>
      <c r="O59" s="1199">
        <f t="shared" si="25"/>
        <v>0</v>
      </c>
      <c r="P59" s="1199">
        <f t="shared" si="25"/>
        <v>0</v>
      </c>
      <c r="Q59" s="1199">
        <f t="shared" si="25"/>
        <v>0</v>
      </c>
      <c r="R59" s="1199">
        <f t="shared" si="25"/>
        <v>0</v>
      </c>
      <c r="T59" s="41"/>
    </row>
    <row r="60" spans="1:44">
      <c r="T60" s="41"/>
    </row>
    <row r="61" spans="1:44">
      <c r="A61" s="1174"/>
      <c r="B61" s="1174"/>
      <c r="C61" s="1174"/>
      <c r="D61" s="1174"/>
      <c r="E61" s="1174"/>
      <c r="F61" s="1174"/>
      <c r="G61" s="1174"/>
      <c r="H61" s="1174"/>
      <c r="I61" s="1174"/>
      <c r="J61" s="1174"/>
      <c r="K61" s="1174"/>
      <c r="L61" s="1174"/>
      <c r="M61" s="1174"/>
      <c r="N61" s="1174"/>
      <c r="O61" s="1174"/>
      <c r="P61" s="1174"/>
      <c r="Q61" s="1174"/>
      <c r="R61" s="1174"/>
      <c r="S61" s="1174"/>
      <c r="T61" s="41"/>
    </row>
    <row r="62" spans="1:44">
      <c r="A62" s="1172" t="str">
        <f ca="1">+A1</f>
        <v>c12_bi&amp;f</v>
      </c>
      <c r="T62" s="41"/>
    </row>
    <row r="63" spans="1:44">
      <c r="A63" s="1059" t="s">
        <v>929</v>
      </c>
      <c r="B63" s="103">
        <v>0</v>
      </c>
      <c r="C63" s="103">
        <v>0</v>
      </c>
      <c r="D63" s="103">
        <v>0</v>
      </c>
      <c r="E63" s="103">
        <v>0</v>
      </c>
      <c r="F63" s="103">
        <v>0</v>
      </c>
      <c r="G63" s="103">
        <v>0</v>
      </c>
      <c r="H63" s="103">
        <v>0</v>
      </c>
      <c r="I63" s="103">
        <v>0</v>
      </c>
      <c r="J63" s="103">
        <v>0</v>
      </c>
      <c r="K63" s="103">
        <v>0</v>
      </c>
      <c r="L63" s="103">
        <v>0</v>
      </c>
      <c r="M63" s="103">
        <v>0</v>
      </c>
      <c r="N63" s="103">
        <v>0</v>
      </c>
      <c r="O63" s="103">
        <v>0</v>
      </c>
      <c r="P63" s="103">
        <v>0</v>
      </c>
      <c r="Q63" s="103">
        <v>0</v>
      </c>
      <c r="R63" s="103">
        <v>0</v>
      </c>
      <c r="T63" s="41"/>
    </row>
    <row r="64" spans="1:44" ht="14.7" customHeight="1" thickBot="1">
      <c r="T64" s="41"/>
    </row>
    <row r="65" spans="1:26">
      <c r="A65" s="1414" t="str">
        <f ca="1">+A1</f>
        <v>c12_bi&amp;f</v>
      </c>
      <c r="B65" s="1413" t="s">
        <v>1022</v>
      </c>
      <c r="C65" s="1412">
        <v>44561</v>
      </c>
      <c r="D65" s="1412">
        <v>44926</v>
      </c>
      <c r="E65" s="1412">
        <v>45291</v>
      </c>
      <c r="F65" s="1412">
        <v>45657</v>
      </c>
      <c r="G65" s="1411">
        <v>45747</v>
      </c>
      <c r="H65" s="1410">
        <v>45838</v>
      </c>
      <c r="I65" s="1410">
        <v>45930</v>
      </c>
      <c r="J65" s="1409">
        <v>46022</v>
      </c>
      <c r="K65" s="1411">
        <v>46112</v>
      </c>
      <c r="L65" s="1410">
        <v>46203</v>
      </c>
      <c r="M65" s="1410">
        <v>46295</v>
      </c>
      <c r="N65" s="1409">
        <v>46387</v>
      </c>
      <c r="O65" s="1408">
        <v>46752</v>
      </c>
      <c r="P65" s="1408">
        <v>47118</v>
      </c>
      <c r="Q65" s="1408">
        <v>47483</v>
      </c>
      <c r="R65" s="1408">
        <v>47848</v>
      </c>
      <c r="T65" s="41"/>
    </row>
    <row r="66" spans="1:26" ht="14.7" customHeight="1" thickBot="1">
      <c r="A66" s="1407" t="s">
        <v>844</v>
      </c>
      <c r="B66" s="1406"/>
      <c r="C66" s="1406"/>
      <c r="D66" s="1406"/>
      <c r="E66" s="1406"/>
      <c r="F66" s="1406"/>
      <c r="G66" s="1405" t="s">
        <v>3</v>
      </c>
      <c r="H66" s="1404" t="s">
        <v>4</v>
      </c>
      <c r="I66" s="1404" t="s">
        <v>5</v>
      </c>
      <c r="J66" s="1403" t="s">
        <v>2</v>
      </c>
      <c r="K66" s="1402" t="s">
        <v>3</v>
      </c>
      <c r="L66" s="1401" t="s">
        <v>4</v>
      </c>
      <c r="M66" s="1401" t="s">
        <v>5</v>
      </c>
      <c r="N66" s="1400" t="s">
        <v>2</v>
      </c>
      <c r="O66" s="1399"/>
      <c r="P66" s="1399"/>
      <c r="Q66" s="1399"/>
      <c r="R66" s="1399"/>
      <c r="T66" s="41"/>
    </row>
    <row r="67" spans="1:26">
      <c r="A67" s="1514" t="s">
        <v>1023</v>
      </c>
      <c r="B67" s="1515">
        <v>375000</v>
      </c>
      <c r="C67" s="1398"/>
      <c r="D67" s="1398"/>
      <c r="E67" s="1398"/>
      <c r="F67" s="1397"/>
      <c r="G67" s="402">
        <f>B67/4</f>
        <v>93750</v>
      </c>
      <c r="H67" s="1293">
        <f>G67</f>
        <v>93750</v>
      </c>
      <c r="I67" s="1293">
        <f>H67</f>
        <v>93750</v>
      </c>
      <c r="J67" s="403">
        <f>I67</f>
        <v>93750</v>
      </c>
      <c r="K67" s="1505">
        <v>93750</v>
      </c>
      <c r="L67" s="1506">
        <v>93750</v>
      </c>
      <c r="M67" s="1506">
        <v>93750</v>
      </c>
      <c r="N67" s="1507">
        <v>93750</v>
      </c>
      <c r="O67" s="410">
        <f>+N67*4</f>
        <v>375000</v>
      </c>
      <c r="P67" s="410">
        <f>+O67</f>
        <v>375000</v>
      </c>
      <c r="Q67" s="410">
        <f>+P67</f>
        <v>375000</v>
      </c>
      <c r="R67" s="410">
        <f>+Q67</f>
        <v>375000</v>
      </c>
      <c r="T67" s="41"/>
    </row>
    <row r="68" spans="1:26">
      <c r="A68" s="1514" t="s">
        <v>1024</v>
      </c>
      <c r="B68" s="1515"/>
      <c r="C68" s="262"/>
      <c r="D68" s="262"/>
      <c r="E68" s="262"/>
      <c r="F68" s="1162"/>
      <c r="G68" s="402">
        <v>0</v>
      </c>
      <c r="H68" s="1293">
        <f>B68/4</f>
        <v>0</v>
      </c>
      <c r="I68" s="1293">
        <f>H68</f>
        <v>0</v>
      </c>
      <c r="J68" s="403">
        <f>I68</f>
        <v>0</v>
      </c>
      <c r="K68" s="1505"/>
      <c r="L68" s="1508">
        <v>125000</v>
      </c>
      <c r="M68" s="1508">
        <v>125000</v>
      </c>
      <c r="N68" s="1509">
        <v>125000</v>
      </c>
      <c r="O68" s="409">
        <f>+N68*4*(1+O$63)</f>
        <v>500000</v>
      </c>
      <c r="P68" s="409">
        <f t="shared" ref="P68:R71" si="26">+O68*(1+P$63)</f>
        <v>500000</v>
      </c>
      <c r="Q68" s="409">
        <f t="shared" si="26"/>
        <v>500000</v>
      </c>
      <c r="R68" s="409">
        <f t="shared" si="26"/>
        <v>500000</v>
      </c>
      <c r="T68" s="41"/>
      <c r="W68" s="1164"/>
      <c r="X68" s="1163"/>
      <c r="Y68" s="73"/>
      <c r="Z68" s="73"/>
    </row>
    <row r="69" spans="1:26">
      <c r="A69" s="1514" t="s">
        <v>1025</v>
      </c>
      <c r="B69" s="1515">
        <v>85000</v>
      </c>
      <c r="C69" s="262"/>
      <c r="D69" s="262"/>
      <c r="E69" s="262"/>
      <c r="F69" s="1162"/>
      <c r="G69" s="402">
        <v>0</v>
      </c>
      <c r="H69" s="1293">
        <v>0</v>
      </c>
      <c r="I69" s="1293">
        <f>B69/4</f>
        <v>21250</v>
      </c>
      <c r="J69" s="403">
        <f>I69</f>
        <v>21250</v>
      </c>
      <c r="K69" s="1505">
        <v>21250</v>
      </c>
      <c r="L69" s="1510">
        <v>21250</v>
      </c>
      <c r="M69" s="1510">
        <v>21250</v>
      </c>
      <c r="N69" s="1511">
        <v>21250</v>
      </c>
      <c r="O69" s="1289">
        <f>+N69*4*(1+O$63)</f>
        <v>85000</v>
      </c>
      <c r="P69" s="1289">
        <f t="shared" si="26"/>
        <v>85000</v>
      </c>
      <c r="Q69" s="1289">
        <f t="shared" si="26"/>
        <v>85000</v>
      </c>
      <c r="R69" s="1289">
        <f t="shared" si="26"/>
        <v>85000</v>
      </c>
      <c r="T69" s="41"/>
      <c r="W69" s="5"/>
      <c r="X69" s="83"/>
      <c r="Y69" s="5"/>
      <c r="Z69" s="5"/>
    </row>
    <row r="70" spans="1:26">
      <c r="A70" s="1514" t="s">
        <v>1026</v>
      </c>
      <c r="B70" s="1515">
        <v>185000</v>
      </c>
      <c r="C70" s="86"/>
      <c r="D70" s="86"/>
      <c r="E70" s="86"/>
      <c r="F70" s="1160"/>
      <c r="G70" s="402">
        <f>B70/4</f>
        <v>46250</v>
      </c>
      <c r="H70" s="1293">
        <f t="shared" ref="H70:I73" si="27">G70</f>
        <v>46250</v>
      </c>
      <c r="I70" s="1293">
        <f t="shared" si="27"/>
        <v>46250</v>
      </c>
      <c r="J70" s="403">
        <f>I70</f>
        <v>46250</v>
      </c>
      <c r="K70" s="1505">
        <v>48750</v>
      </c>
      <c r="L70" s="1510">
        <v>48750</v>
      </c>
      <c r="M70" s="1510">
        <v>48750</v>
      </c>
      <c r="N70" s="1511">
        <v>48750</v>
      </c>
      <c r="O70" s="1289">
        <f>+N70*4*(1+O$63)</f>
        <v>195000</v>
      </c>
      <c r="P70" s="1289">
        <f t="shared" si="26"/>
        <v>195000</v>
      </c>
      <c r="Q70" s="1289">
        <f t="shared" si="26"/>
        <v>195000</v>
      </c>
      <c r="R70" s="1289">
        <f t="shared" si="26"/>
        <v>195000</v>
      </c>
      <c r="T70" s="41"/>
      <c r="W70" s="1146"/>
      <c r="X70" s="108"/>
      <c r="Y70" s="109"/>
      <c r="Z70" s="1"/>
    </row>
    <row r="71" spans="1:26">
      <c r="A71" s="1516" t="s">
        <v>853</v>
      </c>
      <c r="B71" s="1517">
        <v>150000</v>
      </c>
      <c r="C71" s="86"/>
      <c r="D71" s="86"/>
      <c r="E71" s="86"/>
      <c r="F71" s="294"/>
      <c r="G71" s="295">
        <f>B71/4</f>
        <v>37500</v>
      </c>
      <c r="H71" s="197">
        <f t="shared" si="27"/>
        <v>37500</v>
      </c>
      <c r="I71" s="197">
        <f t="shared" si="27"/>
        <v>37500</v>
      </c>
      <c r="J71" s="296">
        <f>I71</f>
        <v>37500</v>
      </c>
      <c r="K71" s="1512">
        <v>37500</v>
      </c>
      <c r="L71" s="1510">
        <v>37500</v>
      </c>
      <c r="M71" s="1510">
        <v>37500</v>
      </c>
      <c r="N71" s="1511">
        <v>37500</v>
      </c>
      <c r="O71" s="1289">
        <f>+N71*4*(1+O$63)</f>
        <v>150000</v>
      </c>
      <c r="P71" s="1289">
        <f t="shared" si="26"/>
        <v>150000</v>
      </c>
      <c r="Q71" s="1289">
        <f t="shared" si="26"/>
        <v>150000</v>
      </c>
      <c r="R71" s="1289">
        <f t="shared" si="26"/>
        <v>150000</v>
      </c>
      <c r="T71" s="41"/>
      <c r="W71" s="1146"/>
      <c r="X71" s="108"/>
      <c r="Y71" s="109"/>
      <c r="Z71" s="1"/>
    </row>
    <row r="72" spans="1:26">
      <c r="A72" s="1516" t="s">
        <v>1027</v>
      </c>
      <c r="B72" s="1516"/>
      <c r="C72" s="86"/>
      <c r="D72" s="86"/>
      <c r="E72" s="86"/>
      <c r="F72" s="1160"/>
      <c r="G72" s="295">
        <f>B72/4</f>
        <v>0</v>
      </c>
      <c r="H72" s="197">
        <f t="shared" si="27"/>
        <v>0</v>
      </c>
      <c r="I72" s="197">
        <f t="shared" si="27"/>
        <v>0</v>
      </c>
      <c r="J72" s="296">
        <f>I72</f>
        <v>0</v>
      </c>
      <c r="K72" s="1513">
        <v>0</v>
      </c>
      <c r="L72" s="1510">
        <v>0</v>
      </c>
      <c r="M72" s="1510">
        <v>0</v>
      </c>
      <c r="N72" s="1511">
        <v>0</v>
      </c>
      <c r="O72" s="1289">
        <f t="shared" ref="O72:R73" si="28">+N72</f>
        <v>0</v>
      </c>
      <c r="P72" s="1289">
        <f t="shared" si="28"/>
        <v>0</v>
      </c>
      <c r="Q72" s="1289">
        <f t="shared" si="28"/>
        <v>0</v>
      </c>
      <c r="R72" s="1289">
        <f t="shared" si="28"/>
        <v>0</v>
      </c>
      <c r="T72" s="41"/>
      <c r="W72" s="1146"/>
      <c r="X72" s="108"/>
      <c r="Y72" s="109"/>
      <c r="Z72" s="1"/>
    </row>
    <row r="73" spans="1:26">
      <c r="A73" s="431" t="s">
        <v>854</v>
      </c>
      <c r="B73" s="1159"/>
      <c r="C73" s="261"/>
      <c r="D73" s="261"/>
      <c r="E73" s="261"/>
      <c r="F73" s="1158"/>
      <c r="G73" s="295">
        <f>B73/4</f>
        <v>0</v>
      </c>
      <c r="H73" s="197">
        <f t="shared" si="27"/>
        <v>0</v>
      </c>
      <c r="I73" s="197">
        <f t="shared" si="27"/>
        <v>0</v>
      </c>
      <c r="J73" s="296">
        <f>I73</f>
        <v>0</v>
      </c>
      <c r="K73" s="1513">
        <v>0</v>
      </c>
      <c r="L73" s="1510">
        <v>0</v>
      </c>
      <c r="M73" s="1510">
        <v>0</v>
      </c>
      <c r="N73" s="1511">
        <v>0</v>
      </c>
      <c r="O73" s="1289">
        <f t="shared" si="28"/>
        <v>0</v>
      </c>
      <c r="P73" s="1289">
        <f t="shared" si="28"/>
        <v>0</v>
      </c>
      <c r="Q73" s="1289">
        <f t="shared" si="28"/>
        <v>0</v>
      </c>
      <c r="R73" s="1289">
        <f t="shared" si="28"/>
        <v>0</v>
      </c>
      <c r="T73" s="41"/>
      <c r="W73" s="1146"/>
      <c r="X73" s="108"/>
      <c r="Y73" s="109"/>
      <c r="Z73" s="1"/>
    </row>
    <row r="74" spans="1:26" ht="14.7" customHeight="1" thickBot="1">
      <c r="A74" s="1269" t="s">
        <v>23</v>
      </c>
      <c r="B74" s="75"/>
      <c r="C74" s="75"/>
      <c r="D74" s="75"/>
      <c r="E74" s="75">
        <f t="shared" ref="E74:R74" si="29">SUM(E67:E73)</f>
        <v>0</v>
      </c>
      <c r="F74" s="289">
        <f t="shared" si="29"/>
        <v>0</v>
      </c>
      <c r="G74" s="291">
        <f t="shared" si="29"/>
        <v>177500</v>
      </c>
      <c r="H74" s="292">
        <f t="shared" si="29"/>
        <v>177500</v>
      </c>
      <c r="I74" s="292">
        <f t="shared" si="29"/>
        <v>198750</v>
      </c>
      <c r="J74" s="293">
        <f t="shared" si="29"/>
        <v>198750</v>
      </c>
      <c r="K74" s="291">
        <f t="shared" si="29"/>
        <v>201250</v>
      </c>
      <c r="L74" s="292">
        <f t="shared" si="29"/>
        <v>326250</v>
      </c>
      <c r="M74" s="292">
        <f t="shared" si="29"/>
        <v>326250</v>
      </c>
      <c r="N74" s="293">
        <f t="shared" si="29"/>
        <v>326250</v>
      </c>
      <c r="O74" s="411">
        <f t="shared" si="29"/>
        <v>1305000</v>
      </c>
      <c r="P74" s="411">
        <f t="shared" si="29"/>
        <v>1305000</v>
      </c>
      <c r="Q74" s="411">
        <f t="shared" si="29"/>
        <v>1305000</v>
      </c>
      <c r="R74" s="411">
        <f t="shared" si="29"/>
        <v>1305000</v>
      </c>
      <c r="T74" s="41"/>
      <c r="W74" s="1146"/>
      <c r="X74" s="108"/>
      <c r="Y74" s="109"/>
      <c r="Z74" s="1"/>
    </row>
    <row r="75" spans="1:26">
      <c r="A75" s="1396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T75" s="41"/>
      <c r="W75" s="1250"/>
      <c r="X75" s="108"/>
      <c r="Y75" s="2"/>
      <c r="Z75" s="1395"/>
    </row>
    <row r="76" spans="1:26" ht="14.7" customHeight="1" thickBot="1">
      <c r="A76" s="1393" t="s">
        <v>845</v>
      </c>
      <c r="B76" s="1392"/>
      <c r="C76" s="1392"/>
      <c r="D76" s="1392"/>
      <c r="E76" s="1392"/>
      <c r="F76" s="1392"/>
      <c r="G76" s="1391"/>
      <c r="H76" s="1391"/>
      <c r="I76" s="1391"/>
      <c r="J76" s="1391"/>
      <c r="K76" s="1391"/>
      <c r="L76" s="1391"/>
      <c r="M76" s="1391"/>
      <c r="N76" s="1391"/>
      <c r="O76" s="1390"/>
      <c r="P76" s="1390"/>
      <c r="Q76" s="1390"/>
      <c r="R76" s="1390"/>
      <c r="T76" s="41"/>
      <c r="W76" s="1146"/>
      <c r="X76" s="108"/>
      <c r="Y76" s="109"/>
      <c r="Z76" s="109"/>
    </row>
    <row r="77" spans="1:26">
      <c r="A77" s="105" t="str">
        <f t="shared" ref="A77:A83" si="30">+A67</f>
        <v>HOBI</v>
      </c>
      <c r="B77" s="263"/>
      <c r="C77" s="263"/>
      <c r="D77" s="263"/>
      <c r="E77" s="263"/>
      <c r="F77" s="1144"/>
      <c r="G77" s="1284"/>
      <c r="H77" s="1283"/>
      <c r="I77" s="1283"/>
      <c r="J77" s="1518">
        <v>125000</v>
      </c>
      <c r="K77" s="407"/>
      <c r="L77" s="1283"/>
      <c r="M77" s="1283"/>
      <c r="N77" s="1518">
        <v>225000</v>
      </c>
      <c r="O77" s="626">
        <f t="shared" ref="O77:R80" si="31">N77</f>
        <v>225000</v>
      </c>
      <c r="P77" s="626">
        <f t="shared" si="31"/>
        <v>225000</v>
      </c>
      <c r="Q77" s="626">
        <f t="shared" si="31"/>
        <v>225000</v>
      </c>
      <c r="R77" s="626">
        <f t="shared" si="31"/>
        <v>225000</v>
      </c>
      <c r="T77" s="41"/>
      <c r="W77" s="1145"/>
      <c r="X77" s="112"/>
      <c r="Y77" s="108"/>
      <c r="Z77" s="112"/>
    </row>
    <row r="78" spans="1:26">
      <c r="A78" s="105" t="str">
        <f t="shared" si="30"/>
        <v>CFO</v>
      </c>
      <c r="B78" s="197"/>
      <c r="C78" s="197"/>
      <c r="D78" s="197"/>
      <c r="E78" s="197"/>
      <c r="F78" s="294"/>
      <c r="G78" s="295"/>
      <c r="H78" s="197"/>
      <c r="I78" s="197"/>
      <c r="J78" s="1509">
        <v>60000</v>
      </c>
      <c r="K78" s="405"/>
      <c r="L78" s="263"/>
      <c r="M78" s="263"/>
      <c r="N78" s="1509">
        <v>75000</v>
      </c>
      <c r="O78" s="409">
        <f t="shared" si="31"/>
        <v>75000</v>
      </c>
      <c r="P78" s="409">
        <f t="shared" si="31"/>
        <v>75000</v>
      </c>
      <c r="Q78" s="409">
        <f t="shared" si="31"/>
        <v>75000</v>
      </c>
      <c r="R78" s="409">
        <f t="shared" si="31"/>
        <v>75000</v>
      </c>
      <c r="T78" s="41"/>
      <c r="W78" s="5"/>
      <c r="X78" s="83"/>
      <c r="Y78" s="112"/>
      <c r="Z78" s="112"/>
    </row>
    <row r="79" spans="1:26">
      <c r="A79" s="105" t="str">
        <f t="shared" si="30"/>
        <v>Financial Analyst</v>
      </c>
      <c r="B79" s="197"/>
      <c r="C79" s="197"/>
      <c r="D79" s="197"/>
      <c r="E79" s="197"/>
      <c r="F79" s="294"/>
      <c r="G79" s="295"/>
      <c r="H79" s="197"/>
      <c r="I79" s="197"/>
      <c r="J79" s="1509">
        <v>5000</v>
      </c>
      <c r="K79" s="405"/>
      <c r="L79" s="263"/>
      <c r="M79" s="263"/>
      <c r="N79" s="1509">
        <v>7500</v>
      </c>
      <c r="O79" s="409">
        <f t="shared" si="31"/>
        <v>7500</v>
      </c>
      <c r="P79" s="409">
        <f t="shared" si="31"/>
        <v>7500</v>
      </c>
      <c r="Q79" s="409">
        <f t="shared" si="31"/>
        <v>7500</v>
      </c>
      <c r="R79" s="409">
        <f t="shared" si="31"/>
        <v>7500</v>
      </c>
      <c r="T79" s="41"/>
      <c r="X79" s="83"/>
      <c r="Z79" s="83"/>
    </row>
    <row r="80" spans="1:26">
      <c r="A80" s="105" t="str">
        <f t="shared" si="30"/>
        <v>Controls</v>
      </c>
      <c r="B80" s="197"/>
      <c r="C80" s="197"/>
      <c r="D80" s="197"/>
      <c r="E80" s="197"/>
      <c r="F80" s="294"/>
      <c r="G80" s="295"/>
      <c r="H80" s="197"/>
      <c r="I80" s="197"/>
      <c r="J80" s="1509">
        <v>17500</v>
      </c>
      <c r="K80" s="405"/>
      <c r="L80" s="263"/>
      <c r="M80" s="263"/>
      <c r="N80" s="1509">
        <v>15000</v>
      </c>
      <c r="O80" s="409">
        <f t="shared" si="31"/>
        <v>15000</v>
      </c>
      <c r="P80" s="409">
        <f t="shared" si="31"/>
        <v>15000</v>
      </c>
      <c r="Q80" s="409">
        <f t="shared" si="31"/>
        <v>15000</v>
      </c>
      <c r="R80" s="409">
        <f t="shared" si="31"/>
        <v>15000</v>
      </c>
      <c r="T80" s="41"/>
      <c r="X80" s="108"/>
      <c r="Z80" s="83"/>
    </row>
    <row r="81" spans="1:30">
      <c r="A81" s="105" t="str">
        <f t="shared" si="30"/>
        <v>Administrative Assistant</v>
      </c>
      <c r="B81" s="197"/>
      <c r="C81" s="197"/>
      <c r="D81" s="197"/>
      <c r="E81" s="197"/>
      <c r="F81" s="294"/>
      <c r="G81" s="295"/>
      <c r="H81" s="197"/>
      <c r="I81" s="197"/>
      <c r="J81" s="1509">
        <v>0</v>
      </c>
      <c r="K81" s="295"/>
      <c r="L81" s="197"/>
      <c r="M81" s="197"/>
      <c r="N81" s="1509">
        <v>10000</v>
      </c>
      <c r="O81" s="409">
        <v>100000</v>
      </c>
      <c r="P81" s="409">
        <f>O81</f>
        <v>100000</v>
      </c>
      <c r="Q81" s="409">
        <f>P81</f>
        <v>100000</v>
      </c>
      <c r="R81" s="409">
        <f>Q81</f>
        <v>100000</v>
      </c>
      <c r="T81" s="41"/>
      <c r="Z81" s="109"/>
    </row>
    <row r="82" spans="1:30">
      <c r="A82" s="105" t="str">
        <f t="shared" si="30"/>
        <v>[hr/legal/compliance]</v>
      </c>
      <c r="B82" s="197"/>
      <c r="C82" s="197"/>
      <c r="D82" s="197"/>
      <c r="E82" s="197"/>
      <c r="F82" s="294"/>
      <c r="G82" s="295"/>
      <c r="H82" s="197"/>
      <c r="I82" s="197"/>
      <c r="J82" s="1509">
        <v>0</v>
      </c>
      <c r="K82" s="295"/>
      <c r="L82" s="197"/>
      <c r="M82" s="197"/>
      <c r="N82" s="1509">
        <v>0</v>
      </c>
      <c r="O82" s="409">
        <v>0</v>
      </c>
      <c r="P82" s="409">
        <v>0</v>
      </c>
      <c r="Q82" s="409">
        <v>0</v>
      </c>
      <c r="R82" s="409">
        <v>0</v>
      </c>
      <c r="T82" s="41"/>
      <c r="X82" s="108"/>
      <c r="Z82" s="109"/>
    </row>
    <row r="83" spans="1:30">
      <c r="A83" s="105" t="str">
        <f t="shared" si="30"/>
        <v>[]</v>
      </c>
      <c r="B83" s="197"/>
      <c r="C83" s="197"/>
      <c r="D83" s="197"/>
      <c r="E83" s="197"/>
      <c r="F83" s="294"/>
      <c r="G83" s="295"/>
      <c r="H83" s="197"/>
      <c r="I83" s="197"/>
      <c r="J83" s="1509">
        <v>0</v>
      </c>
      <c r="K83" s="295"/>
      <c r="L83" s="197"/>
      <c r="M83" s="197"/>
      <c r="N83" s="1509">
        <v>0</v>
      </c>
      <c r="O83" s="409">
        <v>0</v>
      </c>
      <c r="P83" s="409">
        <v>0</v>
      </c>
      <c r="Q83" s="409">
        <v>0</v>
      </c>
      <c r="R83" s="409">
        <v>0</v>
      </c>
      <c r="T83" s="41"/>
      <c r="W83" s="23"/>
      <c r="X83" s="112"/>
      <c r="Z83" s="112"/>
    </row>
    <row r="84" spans="1:30" ht="14.7" customHeight="1" thickBot="1">
      <c r="A84" s="1269" t="s">
        <v>23</v>
      </c>
      <c r="B84" s="75"/>
      <c r="C84" s="75"/>
      <c r="D84" s="75"/>
      <c r="E84" s="75">
        <f t="shared" ref="E84:R84" si="32">SUM(E77:E83)</f>
        <v>0</v>
      </c>
      <c r="F84" s="289">
        <f t="shared" si="32"/>
        <v>0</v>
      </c>
      <c r="G84" s="291">
        <f t="shared" si="32"/>
        <v>0</v>
      </c>
      <c r="H84" s="292">
        <f t="shared" si="32"/>
        <v>0</v>
      </c>
      <c r="I84" s="292">
        <f t="shared" si="32"/>
        <v>0</v>
      </c>
      <c r="J84" s="293">
        <f t="shared" si="32"/>
        <v>207500</v>
      </c>
      <c r="K84" s="291">
        <f t="shared" si="32"/>
        <v>0</v>
      </c>
      <c r="L84" s="292">
        <f t="shared" si="32"/>
        <v>0</v>
      </c>
      <c r="M84" s="292">
        <f t="shared" si="32"/>
        <v>0</v>
      </c>
      <c r="N84" s="293">
        <f t="shared" si="32"/>
        <v>332500</v>
      </c>
      <c r="O84" s="411">
        <f t="shared" si="32"/>
        <v>422500</v>
      </c>
      <c r="P84" s="411">
        <f t="shared" si="32"/>
        <v>422500</v>
      </c>
      <c r="Q84" s="411">
        <f t="shared" si="32"/>
        <v>422500</v>
      </c>
      <c r="R84" s="411">
        <f t="shared" si="32"/>
        <v>422500</v>
      </c>
      <c r="T84" s="41"/>
      <c r="W84" s="5"/>
      <c r="X84" s="83"/>
      <c r="Y84" s="5"/>
      <c r="Z84" s="112"/>
    </row>
    <row r="85" spans="1:30">
      <c r="A85" s="1394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T85" s="41"/>
      <c r="X85" s="3"/>
      <c r="Z85" s="3"/>
    </row>
    <row r="86" spans="1:30" ht="14.7" customHeight="1" thickBot="1">
      <c r="A86" s="1393" t="s">
        <v>23</v>
      </c>
      <c r="B86" s="1392"/>
      <c r="C86" s="1392"/>
      <c r="D86" s="1392"/>
      <c r="E86" s="1392"/>
      <c r="F86" s="1392"/>
      <c r="G86" s="1391"/>
      <c r="H86" s="1391"/>
      <c r="I86" s="1391"/>
      <c r="J86" s="1391"/>
      <c r="K86" s="1391"/>
      <c r="L86" s="1391"/>
      <c r="M86" s="1391"/>
      <c r="N86" s="1391"/>
      <c r="O86" s="1390"/>
      <c r="P86" s="1390"/>
      <c r="Q86" s="1390"/>
      <c r="R86" s="1390"/>
      <c r="T86" s="41"/>
      <c r="W86" s="5"/>
      <c r="X86" s="83"/>
      <c r="Z86" s="112"/>
    </row>
    <row r="87" spans="1:30">
      <c r="A87" s="105" t="str">
        <f t="shared" ref="A87:A92" si="33">+A67</f>
        <v>HOBI</v>
      </c>
      <c r="B87" s="1123"/>
      <c r="C87" s="1123"/>
      <c r="D87" s="1123"/>
      <c r="E87" s="1123"/>
      <c r="F87" s="1122"/>
      <c r="G87" s="1127">
        <f t="shared" ref="G87:R87" si="34">+G67*(1+$L$97)+(G77*(1+$L$98))</f>
        <v>107999.99999999999</v>
      </c>
      <c r="H87" s="1126">
        <f t="shared" si="34"/>
        <v>107999.99999999999</v>
      </c>
      <c r="I87" s="1126">
        <f t="shared" si="34"/>
        <v>107999.99999999999</v>
      </c>
      <c r="J87" s="1125">
        <f t="shared" si="34"/>
        <v>237874.99999999997</v>
      </c>
      <c r="K87" s="1127">
        <f t="shared" si="34"/>
        <v>107999.99999999999</v>
      </c>
      <c r="L87" s="1126">
        <f t="shared" si="34"/>
        <v>107999.99999999999</v>
      </c>
      <c r="M87" s="1126">
        <f t="shared" si="34"/>
        <v>107999.99999999999</v>
      </c>
      <c r="N87" s="1125">
        <f t="shared" si="34"/>
        <v>341774.99999999994</v>
      </c>
      <c r="O87" s="1124">
        <f t="shared" si="34"/>
        <v>665774.99999999988</v>
      </c>
      <c r="P87" s="1124">
        <f t="shared" si="34"/>
        <v>665774.99999999988</v>
      </c>
      <c r="Q87" s="1124">
        <f t="shared" si="34"/>
        <v>665774.99999999988</v>
      </c>
      <c r="R87" s="1124">
        <f t="shared" si="34"/>
        <v>665774.99999999988</v>
      </c>
      <c r="T87" s="41"/>
    </row>
    <row r="88" spans="1:30">
      <c r="A88" s="105" t="str">
        <f t="shared" si="33"/>
        <v>CFO</v>
      </c>
      <c r="B88" s="1123"/>
      <c r="C88" s="1123"/>
      <c r="D88" s="1123"/>
      <c r="E88" s="1123"/>
      <c r="F88" s="1122"/>
      <c r="G88" s="1121">
        <f t="shared" ref="G88:R88" si="35">+G68*(1+$L$97)+(G78*(1+$L$98))</f>
        <v>0</v>
      </c>
      <c r="H88" s="1120">
        <f t="shared" si="35"/>
        <v>0</v>
      </c>
      <c r="I88" s="1120">
        <f t="shared" si="35"/>
        <v>0</v>
      </c>
      <c r="J88" s="1119">
        <f t="shared" si="35"/>
        <v>62339.999999999993</v>
      </c>
      <c r="K88" s="1121">
        <f t="shared" si="35"/>
        <v>0</v>
      </c>
      <c r="L88" s="1120">
        <f t="shared" si="35"/>
        <v>144000</v>
      </c>
      <c r="M88" s="1120">
        <f t="shared" si="35"/>
        <v>144000</v>
      </c>
      <c r="N88" s="1119">
        <f t="shared" si="35"/>
        <v>221925</v>
      </c>
      <c r="O88" s="1118">
        <f t="shared" si="35"/>
        <v>653925</v>
      </c>
      <c r="P88" s="1118">
        <f t="shared" si="35"/>
        <v>653925</v>
      </c>
      <c r="Q88" s="1118">
        <f t="shared" si="35"/>
        <v>653925</v>
      </c>
      <c r="R88" s="1118">
        <f t="shared" si="35"/>
        <v>653925</v>
      </c>
      <c r="T88" s="41"/>
    </row>
    <row r="89" spans="1:30">
      <c r="A89" s="105" t="str">
        <f t="shared" si="33"/>
        <v>Financial Analyst</v>
      </c>
      <c r="B89" s="1123"/>
      <c r="C89" s="1123"/>
      <c r="D89" s="1123"/>
      <c r="E89" s="1123"/>
      <c r="F89" s="1122"/>
      <c r="G89" s="1121">
        <f t="shared" ref="G89:R89" si="36">+G69*(1+$L$97)+(G79*(1+$L$98))</f>
        <v>0</v>
      </c>
      <c r="H89" s="1120">
        <f t="shared" si="36"/>
        <v>0</v>
      </c>
      <c r="I89" s="1120">
        <f t="shared" si="36"/>
        <v>24479.999999999996</v>
      </c>
      <c r="J89" s="1119">
        <f t="shared" si="36"/>
        <v>29674.999999999996</v>
      </c>
      <c r="K89" s="1121">
        <f t="shared" si="36"/>
        <v>24479.999999999996</v>
      </c>
      <c r="L89" s="1120">
        <f t="shared" si="36"/>
        <v>24479.999999999996</v>
      </c>
      <c r="M89" s="1120">
        <f t="shared" si="36"/>
        <v>24479.999999999996</v>
      </c>
      <c r="N89" s="1119">
        <f t="shared" si="36"/>
        <v>32272.499999999996</v>
      </c>
      <c r="O89" s="1118">
        <f t="shared" si="36"/>
        <v>105712.49999999999</v>
      </c>
      <c r="P89" s="1118">
        <f t="shared" si="36"/>
        <v>105712.49999999999</v>
      </c>
      <c r="Q89" s="1118">
        <f t="shared" si="36"/>
        <v>105712.49999999999</v>
      </c>
      <c r="R89" s="1118">
        <f t="shared" si="36"/>
        <v>105712.49999999999</v>
      </c>
      <c r="T89" s="41"/>
    </row>
    <row r="90" spans="1:30">
      <c r="A90" s="105" t="str">
        <f t="shared" si="33"/>
        <v>Controls</v>
      </c>
      <c r="B90" s="1123"/>
      <c r="C90" s="1123"/>
      <c r="D90" s="1123"/>
      <c r="E90" s="1123"/>
      <c r="F90" s="1122"/>
      <c r="G90" s="1121">
        <f t="shared" ref="G90:R90" si="37">+G70*(1+$L$97)+(G80*(1+$L$98))</f>
        <v>53279.999999999993</v>
      </c>
      <c r="H90" s="1120">
        <f t="shared" si="37"/>
        <v>53279.999999999993</v>
      </c>
      <c r="I90" s="1120">
        <f t="shared" si="37"/>
        <v>53279.999999999993</v>
      </c>
      <c r="J90" s="1119">
        <f t="shared" si="37"/>
        <v>71462.5</v>
      </c>
      <c r="K90" s="1121">
        <f t="shared" si="37"/>
        <v>56159.999999999993</v>
      </c>
      <c r="L90" s="1120">
        <f t="shared" si="37"/>
        <v>56159.999999999993</v>
      </c>
      <c r="M90" s="1120">
        <f t="shared" si="37"/>
        <v>56159.999999999993</v>
      </c>
      <c r="N90" s="1119">
        <f t="shared" si="37"/>
        <v>71744.999999999985</v>
      </c>
      <c r="O90" s="1118">
        <f t="shared" si="37"/>
        <v>240224.99999999997</v>
      </c>
      <c r="P90" s="1118">
        <f t="shared" si="37"/>
        <v>240224.99999999997</v>
      </c>
      <c r="Q90" s="1118">
        <f t="shared" si="37"/>
        <v>240224.99999999997</v>
      </c>
      <c r="R90" s="1118">
        <f t="shared" si="37"/>
        <v>240224.99999999997</v>
      </c>
      <c r="T90" s="41"/>
    </row>
    <row r="91" spans="1:30">
      <c r="A91" s="105" t="str">
        <f t="shared" si="33"/>
        <v>Administrative Assistant</v>
      </c>
      <c r="B91" s="1123"/>
      <c r="C91" s="1123"/>
      <c r="D91" s="1123"/>
      <c r="E91" s="1123"/>
      <c r="F91" s="1122"/>
      <c r="G91" s="1121">
        <f t="shared" ref="G91:R91" si="38">+G71*(1+$L$97)+(G81*(1+$L$98))</f>
        <v>43200</v>
      </c>
      <c r="H91" s="1120">
        <f t="shared" si="38"/>
        <v>43200</v>
      </c>
      <c r="I91" s="1120">
        <f t="shared" si="38"/>
        <v>43200</v>
      </c>
      <c r="J91" s="1119">
        <f t="shared" si="38"/>
        <v>43200</v>
      </c>
      <c r="K91" s="1121">
        <f t="shared" si="38"/>
        <v>43200</v>
      </c>
      <c r="L91" s="1120">
        <f t="shared" si="38"/>
        <v>43200</v>
      </c>
      <c r="M91" s="1120">
        <f t="shared" si="38"/>
        <v>43200</v>
      </c>
      <c r="N91" s="1119">
        <f t="shared" si="38"/>
        <v>53590</v>
      </c>
      <c r="O91" s="1118">
        <f t="shared" si="38"/>
        <v>276700</v>
      </c>
      <c r="P91" s="1118">
        <f t="shared" si="38"/>
        <v>276700</v>
      </c>
      <c r="Q91" s="1118">
        <f t="shared" si="38"/>
        <v>276700</v>
      </c>
      <c r="R91" s="1118">
        <f t="shared" si="38"/>
        <v>276700</v>
      </c>
      <c r="T91" s="41"/>
    </row>
    <row r="92" spans="1:30">
      <c r="A92" s="105" t="str">
        <f t="shared" si="33"/>
        <v>[hr/legal/compliance]</v>
      </c>
      <c r="B92" s="1123"/>
      <c r="C92" s="1123"/>
      <c r="D92" s="1123"/>
      <c r="E92" s="1123"/>
      <c r="F92" s="1122"/>
      <c r="G92" s="1121">
        <f t="shared" ref="G92:R92" si="39">+G72*(1+$L$97)+(G82*(1+$L$98))</f>
        <v>0</v>
      </c>
      <c r="H92" s="1120">
        <f t="shared" si="39"/>
        <v>0</v>
      </c>
      <c r="I92" s="1120">
        <f t="shared" si="39"/>
        <v>0</v>
      </c>
      <c r="J92" s="1119">
        <f t="shared" si="39"/>
        <v>0</v>
      </c>
      <c r="K92" s="1121">
        <f t="shared" si="39"/>
        <v>0</v>
      </c>
      <c r="L92" s="1120">
        <f t="shared" si="39"/>
        <v>0</v>
      </c>
      <c r="M92" s="1120">
        <f t="shared" si="39"/>
        <v>0</v>
      </c>
      <c r="N92" s="1119">
        <f t="shared" si="39"/>
        <v>0</v>
      </c>
      <c r="O92" s="1118">
        <f t="shared" si="39"/>
        <v>0</v>
      </c>
      <c r="P92" s="1118">
        <f t="shared" si="39"/>
        <v>0</v>
      </c>
      <c r="Q92" s="1118">
        <f t="shared" si="39"/>
        <v>0</v>
      </c>
      <c r="R92" s="1118">
        <f t="shared" si="39"/>
        <v>0</v>
      </c>
      <c r="T92" s="41"/>
    </row>
    <row r="93" spans="1:30">
      <c r="A93" s="1389" t="s">
        <v>944</v>
      </c>
      <c r="B93" s="1388"/>
      <c r="C93" s="1388"/>
      <c r="D93" s="1388"/>
      <c r="E93" s="1388"/>
      <c r="F93" s="1387"/>
      <c r="G93" s="1386">
        <f>+G73*(1+$L$97)+(G83*(1+$L$98))</f>
        <v>0</v>
      </c>
      <c r="H93" s="1385">
        <f>+H73*(1+$L$97)+(H83*(1+$L$98))</f>
        <v>0</v>
      </c>
      <c r="I93" s="1385">
        <f>+I73*(1+$L$97)+(I83*(1+$L$98))</f>
        <v>0</v>
      </c>
      <c r="J93" s="1384"/>
      <c r="K93" s="1386">
        <f>-J93</f>
        <v>0</v>
      </c>
      <c r="L93" s="1385">
        <f>+L73*(1+$L$97)+(L83*(1+$L$98))</f>
        <v>0</v>
      </c>
      <c r="M93" s="1385">
        <f>+M73*(1+$L$97)+(M83*(1+$L$98))</f>
        <v>0</v>
      </c>
      <c r="N93" s="1384"/>
      <c r="O93" s="1383"/>
      <c r="P93" s="1383">
        <f>-SUM(P78:P83)+SUM(O78:O83)</f>
        <v>0</v>
      </c>
      <c r="Q93" s="1383">
        <f>-SUM(Q78:Q83)+SUM(P78:P83)</f>
        <v>0</v>
      </c>
      <c r="R93" s="1383">
        <f>-SUM(R78:R83)+SUM(Q78:Q83)</f>
        <v>0</v>
      </c>
      <c r="T93" s="41"/>
    </row>
    <row r="94" spans="1:30">
      <c r="A94" s="105" t="s">
        <v>1028</v>
      </c>
      <c r="B94" s="1123"/>
      <c r="C94" s="1123"/>
      <c r="D94" s="1123"/>
      <c r="E94" s="1123">
        <v>0</v>
      </c>
      <c r="F94" s="1122">
        <v>0</v>
      </c>
      <c r="G94" s="1121">
        <v>0</v>
      </c>
      <c r="H94" s="1120">
        <v>0</v>
      </c>
      <c r="I94" s="1120">
        <v>0</v>
      </c>
      <c r="J94" s="1380"/>
      <c r="K94" s="1382"/>
      <c r="L94" s="1381"/>
      <c r="M94" s="1381"/>
      <c r="N94" s="1380"/>
      <c r="O94" s="1379"/>
      <c r="P94" s="1379"/>
      <c r="Q94" s="1379"/>
      <c r="R94" s="1379"/>
      <c r="S94" s="72"/>
      <c r="T94" s="41"/>
      <c r="AD94" s="4"/>
    </row>
    <row r="95" spans="1:30" ht="14.7" customHeight="1" thickBot="1">
      <c r="A95" s="1269" t="s">
        <v>857</v>
      </c>
      <c r="B95" s="1378"/>
      <c r="C95" s="1378"/>
      <c r="D95" s="1378"/>
      <c r="E95" s="1378">
        <f>SUM(E87:E93)*(1+E$63)</f>
        <v>0</v>
      </c>
      <c r="F95" s="1377">
        <f>SUM(F87:F93)*(1+F$63)</f>
        <v>0</v>
      </c>
      <c r="G95" s="1376">
        <f t="shared" ref="G95:R95" si="40">SUM(G87:G94)*(1+G$63)</f>
        <v>204479.99999999997</v>
      </c>
      <c r="H95" s="1375">
        <f t="shared" si="40"/>
        <v>204479.99999999997</v>
      </c>
      <c r="I95" s="1375">
        <f t="shared" si="40"/>
        <v>228959.99999999997</v>
      </c>
      <c r="J95" s="1374">
        <f t="shared" si="40"/>
        <v>444552.49999999994</v>
      </c>
      <c r="K95" s="1376">
        <f t="shared" si="40"/>
        <v>231839.99999999997</v>
      </c>
      <c r="L95" s="1375">
        <f t="shared" si="40"/>
        <v>375840</v>
      </c>
      <c r="M95" s="1375">
        <f t="shared" si="40"/>
        <v>375840</v>
      </c>
      <c r="N95" s="1374">
        <f t="shared" si="40"/>
        <v>721307.5</v>
      </c>
      <c r="O95" s="1373">
        <f t="shared" si="40"/>
        <v>1942337.5</v>
      </c>
      <c r="P95" s="1373">
        <f t="shared" si="40"/>
        <v>1942337.5</v>
      </c>
      <c r="Q95" s="1373">
        <f t="shared" si="40"/>
        <v>1942337.5</v>
      </c>
      <c r="R95" s="1373">
        <f t="shared" si="40"/>
        <v>1942337.5</v>
      </c>
      <c r="T95" s="41"/>
    </row>
    <row r="96" spans="1:30" ht="14.7" customHeight="1" thickBot="1">
      <c r="T96" s="41"/>
    </row>
    <row r="97" spans="1:20" ht="14.7" customHeight="1" thickBot="1">
      <c r="K97" s="18" t="s">
        <v>805</v>
      </c>
      <c r="L97" s="1271">
        <v>0.152</v>
      </c>
      <c r="T97" s="41"/>
    </row>
    <row r="98" spans="1:20" ht="14.7" customHeight="1" thickBot="1">
      <c r="A98" s="40" t="s">
        <v>865</v>
      </c>
      <c r="I98" s="1372"/>
      <c r="K98" s="18" t="s">
        <v>806</v>
      </c>
      <c r="L98" s="1271">
        <v>3.9E-2</v>
      </c>
      <c r="T98" s="41"/>
    </row>
    <row r="99" spans="1:20">
      <c r="A99" s="16" t="str">
        <f t="array" aca="1" ref="A99" ca="1">_xlfn.TEXTAFTER(CELL("filename",A99),"]")</f>
        <v>c12_bi&amp;f</v>
      </c>
      <c r="B99" s="78" t="s">
        <v>866</v>
      </c>
      <c r="C99" s="78" t="s">
        <v>867</v>
      </c>
      <c r="D99" s="76" t="s">
        <v>868</v>
      </c>
      <c r="E99" s="76" t="s">
        <v>869</v>
      </c>
      <c r="F99" s="76" t="s">
        <v>229</v>
      </c>
      <c r="G99" s="76" t="s">
        <v>870</v>
      </c>
      <c r="H99" s="76" t="s">
        <v>871</v>
      </c>
      <c r="I99" s="76" t="s">
        <v>872</v>
      </c>
    </row>
    <row r="100" spans="1:20">
      <c r="A100" s="86" t="str">
        <f t="shared" ref="A100:A106" si="41">+A67</f>
        <v>HOBI</v>
      </c>
      <c r="B100" s="70">
        <f t="shared" ref="B100:B106" si="42">1-C100</f>
        <v>1</v>
      </c>
      <c r="C100" s="70">
        <f t="shared" ref="C100:C106" si="43">+SUM(D100:I100)</f>
        <v>0</v>
      </c>
      <c r="D100" s="1519">
        <v>0</v>
      </c>
      <c r="E100" s="1519">
        <v>0</v>
      </c>
      <c r="F100" s="1519">
        <v>0</v>
      </c>
      <c r="G100" s="1519">
        <v>0</v>
      </c>
      <c r="H100" s="1519">
        <v>0</v>
      </c>
      <c r="I100" s="1520">
        <v>0</v>
      </c>
    </row>
    <row r="101" spans="1:20">
      <c r="A101" s="86" t="str">
        <f t="shared" si="41"/>
        <v>CFO</v>
      </c>
      <c r="B101" s="70">
        <f t="shared" si="42"/>
        <v>1</v>
      </c>
      <c r="C101" s="70">
        <f t="shared" si="43"/>
        <v>0</v>
      </c>
      <c r="D101" s="1519">
        <v>0</v>
      </c>
      <c r="E101" s="1519">
        <v>0</v>
      </c>
      <c r="F101" s="1519">
        <v>0</v>
      </c>
      <c r="G101" s="1519">
        <v>0</v>
      </c>
      <c r="H101" s="1519">
        <v>0</v>
      </c>
      <c r="I101" s="1520">
        <v>0</v>
      </c>
    </row>
    <row r="102" spans="1:20">
      <c r="A102" s="86" t="str">
        <f t="shared" si="41"/>
        <v>Financial Analyst</v>
      </c>
      <c r="B102" s="70">
        <f t="shared" si="42"/>
        <v>1</v>
      </c>
      <c r="C102" s="70">
        <f t="shared" si="43"/>
        <v>0</v>
      </c>
      <c r="D102" s="1519">
        <v>0</v>
      </c>
      <c r="E102" s="1519">
        <v>0</v>
      </c>
      <c r="F102" s="1519">
        <v>0</v>
      </c>
      <c r="G102" s="1519">
        <v>0</v>
      </c>
      <c r="H102" s="1519">
        <v>0</v>
      </c>
      <c r="I102" s="1520">
        <v>0</v>
      </c>
    </row>
    <row r="103" spans="1:20">
      <c r="A103" s="86" t="str">
        <f t="shared" si="41"/>
        <v>Controls</v>
      </c>
      <c r="B103" s="70">
        <f t="shared" si="42"/>
        <v>1</v>
      </c>
      <c r="C103" s="70">
        <f t="shared" si="43"/>
        <v>0</v>
      </c>
      <c r="D103" s="1519">
        <v>0</v>
      </c>
      <c r="E103" s="1519">
        <v>0</v>
      </c>
      <c r="F103" s="1519">
        <v>0</v>
      </c>
      <c r="G103" s="1519">
        <v>0</v>
      </c>
      <c r="H103" s="1519">
        <v>0</v>
      </c>
      <c r="I103" s="1520">
        <v>0</v>
      </c>
    </row>
    <row r="104" spans="1:20">
      <c r="A104" s="86" t="str">
        <f t="shared" si="41"/>
        <v>Administrative Assistant</v>
      </c>
      <c r="B104" s="1371">
        <f t="shared" si="42"/>
        <v>1</v>
      </c>
      <c r="C104" s="1371">
        <f t="shared" si="43"/>
        <v>0</v>
      </c>
      <c r="D104" s="1519">
        <v>0</v>
      </c>
      <c r="E104" s="1519">
        <v>0</v>
      </c>
      <c r="F104" s="1519">
        <v>0</v>
      </c>
      <c r="G104" s="1519">
        <v>0</v>
      </c>
      <c r="H104" s="1519">
        <v>0</v>
      </c>
      <c r="I104" s="1520">
        <v>0</v>
      </c>
    </row>
    <row r="105" spans="1:20">
      <c r="A105" s="86" t="str">
        <f t="shared" si="41"/>
        <v>[hr/legal/compliance]</v>
      </c>
      <c r="B105" s="70">
        <f t="shared" si="42"/>
        <v>1</v>
      </c>
      <c r="C105" s="70">
        <f t="shared" si="43"/>
        <v>0</v>
      </c>
      <c r="D105" s="1519">
        <v>0</v>
      </c>
      <c r="E105" s="1519">
        <v>0</v>
      </c>
      <c r="F105" s="1519">
        <v>0</v>
      </c>
      <c r="G105" s="1519">
        <v>0</v>
      </c>
      <c r="H105" s="1519">
        <v>0</v>
      </c>
      <c r="I105" s="1520">
        <v>0</v>
      </c>
    </row>
    <row r="106" spans="1:20">
      <c r="A106" s="86" t="str">
        <f t="shared" si="41"/>
        <v>[]</v>
      </c>
      <c r="B106" s="70">
        <f t="shared" si="42"/>
        <v>1</v>
      </c>
      <c r="C106" s="70">
        <f t="shared" si="43"/>
        <v>0</v>
      </c>
      <c r="D106" s="1519">
        <v>0</v>
      </c>
      <c r="E106" s="1519">
        <v>0</v>
      </c>
      <c r="F106" s="1519">
        <v>0</v>
      </c>
      <c r="G106" s="1519">
        <v>0</v>
      </c>
      <c r="H106" s="1519">
        <v>0</v>
      </c>
      <c r="I106" s="1520">
        <v>0</v>
      </c>
    </row>
    <row r="107" spans="1:20">
      <c r="A107" s="74" t="s">
        <v>1029</v>
      </c>
      <c r="B107" s="93">
        <f t="shared" ref="B107:I107" si="44">SUMPRODUCT($K$87:$K$93,B100:B106)</f>
        <v>231839.99999999997</v>
      </c>
      <c r="C107" s="75">
        <f t="shared" si="44"/>
        <v>0</v>
      </c>
      <c r="D107" s="75">
        <f t="shared" si="44"/>
        <v>0</v>
      </c>
      <c r="E107" s="75">
        <f t="shared" si="44"/>
        <v>0</v>
      </c>
      <c r="F107" s="75">
        <f t="shared" si="44"/>
        <v>0</v>
      </c>
      <c r="G107" s="75">
        <f t="shared" si="44"/>
        <v>0</v>
      </c>
      <c r="H107" s="75">
        <f t="shared" si="44"/>
        <v>0</v>
      </c>
      <c r="I107" s="75">
        <f t="shared" si="44"/>
        <v>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2</vt:i4>
      </vt:variant>
    </vt:vector>
  </HeadingPairs>
  <TitlesOfParts>
    <vt:vector size="26" baseType="lpstr">
      <vt:lpstr>registry_o</vt:lpstr>
      <vt:lpstr>lgh_inputs</vt:lpstr>
      <vt:lpstr>lgh_bs</vt:lpstr>
      <vt:lpstr>lgh_returns</vt:lpstr>
      <vt:lpstr>lgh_oc</vt:lpstr>
      <vt:lpstr>lgh_ci</vt:lpstr>
      <vt:lpstr>lgh_cuda</vt:lpstr>
      <vt:lpstr>lgh_equity</vt:lpstr>
      <vt:lpstr>lgh_pref_equity</vt:lpstr>
      <vt:lpstr>lgh_debt</vt:lpstr>
      <vt:lpstr>lgh_other_liabs</vt:lpstr>
      <vt:lpstr>lgh_other_assets</vt:lpstr>
      <vt:lpstr>lgh_manco</vt:lpstr>
      <vt:lpstr>bermuda_cs2</vt:lpstr>
      <vt:lpstr>elbow_cs2</vt:lpstr>
      <vt:lpstr>austin_cs2</vt:lpstr>
      <vt:lpstr>turks_cs2</vt:lpstr>
      <vt:lpstr>frith_cs2</vt:lpstr>
      <vt:lpstr>sat_cs2</vt:lpstr>
      <vt:lpstr>c12_inputs</vt:lpstr>
      <vt:lpstr>c12_oc</vt:lpstr>
      <vt:lpstr>c12_hm</vt:lpstr>
      <vt:lpstr>c12_d&amp;s</vt:lpstr>
      <vt:lpstr>c12_bi&amp;f</vt:lpstr>
      <vt:lpstr>DepartmentNum</vt:lpstr>
      <vt:lpstr>registry_o!Print_Area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Wilt</dc:creator>
  <cp:lastModifiedBy>King, Stephen: C12 (NYK)</cp:lastModifiedBy>
  <cp:lastPrinted>2024-10-18T14:43:51Z</cp:lastPrinted>
  <dcterms:created xsi:type="dcterms:W3CDTF">2024-06-11T16:45:59Z</dcterms:created>
  <dcterms:modified xsi:type="dcterms:W3CDTF">2026-05-12T15:16:22Z</dcterms:modified>
</cp:coreProperties>
</file>